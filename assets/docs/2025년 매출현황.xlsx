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22년~24년 매출 현황\"/>
    </mc:Choice>
  </mc:AlternateContent>
  <bookViews>
    <workbookView xWindow="-15" yWindow="-15" windowWidth="17175" windowHeight="12300" firstSheet="36" activeTab="41"/>
  </bookViews>
  <sheets>
    <sheet name="통계" sheetId="32" r:id="rId1"/>
    <sheet name="22년 11월" sheetId="53" state="hidden" r:id="rId2"/>
    <sheet name="22년 12월" sheetId="55" state="hidden" r:id="rId3"/>
    <sheet name="23년 1월" sheetId="56" state="hidden" r:id="rId4"/>
    <sheet name="23년 2월" sheetId="57" state="hidden" r:id="rId5"/>
    <sheet name="23년 3월" sheetId="59" state="hidden" r:id="rId6"/>
    <sheet name="23년 4월 " sheetId="58" state="hidden" r:id="rId7"/>
    <sheet name="23년 5월" sheetId="60" state="hidden" r:id="rId8"/>
    <sheet name="23년 6월" sheetId="62" state="hidden" r:id="rId9"/>
    <sheet name="23년 7월" sheetId="63" state="hidden" r:id="rId10"/>
    <sheet name="23년 8월" sheetId="64" state="hidden" r:id="rId11"/>
    <sheet name="23년 9월 " sheetId="65" state="hidden" r:id="rId12"/>
    <sheet name="23년 10월" sheetId="66" state="hidden" r:id="rId13"/>
    <sheet name="23년 11월" sheetId="67" state="hidden" r:id="rId14"/>
    <sheet name="23년 12월" sheetId="69" state="hidden" r:id="rId15"/>
    <sheet name="24년 1월" sheetId="70" state="hidden" r:id="rId16"/>
    <sheet name="24년 2월 " sheetId="71" state="hidden" r:id="rId17"/>
    <sheet name="24년 3월" sheetId="72" state="hidden" r:id="rId18"/>
    <sheet name="24년 4월" sheetId="73" state="hidden" r:id="rId19"/>
    <sheet name="24년 5월" sheetId="74" state="hidden" r:id="rId20"/>
    <sheet name="24년 6월  " sheetId="76" state="hidden" r:id="rId21"/>
    <sheet name="24년 7월 " sheetId="75" state="hidden" r:id="rId22"/>
    <sheet name="24년 8월" sheetId="77" state="hidden" r:id="rId23"/>
    <sheet name="24년 9월" sheetId="78" state="hidden" r:id="rId24"/>
    <sheet name="24년 10월 " sheetId="80" state="hidden" r:id="rId25"/>
    <sheet name="24년 11월" sheetId="81" state="hidden" r:id="rId26"/>
    <sheet name="25년 1월 " sheetId="87" r:id="rId27"/>
    <sheet name="24년 12월" sheetId="84" state="hidden" r:id="rId28"/>
    <sheet name="Sheet4" sheetId="86" state="hidden" r:id="rId29"/>
    <sheet name="25년 2월" sheetId="88" r:id="rId30"/>
    <sheet name="25년 3월" sheetId="89" r:id="rId31"/>
    <sheet name="25년 4월" sheetId="90" r:id="rId32"/>
    <sheet name="25년 5월" sheetId="92" r:id="rId33"/>
    <sheet name="25년 6월" sheetId="93" r:id="rId34"/>
    <sheet name="25년 7월 " sheetId="94" r:id="rId35"/>
    <sheet name="25년 8월 " sheetId="95" r:id="rId36"/>
    <sheet name="25년 9월" sheetId="96" r:id="rId37"/>
    <sheet name="25년 10월" sheetId="97" r:id="rId38"/>
    <sheet name="25년 11월" sheetId="98" r:id="rId39"/>
    <sheet name="25년 12월" sheetId="99" r:id="rId40"/>
    <sheet name="Sheet2" sheetId="91" r:id="rId41"/>
    <sheet name="총괄매출" sheetId="68" r:id="rId42"/>
    <sheet name="Sheet1" sheetId="82" r:id="rId43"/>
    <sheet name="상훈이 스케줄" sheetId="79" state="hidden" r:id="rId44"/>
    <sheet name="Sheet3" sheetId="83" state="hidden" r:id="rId45"/>
  </sheets>
  <calcPr calcId="162913"/>
</workbook>
</file>

<file path=xl/calcChain.xml><?xml version="1.0" encoding="utf-8"?>
<calcChain xmlns="http://schemas.openxmlformats.org/spreadsheetml/2006/main">
  <c r="H1" i="99" l="1"/>
  <c r="F1" i="99" l="1"/>
  <c r="H1" i="98"/>
  <c r="F1" i="98" l="1"/>
  <c r="H1" i="97" l="1"/>
  <c r="F1" i="97" s="1"/>
  <c r="H1" i="96" l="1"/>
  <c r="F1" i="96" l="1"/>
  <c r="H1" i="95" l="1"/>
  <c r="F1" i="95" s="1"/>
  <c r="H1" i="94" l="1"/>
  <c r="F1" i="94" s="1"/>
  <c r="H1" i="93" l="1"/>
  <c r="F1" i="93" s="1"/>
  <c r="H1" i="92" l="1"/>
  <c r="F1" i="92" s="1"/>
  <c r="H1" i="90" l="1"/>
  <c r="F1" i="90" l="1"/>
  <c r="H1" i="89" l="1"/>
  <c r="F1" i="89" s="1"/>
  <c r="K5" i="68" l="1"/>
  <c r="K6" i="68"/>
  <c r="K7" i="68"/>
  <c r="K8" i="68"/>
  <c r="K9" i="68"/>
  <c r="K10" i="68"/>
  <c r="K11" i="68"/>
  <c r="K12" i="68"/>
  <c r="K13" i="68"/>
  <c r="K14" i="68"/>
  <c r="K15" i="68"/>
  <c r="K4" i="68"/>
  <c r="H1" i="88" l="1"/>
  <c r="F1" i="88" s="1"/>
  <c r="H1" i="87" l="1"/>
  <c r="F1" i="87" s="1"/>
  <c r="H1" i="53"/>
  <c r="H1" i="84" l="1"/>
  <c r="F1" i="84" s="1"/>
  <c r="L36" i="79" l="1"/>
  <c r="G15" i="68" l="1"/>
  <c r="G14" i="68"/>
  <c r="C12" i="82" l="1"/>
  <c r="B17" i="68" l="1"/>
  <c r="H1" i="81" l="1"/>
  <c r="F1" i="81" s="1"/>
  <c r="E17" i="68" l="1"/>
  <c r="H1" i="80" l="1"/>
  <c r="F1" i="80" s="1"/>
  <c r="H1" i="78" l="1"/>
  <c r="F1" i="78" s="1"/>
  <c r="G13" i="68" l="1"/>
  <c r="G17" i="68" s="1"/>
  <c r="G12" i="68"/>
  <c r="G11" i="68" l="1"/>
  <c r="H1" i="77" l="1"/>
  <c r="F1" i="77" s="1"/>
  <c r="G10" i="68" l="1"/>
  <c r="H1" i="76" l="1"/>
  <c r="F1" i="76" s="1"/>
  <c r="G9" i="68"/>
  <c r="H1" i="75" l="1"/>
  <c r="F1" i="75" s="1"/>
  <c r="H1" i="74" l="1"/>
  <c r="F1" i="74" s="1"/>
  <c r="G5" i="68" l="1"/>
  <c r="G6" i="68"/>
  <c r="G7" i="68"/>
  <c r="G8" i="68"/>
  <c r="G4" i="68"/>
  <c r="H1" i="73" l="1"/>
  <c r="F1" i="73" s="1"/>
  <c r="H1" i="72" l="1"/>
  <c r="F1" i="72" s="1"/>
  <c r="H1" i="71" l="1"/>
  <c r="F1" i="71" s="1"/>
  <c r="H1" i="70" l="1"/>
  <c r="F1" i="70" s="1"/>
  <c r="H1" i="69" l="1"/>
  <c r="F1" i="69" s="1"/>
  <c r="H1" i="67" l="1"/>
  <c r="F1" i="67" s="1"/>
  <c r="H1" i="66" l="1"/>
  <c r="F1" i="66" s="1"/>
  <c r="H1" i="65" l="1"/>
  <c r="F1" i="65" s="1"/>
  <c r="H1" i="64" l="1"/>
  <c r="F1" i="64" s="1"/>
  <c r="H1" i="63" l="1"/>
  <c r="F1" i="63" s="1"/>
  <c r="H1" i="62" l="1"/>
  <c r="F1" i="62" s="1"/>
  <c r="H1" i="60" l="1"/>
  <c r="F1" i="60" s="1"/>
  <c r="H1" i="59" l="1"/>
  <c r="F1" i="59" s="1"/>
  <c r="H1" i="58" l="1"/>
  <c r="F1" i="58" s="1"/>
  <c r="H1" i="57" l="1"/>
  <c r="F1" i="57" s="1"/>
  <c r="H1" i="56" l="1"/>
  <c r="F1" i="56" s="1"/>
  <c r="F1" i="53" l="1"/>
  <c r="H1" i="55" l="1"/>
  <c r="F1" i="55" s="1"/>
  <c r="H6" i="32" l="1"/>
  <c r="G17" i="32" l="1"/>
  <c r="F17" i="32"/>
  <c r="E17" i="32"/>
  <c r="D17" i="32"/>
  <c r="H16" i="32"/>
  <c r="H15" i="32"/>
  <c r="H14" i="32"/>
  <c r="H13" i="32"/>
  <c r="H12" i="32"/>
  <c r="H11" i="32"/>
  <c r="H10" i="32"/>
  <c r="H9" i="32"/>
  <c r="H8" i="32"/>
  <c r="H7" i="32"/>
</calcChain>
</file>

<file path=xl/sharedStrings.xml><?xml version="1.0" encoding="utf-8"?>
<sst xmlns="http://schemas.openxmlformats.org/spreadsheetml/2006/main" count="7860" uniqueCount="6071">
  <si>
    <t>일자</t>
    <phoneticPr fontId="1" type="noConversion"/>
  </si>
  <si>
    <t>내용</t>
    <phoneticPr fontId="1" type="noConversion"/>
  </si>
  <si>
    <t>연락처</t>
    <phoneticPr fontId="1" type="noConversion"/>
  </si>
  <si>
    <t>판매금</t>
    <phoneticPr fontId="1" type="noConversion"/>
  </si>
  <si>
    <t>합계</t>
    <phoneticPr fontId="1" type="noConversion"/>
  </si>
  <si>
    <t>비고</t>
    <phoneticPr fontId="1" type="noConversion"/>
  </si>
  <si>
    <t>월별</t>
    <phoneticPr fontId="1" type="noConversion"/>
  </si>
  <si>
    <t>현금</t>
    <phoneticPr fontId="1" type="noConversion"/>
  </si>
  <si>
    <t>카드</t>
    <phoneticPr fontId="1" type="noConversion"/>
  </si>
  <si>
    <t>잔금</t>
    <phoneticPr fontId="1" type="noConversion"/>
  </si>
  <si>
    <t>총계</t>
    <phoneticPr fontId="1" type="noConversion"/>
  </si>
  <si>
    <t>증감률</t>
    <phoneticPr fontId="1" type="noConversion"/>
  </si>
  <si>
    <t>1월</t>
    <phoneticPr fontId="1" type="noConversion"/>
  </si>
  <si>
    <t>2월</t>
    <phoneticPr fontId="1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</si>
  <si>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</si>
  <si>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</si>
  <si>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</si>
  <si>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</si>
  <si>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</si>
  <si>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</si>
  <si>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</si>
  <si>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</si>
  <si>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</si>
  <si>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</si>
  <si>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합계</t>
    <phoneticPr fontId="1" type="noConversion"/>
  </si>
  <si>
    <t>특징</t>
    <phoneticPr fontId="1" type="noConversion"/>
  </si>
  <si>
    <t>1日 평균</t>
    <phoneticPr fontId="1" type="noConversion"/>
  </si>
  <si>
    <t>앵글, 블라인드</t>
    <phoneticPr fontId="1" type="noConversion"/>
  </si>
  <si>
    <t>2022년 10월  매출현황</t>
    <phoneticPr fontId="1" type="noConversion"/>
  </si>
  <si>
    <t>11월8일</t>
    <phoneticPr fontId="1" type="noConversion"/>
  </si>
  <si>
    <t>금아팰리스102동3901호</t>
    <phoneticPr fontId="1" type="noConversion"/>
  </si>
  <si>
    <t>현금</t>
    <phoneticPr fontId="1" type="noConversion"/>
  </si>
  <si>
    <t>010-6549-0277</t>
    <phoneticPr fontId="1" type="noConversion"/>
  </si>
  <si>
    <t>11월9일</t>
    <phoneticPr fontId="1" type="noConversion"/>
  </si>
  <si>
    <t>홍희빌라 302호</t>
    <phoneticPr fontId="1" type="noConversion"/>
  </si>
  <si>
    <t>010-2972-8659</t>
    <phoneticPr fontId="1" type="noConversion"/>
  </si>
  <si>
    <t>300*600*1800 5단 1열 무,양</t>
    <phoneticPr fontId="1" type="noConversion"/>
  </si>
  <si>
    <t>1500*500*1500 4단 2열 무,일 1400*600*1800 2열 5단 무.양</t>
    <phoneticPr fontId="1" type="noConversion"/>
  </si>
  <si>
    <t>현금 계좌이체</t>
    <phoneticPr fontId="1" type="noConversion"/>
  </si>
  <si>
    <t>11월10일</t>
    <phoneticPr fontId="1" type="noConversion"/>
  </si>
  <si>
    <t>010-3843-6228</t>
    <phoneticPr fontId="1" type="noConversion"/>
  </si>
  <si>
    <t>재료포장</t>
    <phoneticPr fontId="1" type="noConversion"/>
  </si>
  <si>
    <t xml:space="preserve">500*400*1800 5단 1열 무,양 </t>
    <phoneticPr fontId="1" type="noConversion"/>
  </si>
  <si>
    <t>재료포장</t>
    <phoneticPr fontId="1" type="noConversion"/>
  </si>
  <si>
    <t>11월10일</t>
    <phoneticPr fontId="1" type="noConversion"/>
  </si>
  <si>
    <t>010-4872-4080</t>
    <phoneticPr fontId="1" type="noConversion"/>
  </si>
  <si>
    <t>11월14일</t>
    <phoneticPr fontId="1" type="noConversion"/>
  </si>
  <si>
    <t>중구 약사동 352-1</t>
    <phoneticPr fontId="1" type="noConversion"/>
  </si>
  <si>
    <t>010-8911-6534</t>
    <phoneticPr fontId="1" type="noConversion"/>
  </si>
  <si>
    <t xml:space="preserve">600*3800*1800 4열 4단 2조 무,일
600*1800*1800 2열 4단 무,일
</t>
    <phoneticPr fontId="1" type="noConversion"/>
  </si>
  <si>
    <t>11월15일</t>
    <phoneticPr fontId="1" type="noConversion"/>
  </si>
  <si>
    <t>e-편한세상 어반스퀘어</t>
    <phoneticPr fontId="1" type="noConversion"/>
  </si>
  <si>
    <t>010-6605-7772</t>
    <phoneticPr fontId="1" type="noConversion"/>
  </si>
  <si>
    <t>600*600*1800 4단 무.양
400*600*1800 3단 무.일</t>
    <phoneticPr fontId="1" type="noConversion"/>
  </si>
  <si>
    <t>11월15일</t>
    <phoneticPr fontId="1" type="noConversion"/>
  </si>
  <si>
    <t>상북면 남천로 247 경동청구 102동 108호</t>
    <phoneticPr fontId="1" type="noConversion"/>
  </si>
  <si>
    <t>010-3761-5008</t>
    <phoneticPr fontId="1" type="noConversion"/>
  </si>
  <si>
    <t>400*1800*1500 2열 2단</t>
    <phoneticPr fontId="1" type="noConversion"/>
  </si>
  <si>
    <t>11월15일</t>
    <phoneticPr fontId="1" type="noConversion"/>
  </si>
  <si>
    <t>자동차 렉스턴</t>
    <phoneticPr fontId="1" type="noConversion"/>
  </si>
  <si>
    <t>010-3537-3047</t>
    <phoneticPr fontId="1" type="noConversion"/>
  </si>
  <si>
    <t>카드</t>
    <phoneticPr fontId="1" type="noConversion"/>
  </si>
  <si>
    <t>700*1100*900 2단
300*1100*900 1단</t>
    <phoneticPr fontId="1" type="noConversion"/>
  </si>
  <si>
    <t>400*700*900 2단 1열 
400*700*900 2단 1열  4구</t>
    <phoneticPr fontId="1" type="noConversion"/>
  </si>
  <si>
    <t>11월15일</t>
    <phoneticPr fontId="1" type="noConversion"/>
  </si>
  <si>
    <t>재료포장</t>
    <phoneticPr fontId="1" type="noConversion"/>
  </si>
  <si>
    <t>010-8550-8569</t>
    <phoneticPr fontId="1" type="noConversion"/>
  </si>
  <si>
    <t>400*1200*1500 4단 2조
400*1000*1500 4단 1조</t>
    <phoneticPr fontId="1" type="noConversion"/>
  </si>
  <si>
    <t>11월17일</t>
    <phoneticPr fontId="1" type="noConversion"/>
  </si>
  <si>
    <t>구영리 동문아파트104동1801호</t>
    <phoneticPr fontId="1" type="noConversion"/>
  </si>
  <si>
    <t>010-4542-0201</t>
    <phoneticPr fontId="1" type="noConversion"/>
  </si>
  <si>
    <t>500*1000*2300 3단 무.양
400*500*1200 3단 무.양</t>
    <phoneticPr fontId="1" type="noConversion"/>
  </si>
  <si>
    <t>경남 아너스빌 106동2002호</t>
    <phoneticPr fontId="1" type="noConversion"/>
  </si>
  <si>
    <t>010-5096-8114</t>
    <phoneticPr fontId="1" type="noConversion"/>
  </si>
  <si>
    <t>500*800*2000 5단 무.일
600*1000*2100 3단 무.양.일</t>
    <phoneticPr fontId="1" type="noConversion"/>
  </si>
  <si>
    <t>호반 베르디움 107동1802호</t>
    <phoneticPr fontId="1" type="noConversion"/>
  </si>
  <si>
    <t>010-9309-8334</t>
    <phoneticPr fontId="1" type="noConversion"/>
  </si>
  <si>
    <t>600*1000*1700 2단 무.양
300*700*2100 5단 무.양</t>
    <phoneticPr fontId="1" type="noConversion"/>
  </si>
  <si>
    <t>현금 계좌이체</t>
    <phoneticPr fontId="1" type="noConversion"/>
  </si>
  <si>
    <t>두동면 이전 당지길129-10</t>
    <phoneticPr fontId="1" type="noConversion"/>
  </si>
  <si>
    <t>010-2581-7101</t>
    <phoneticPr fontId="1" type="noConversion"/>
  </si>
  <si>
    <t>블라인드 2300 850 1590 850
1330 1150 1150</t>
    <phoneticPr fontId="1" type="noConversion"/>
  </si>
  <si>
    <t>서눔 노인 복지센터</t>
    <phoneticPr fontId="1" type="noConversion"/>
  </si>
  <si>
    <t>010-6022-1475</t>
    <phoneticPr fontId="1" type="noConversion"/>
  </si>
  <si>
    <t>11월18일</t>
    <phoneticPr fontId="1" type="noConversion"/>
  </si>
  <si>
    <t>600*1600*2000 2열 4단 무.일</t>
    <phoneticPr fontId="1" type="noConversion"/>
  </si>
  <si>
    <t>11월21일</t>
    <phoneticPr fontId="1" type="noConversion"/>
  </si>
  <si>
    <t>능골길43-38 모도리</t>
    <phoneticPr fontId="1" type="noConversion"/>
  </si>
  <si>
    <t>010-8652-98060</t>
    <phoneticPr fontId="1" type="noConversion"/>
  </si>
  <si>
    <t>600*1600*1800 3열 3단 무.일</t>
    <phoneticPr fontId="1" type="noConversion"/>
  </si>
  <si>
    <t>11월22일</t>
    <phoneticPr fontId="1" type="noConversion"/>
  </si>
  <si>
    <t>울주도서관</t>
    <phoneticPr fontId="1" type="noConversion"/>
  </si>
  <si>
    <t>010-8147-3370</t>
    <phoneticPr fontId="1" type="noConversion"/>
  </si>
  <si>
    <t>600*1600*2000 2열 4단 무.일</t>
    <phoneticPr fontId="1" type="noConversion"/>
  </si>
  <si>
    <t>중구 구교로240 포스기</t>
    <phoneticPr fontId="1" type="noConversion"/>
  </si>
  <si>
    <t>010-7338-0059</t>
    <phoneticPr fontId="1" type="noConversion"/>
  </si>
  <si>
    <t>600*4900*2000 5열 5단 무.일
600*900*2000 1열 5단 무.일
600*1500*2000 2열 5단 무.일</t>
    <phoneticPr fontId="1" type="noConversion"/>
  </si>
  <si>
    <t>11월24일</t>
    <phoneticPr fontId="1" type="noConversion"/>
  </si>
  <si>
    <t>11월22일</t>
    <phoneticPr fontId="1" type="noConversion"/>
  </si>
  <si>
    <t>남구 대학로80-1 세광빌딩
6층</t>
    <phoneticPr fontId="1" type="noConversion"/>
  </si>
  <si>
    <t>010-8499-1333</t>
    <phoneticPr fontId="1" type="noConversion"/>
  </si>
  <si>
    <t>300*2400*1800 2열 6단 무.양</t>
    <phoneticPr fontId="1" type="noConversion"/>
  </si>
  <si>
    <t>11월24일</t>
    <phoneticPr fontId="1" type="noConversion"/>
  </si>
  <si>
    <t>대진 그린피아101동608호</t>
    <phoneticPr fontId="1" type="noConversion"/>
  </si>
  <si>
    <t>010-5046-2688</t>
    <phoneticPr fontId="1" type="noConversion"/>
  </si>
  <si>
    <t>400*2000*1800 2열 4단 무.일</t>
    <phoneticPr fontId="1" type="noConversion"/>
  </si>
  <si>
    <t>11월25일</t>
    <phoneticPr fontId="1" type="noConversion"/>
  </si>
  <si>
    <t>언양 동부3길 17-3 가든</t>
    <phoneticPr fontId="1" type="noConversion"/>
  </si>
  <si>
    <t>010-9315-6808</t>
    <phoneticPr fontId="1" type="noConversion"/>
  </si>
  <si>
    <t xml:space="preserve">블라인드 높이 2300 가로1225, </t>
    <phoneticPr fontId="1" type="noConversion"/>
  </si>
  <si>
    <t>카드</t>
    <phoneticPr fontId="1" type="noConversion"/>
  </si>
  <si>
    <t>재료포장</t>
    <phoneticPr fontId="1" type="noConversion"/>
  </si>
  <si>
    <t>11월26일</t>
    <phoneticPr fontId="1" type="noConversion"/>
  </si>
  <si>
    <t>300*600*600 2단 2조</t>
    <phoneticPr fontId="1" type="noConversion"/>
  </si>
  <si>
    <t>정운</t>
    <phoneticPr fontId="1" type="noConversion"/>
  </si>
  <si>
    <t>두동면 만화리 549번지</t>
    <phoneticPr fontId="1" type="noConversion"/>
  </si>
  <si>
    <t>010-9351-2999</t>
    <phoneticPr fontId="1" type="noConversion"/>
  </si>
  <si>
    <t>11월28일</t>
    <phoneticPr fontId="1" type="noConversion"/>
  </si>
  <si>
    <t>11월29일</t>
    <phoneticPr fontId="1" type="noConversion"/>
  </si>
  <si>
    <t>서부 청소년 수련관</t>
    <phoneticPr fontId="1" type="noConversion"/>
  </si>
  <si>
    <t>010-4900-9977</t>
    <phoneticPr fontId="1" type="noConversion"/>
  </si>
  <si>
    <t>600*3600*1800 3열 3단 무,일</t>
    <phoneticPr fontId="1" type="noConversion"/>
  </si>
  <si>
    <t>300*1200*1800 5단 무,테</t>
    <phoneticPr fontId="1" type="noConversion"/>
  </si>
  <si>
    <t>카드</t>
    <phoneticPr fontId="1" type="noConversion"/>
  </si>
  <si>
    <t>입금완료</t>
    <phoneticPr fontId="1" type="noConversion"/>
  </si>
  <si>
    <t>11월29일</t>
    <phoneticPr fontId="1" type="noConversion"/>
  </si>
  <si>
    <t>1400*2800*2400 2열 5단</t>
    <phoneticPr fontId="1" type="noConversion"/>
  </si>
  <si>
    <t>태봉파크102동1001호</t>
    <phoneticPr fontId="1" type="noConversion"/>
  </si>
  <si>
    <t>010-4932-5665</t>
    <phoneticPr fontId="1" type="noConversion"/>
  </si>
  <si>
    <t>500*2700*1800 3열 3단
500*1900*1800 2열 3단</t>
    <phoneticPr fontId="1" type="noConversion"/>
  </si>
  <si>
    <t>11월30일</t>
    <phoneticPr fontId="1" type="noConversion"/>
  </si>
  <si>
    <t>클라우디 카페</t>
    <phoneticPr fontId="1" type="noConversion"/>
  </si>
  <si>
    <t>010-9611-1316</t>
    <phoneticPr fontId="1" type="noConversion"/>
  </si>
  <si>
    <t>양우내안애</t>
    <phoneticPr fontId="1" type="noConversion"/>
  </si>
  <si>
    <t>010-2450-0715</t>
    <phoneticPr fontId="1" type="noConversion"/>
  </si>
  <si>
    <t>블라인드</t>
    <phoneticPr fontId="1" type="noConversion"/>
  </si>
  <si>
    <t>500*800*2000 4단 무,양
400*800*2000 4단 무,일
400*900*2000 3단 무,양</t>
    <phoneticPr fontId="1" type="noConversion"/>
  </si>
  <si>
    <t>반구대 안길 353</t>
    <phoneticPr fontId="1" type="noConversion"/>
  </si>
  <si>
    <t>010-7204-1318</t>
    <phoneticPr fontId="1" type="noConversion"/>
  </si>
  <si>
    <t>600*1100*1200 3단 무.양 2조</t>
    <phoneticPr fontId="1" type="noConversion"/>
  </si>
  <si>
    <t>2022년 12월  매출현황</t>
    <phoneticPr fontId="1" type="noConversion"/>
  </si>
  <si>
    <t>11월30일</t>
    <phoneticPr fontId="1" type="noConversion"/>
  </si>
  <si>
    <t>삼산로358코아루 915호</t>
    <phoneticPr fontId="1" type="noConversion"/>
  </si>
  <si>
    <t>010-3560-8011</t>
    <phoneticPr fontId="1" type="noConversion"/>
  </si>
  <si>
    <t>300*900*1500 2단 무.양</t>
    <phoneticPr fontId="1" type="noConversion"/>
  </si>
  <si>
    <t>계좌이체</t>
    <phoneticPr fontId="1" type="noConversion"/>
  </si>
  <si>
    <t>계좌이체</t>
    <phoneticPr fontId="1" type="noConversion"/>
  </si>
  <si>
    <t>계좌이체</t>
    <phoneticPr fontId="1" type="noConversion"/>
  </si>
  <si>
    <t>계산서 입금완료</t>
    <phoneticPr fontId="1" type="noConversion"/>
  </si>
  <si>
    <t>현금</t>
    <phoneticPr fontId="1" type="noConversion"/>
  </si>
  <si>
    <t>현금 계좌이체</t>
    <phoneticPr fontId="1" type="noConversion"/>
  </si>
  <si>
    <t>계좌이체</t>
    <phoneticPr fontId="1" type="noConversion"/>
  </si>
  <si>
    <t>12월02일</t>
    <phoneticPr fontId="1" type="noConversion"/>
  </si>
  <si>
    <t>12월3일</t>
    <phoneticPr fontId="1" type="noConversion"/>
  </si>
  <si>
    <t>남구 대암로92</t>
    <phoneticPr fontId="1" type="noConversion"/>
  </si>
  <si>
    <t>010-9469-7754</t>
    <phoneticPr fontId="1" type="noConversion"/>
  </si>
  <si>
    <t>400*1200*1800 3단 무.양
400*400*1800 4단 무.양</t>
    <phoneticPr fontId="1" type="noConversion"/>
  </si>
  <si>
    <t>500*700*1500 3단 무.양</t>
    <phoneticPr fontId="1" type="noConversion"/>
  </si>
  <si>
    <t>반구동 아담APT2동202호</t>
    <phoneticPr fontId="1" type="noConversion"/>
  </si>
  <si>
    <t>010-8710-7232</t>
    <phoneticPr fontId="1" type="noConversion"/>
  </si>
  <si>
    <t>010-3890-0195</t>
    <phoneticPr fontId="1" type="noConversion"/>
  </si>
  <si>
    <t>언양</t>
    <phoneticPr fontId="1" type="noConversion"/>
  </si>
  <si>
    <t>300*2300*1200 3단 2열 무,양
300*1900*1200 4단 3열 무,양
300*700*1200 4단 무,양</t>
    <phoneticPr fontId="1" type="noConversion"/>
  </si>
  <si>
    <t>현금</t>
    <phoneticPr fontId="1" type="noConversion"/>
  </si>
  <si>
    <t>12월5일</t>
    <phoneticPr fontId="1" type="noConversion"/>
  </si>
  <si>
    <t>620회색 재료포장</t>
    <phoneticPr fontId="1" type="noConversion"/>
  </si>
  <si>
    <t>010-9591-9492</t>
    <phoneticPr fontId="1" type="noConversion"/>
  </si>
  <si>
    <t>700*2000 3단 볼.일</t>
    <phoneticPr fontId="1" type="noConversion"/>
  </si>
  <si>
    <t>현금</t>
    <phoneticPr fontId="1" type="noConversion"/>
  </si>
  <si>
    <t>동문 오피스텔201동2202호</t>
    <phoneticPr fontId="1" type="noConversion"/>
  </si>
  <si>
    <t>010-3116-9256</t>
    <phoneticPr fontId="1" type="noConversion"/>
  </si>
  <si>
    <t>계좌이체</t>
    <phoneticPr fontId="1" type="noConversion"/>
  </si>
  <si>
    <t>600*1000*1800 2단 무.일</t>
    <phoneticPr fontId="1" type="noConversion"/>
  </si>
  <si>
    <t>삼동면 삼동로111</t>
    <phoneticPr fontId="1" type="noConversion"/>
  </si>
  <si>
    <t>010-9591-9492</t>
    <phoneticPr fontId="1" type="noConversion"/>
  </si>
  <si>
    <t>600*3000*2000 7단 3열 무.일</t>
    <phoneticPr fontId="1" type="noConversion"/>
  </si>
  <si>
    <t>600*1200*2000 2열 3단 무.일</t>
    <phoneticPr fontId="1" type="noConversion"/>
  </si>
  <si>
    <t>남구 옥현로 58번길 9 1층 자연처럼</t>
    <phoneticPr fontId="1" type="noConversion"/>
  </si>
  <si>
    <t>300*900*2000 3단 무.일</t>
    <phoneticPr fontId="1" type="noConversion"/>
  </si>
  <si>
    <t>010-2505-6251</t>
    <phoneticPr fontId="1" type="noConversion"/>
  </si>
  <si>
    <t>계좌이체</t>
    <phoneticPr fontId="1" type="noConversion"/>
  </si>
  <si>
    <t>12월6일</t>
    <phoneticPr fontId="1" type="noConversion"/>
  </si>
  <si>
    <t>굿파크빌 103동 401호</t>
    <phoneticPr fontId="1" type="noConversion"/>
  </si>
  <si>
    <t>010-8388-8050</t>
    <phoneticPr fontId="1" type="noConversion"/>
  </si>
  <si>
    <t>현금</t>
    <phoneticPr fontId="1" type="noConversion"/>
  </si>
  <si>
    <t>블라인드 앵글</t>
    <phoneticPr fontId="1" type="noConversion"/>
  </si>
  <si>
    <t xml:space="preserve">계산서 </t>
    <phoneticPr fontId="1" type="noConversion"/>
  </si>
  <si>
    <t>010-2622-0475</t>
    <phoneticPr fontId="1" type="noConversion"/>
  </si>
  <si>
    <t>울주군 복안리715-1</t>
    <phoneticPr fontId="1" type="noConversion"/>
  </si>
  <si>
    <t>500*1400*1800 무.일</t>
    <phoneticPr fontId="1" type="noConversion"/>
  </si>
  <si>
    <t>계좌이체</t>
    <phoneticPr fontId="1" type="noConversion"/>
  </si>
  <si>
    <t>카드</t>
    <phoneticPr fontId="1" type="noConversion"/>
  </si>
  <si>
    <t>재표판매</t>
    <phoneticPr fontId="1" type="noConversion"/>
  </si>
  <si>
    <t>13미리,11미리 합판 볼트 너트</t>
    <phoneticPr fontId="1" type="noConversion"/>
  </si>
  <si>
    <t>12월7일</t>
    <phoneticPr fontId="1" type="noConversion"/>
  </si>
  <si>
    <t>커튼</t>
    <phoneticPr fontId="1" type="noConversion"/>
  </si>
  <si>
    <t>12월9일</t>
    <phoneticPr fontId="1" type="noConversion"/>
  </si>
  <si>
    <t>평상</t>
    <phoneticPr fontId="1" type="noConversion"/>
  </si>
  <si>
    <t>현금</t>
    <phoneticPr fontId="1" type="noConversion"/>
  </si>
  <si>
    <t>12월10일</t>
    <phoneticPr fontId="1" type="noConversion"/>
  </si>
  <si>
    <t>600*800*1800 3단 무,양</t>
    <phoneticPr fontId="1" type="noConversion"/>
  </si>
  <si>
    <t>현금</t>
    <phoneticPr fontId="1" type="noConversion"/>
  </si>
  <si>
    <t>12월11일</t>
    <phoneticPr fontId="1" type="noConversion"/>
  </si>
  <si>
    <t>재료포장</t>
    <phoneticPr fontId="1" type="noConversion"/>
  </si>
  <si>
    <t>300*700*1200 4단 무.양</t>
    <phoneticPr fontId="1" type="noConversion"/>
  </si>
  <si>
    <t>계좌이체</t>
    <phoneticPr fontId="1" type="noConversion"/>
  </si>
  <si>
    <t>12월12일</t>
    <phoneticPr fontId="1" type="noConversion"/>
  </si>
  <si>
    <t>다문화센터</t>
    <phoneticPr fontId="1" type="noConversion"/>
  </si>
  <si>
    <t>카드</t>
    <phoneticPr fontId="1" type="noConversion"/>
  </si>
  <si>
    <t>합판 작업</t>
    <phoneticPr fontId="1" type="noConversion"/>
  </si>
  <si>
    <t>12월13일</t>
    <phoneticPr fontId="1" type="noConversion"/>
  </si>
  <si>
    <t>한라그린피스103동1803호</t>
    <phoneticPr fontId="1" type="noConversion"/>
  </si>
  <si>
    <t>010-9498-4692</t>
    <phoneticPr fontId="1" type="noConversion"/>
  </si>
  <si>
    <t>500*700*2000 무.일 5단</t>
    <phoneticPr fontId="1" type="noConversion"/>
  </si>
  <si>
    <t>현금</t>
    <phoneticPr fontId="1" type="noConversion"/>
  </si>
  <si>
    <t>울주도서관</t>
    <phoneticPr fontId="1" type="noConversion"/>
  </si>
  <si>
    <t>카드</t>
    <phoneticPr fontId="1" type="noConversion"/>
  </si>
  <si>
    <t>블라인드</t>
    <phoneticPr fontId="1" type="noConversion"/>
  </si>
  <si>
    <t>재료포장</t>
    <phoneticPr fontId="1" type="noConversion"/>
  </si>
  <si>
    <t>400*2000*1200 2열 4단 무.일</t>
    <phoneticPr fontId="1" type="noConversion"/>
  </si>
  <si>
    <t>재료배달</t>
    <phoneticPr fontId="1" type="noConversion"/>
  </si>
  <si>
    <t>블라인드</t>
    <phoneticPr fontId="1" type="noConversion"/>
  </si>
  <si>
    <t>현금</t>
    <phoneticPr fontId="1" type="noConversion"/>
  </si>
  <si>
    <t>12월14일</t>
    <phoneticPr fontId="1" type="noConversion"/>
  </si>
  <si>
    <t>로디스튜디오</t>
    <phoneticPr fontId="1" type="noConversion"/>
  </si>
  <si>
    <t>010-8139-1884</t>
    <phoneticPr fontId="1" type="noConversion"/>
  </si>
  <si>
    <t xml:space="preserve">남운프라자 </t>
    <phoneticPr fontId="1" type="noConversion"/>
  </si>
  <si>
    <t>010-7546-4520</t>
    <phoneticPr fontId="1" type="noConversion"/>
  </si>
  <si>
    <t>600*3600*1800 3열 3단</t>
    <phoneticPr fontId="1" type="noConversion"/>
  </si>
  <si>
    <t>600*3600*2000 3열 5단</t>
    <phoneticPr fontId="1" type="noConversion"/>
  </si>
  <si>
    <t>12월15일</t>
    <phoneticPr fontId="1" type="noConversion"/>
  </si>
  <si>
    <t>평리길</t>
    <phoneticPr fontId="1" type="noConversion"/>
  </si>
  <si>
    <t>010-8512-5301</t>
    <phoneticPr fontId="1" type="noConversion"/>
  </si>
  <si>
    <t>커튼 블라인드</t>
    <phoneticPr fontId="1" type="noConversion"/>
  </si>
  <si>
    <t>결제완료 계산서</t>
    <phoneticPr fontId="1" type="noConversion"/>
  </si>
  <si>
    <t>삼남읍 중남로72 생생건강원</t>
    <phoneticPr fontId="1" type="noConversion"/>
  </si>
  <si>
    <t>010-2211-7386</t>
    <phoneticPr fontId="1" type="noConversion"/>
  </si>
  <si>
    <t>굿파크빌 103동 401호</t>
    <phoneticPr fontId="1" type="noConversion"/>
  </si>
  <si>
    <t>리슈빌</t>
    <phoneticPr fontId="1" type="noConversion"/>
  </si>
  <si>
    <t>블라인드</t>
    <phoneticPr fontId="1" type="noConversion"/>
  </si>
  <si>
    <t>상북면 지화1길</t>
    <phoneticPr fontId="1" type="noConversion"/>
  </si>
  <si>
    <t>010-3850-3510</t>
    <phoneticPr fontId="1" type="noConversion"/>
  </si>
  <si>
    <t>현금</t>
    <phoneticPr fontId="1" type="noConversion"/>
  </si>
  <si>
    <t>계좌이체</t>
    <phoneticPr fontId="1" type="noConversion"/>
  </si>
  <si>
    <t>300*1000*1800 5단 무.양
300*1200*900 3단 무.일</t>
    <phoneticPr fontId="1" type="noConversion"/>
  </si>
  <si>
    <t>300*1200*1200 3단 무.일</t>
    <phoneticPr fontId="1" type="noConversion"/>
  </si>
  <si>
    <t>특징</t>
    <phoneticPr fontId="1" type="noConversion"/>
  </si>
  <si>
    <t>12월16일</t>
    <phoneticPr fontId="1" type="noConversion"/>
  </si>
  <si>
    <t>구영리 도시락집</t>
    <phoneticPr fontId="1" type="noConversion"/>
  </si>
  <si>
    <t>010-9797-1582</t>
    <phoneticPr fontId="1" type="noConversion"/>
  </si>
  <si>
    <t>12월17일</t>
    <phoneticPr fontId="1" type="noConversion"/>
  </si>
  <si>
    <t>울주도서관</t>
    <phoneticPr fontId="1" type="noConversion"/>
  </si>
  <si>
    <t>블라인드</t>
    <phoneticPr fontId="1" type="noConversion"/>
  </si>
  <si>
    <t>010-3188-2906</t>
    <phoneticPr fontId="1" type="noConversion"/>
  </si>
  <si>
    <t>300*400*740 무.일 바퀴</t>
    <phoneticPr fontId="1" type="noConversion"/>
  </si>
  <si>
    <t>무거동 협성현대 1212호</t>
    <phoneticPr fontId="1" type="noConversion"/>
  </si>
  <si>
    <t>600*1600*2000 2열 4단,3단</t>
    <phoneticPr fontId="1" type="noConversion"/>
  </si>
  <si>
    <t>카드</t>
    <phoneticPr fontId="1" type="noConversion"/>
  </si>
  <si>
    <t>600*1800*900 3단 2열</t>
    <phoneticPr fontId="1" type="noConversion"/>
  </si>
  <si>
    <t>010-3837-6739</t>
    <phoneticPr fontId="1" type="noConversion"/>
  </si>
  <si>
    <t>이편한세상107동704호</t>
    <phoneticPr fontId="1" type="noConversion"/>
  </si>
  <si>
    <t>010-9232-2602</t>
    <phoneticPr fontId="1" type="noConversion"/>
  </si>
  <si>
    <t>500*600*1800 5단 무.일</t>
    <phoneticPr fontId="1" type="noConversion"/>
  </si>
  <si>
    <t>계좌이체</t>
    <phoneticPr fontId="1" type="noConversion"/>
  </si>
  <si>
    <t>12월19일</t>
    <phoneticPr fontId="1" type="noConversion"/>
  </si>
  <si>
    <t>재료포장</t>
    <phoneticPr fontId="1" type="noConversion"/>
  </si>
  <si>
    <t>400*1100*1800 5단</t>
    <phoneticPr fontId="1" type="noConversion"/>
  </si>
  <si>
    <t>현금</t>
    <phoneticPr fontId="1" type="noConversion"/>
  </si>
  <si>
    <t>카드</t>
    <phoneticPr fontId="1" type="noConversion"/>
  </si>
  <si>
    <t>결제완료 계산서</t>
    <phoneticPr fontId="1" type="noConversion"/>
  </si>
  <si>
    <t>12월20일</t>
    <phoneticPr fontId="1" type="noConversion"/>
  </si>
  <si>
    <t>재료포장</t>
    <phoneticPr fontId="1" type="noConversion"/>
  </si>
  <si>
    <t>500*1200*1800 5단</t>
    <phoneticPr fontId="1" type="noConversion"/>
  </si>
  <si>
    <t>계좌이체</t>
    <phoneticPr fontId="1" type="noConversion"/>
  </si>
  <si>
    <t>두동면 당산길27-11</t>
    <phoneticPr fontId="1" type="noConversion"/>
  </si>
  <si>
    <t>010-8539-5021</t>
    <phoneticPr fontId="1" type="noConversion"/>
  </si>
  <si>
    <t>500*1600*1800 5단 무일
400*1200*2000 5단 무일
400*700*2000 5단 무일</t>
    <phoneticPr fontId="1" type="noConversion"/>
  </si>
  <si>
    <t>계좌이체</t>
    <phoneticPr fontId="1" type="noConversion"/>
  </si>
  <si>
    <t>범서읍 사서리 730번지</t>
    <phoneticPr fontId="1" type="noConversion"/>
  </si>
  <si>
    <t>010-4587-4307</t>
    <phoneticPr fontId="1" type="noConversion"/>
  </si>
  <si>
    <t>400*2800*2000 3열 5단 무.일</t>
    <phoneticPr fontId="1" type="noConversion"/>
  </si>
  <si>
    <t>옥현주공 307동701호</t>
    <phoneticPr fontId="1" type="noConversion"/>
  </si>
  <si>
    <t>010-5031-7012</t>
    <phoneticPr fontId="1" type="noConversion"/>
  </si>
  <si>
    <t>600*1200*2000 5단 무,양
600*800*2000 5단 무,일</t>
    <phoneticPr fontId="1" type="noConversion"/>
  </si>
  <si>
    <t>현대문화아파트1동 2311호</t>
    <phoneticPr fontId="1" type="noConversion"/>
  </si>
  <si>
    <t>010-8832-9535</t>
    <phoneticPr fontId="1" type="noConversion"/>
  </si>
  <si>
    <t>400*1200*2000 4단 무.일</t>
    <phoneticPr fontId="1" type="noConversion"/>
  </si>
  <si>
    <t>계좌이체</t>
    <phoneticPr fontId="1" type="noConversion"/>
  </si>
  <si>
    <t>12월21일</t>
    <phoneticPr fontId="1" type="noConversion"/>
  </si>
  <si>
    <t>경동태원</t>
    <phoneticPr fontId="1" type="noConversion"/>
  </si>
  <si>
    <t>블라인드</t>
    <phoneticPr fontId="1" type="noConversion"/>
  </si>
  <si>
    <t>계좌이체</t>
    <phoneticPr fontId="1" type="noConversion"/>
  </si>
  <si>
    <t>12월22일</t>
    <phoneticPr fontId="1" type="noConversion"/>
  </si>
  <si>
    <t>주간요양센터</t>
    <phoneticPr fontId="1" type="noConversion"/>
  </si>
  <si>
    <t>용방소10길 무림피앤시 사원 주택9동510호</t>
    <phoneticPr fontId="1" type="noConversion"/>
  </si>
  <si>
    <t>010-9434-4199</t>
    <phoneticPr fontId="1" type="noConversion"/>
  </si>
  <si>
    <t>010-5405-5295</t>
    <phoneticPr fontId="1" type="noConversion"/>
  </si>
  <si>
    <t>300*1100*2000 7단 무.양
600*1100*2000 5단 무.일
400*900*2000 4단 무.일</t>
    <phoneticPr fontId="1" type="noConversion"/>
  </si>
  <si>
    <t>600*900*2000 4단 무.일
400*2300*1800 4단 무.일</t>
    <phoneticPr fontId="1" type="noConversion"/>
  </si>
  <si>
    <t>12월23일</t>
    <phoneticPr fontId="1" type="noConversion"/>
  </si>
  <si>
    <t>양정동행복복지센터</t>
    <phoneticPr fontId="1" type="noConversion"/>
  </si>
  <si>
    <t>상북면 운문로29-5</t>
    <phoneticPr fontId="1" type="noConversion"/>
  </si>
  <si>
    <t>010-2571-3020</t>
    <phoneticPr fontId="1" type="noConversion"/>
  </si>
  <si>
    <t>카드결제</t>
    <phoneticPr fontId="1" type="noConversion"/>
  </si>
  <si>
    <t>현금</t>
    <phoneticPr fontId="1" type="noConversion"/>
  </si>
  <si>
    <t>평리길</t>
    <phoneticPr fontId="1" type="noConversion"/>
  </si>
  <si>
    <t>진성이집</t>
    <phoneticPr fontId="1" type="noConversion"/>
  </si>
  <si>
    <t>700*1000*2400 4단 무.일
700*700*2400 4단 무.일
400*2700*600 3열 1단 무.양</t>
    <phoneticPr fontId="1" type="noConversion"/>
  </si>
  <si>
    <t>400*1900*1500 2열 4단
400*500*1500 4단
400*1200*1800 4단</t>
    <phoneticPr fontId="1" type="noConversion"/>
  </si>
  <si>
    <t>블라인드</t>
    <phoneticPr fontId="1" type="noConversion"/>
  </si>
  <si>
    <t>블라인드,커튼</t>
    <phoneticPr fontId="1" type="noConversion"/>
  </si>
  <si>
    <t>12월26일</t>
    <phoneticPr fontId="1" type="noConversion"/>
  </si>
  <si>
    <t>재료포장</t>
    <phoneticPr fontId="1" type="noConversion"/>
  </si>
  <si>
    <t>차량설치</t>
    <phoneticPr fontId="1" type="noConversion"/>
  </si>
  <si>
    <t>400*1200*1200 4단</t>
    <phoneticPr fontId="1" type="noConversion"/>
  </si>
  <si>
    <t>600*1300 400</t>
    <phoneticPr fontId="1" type="noConversion"/>
  </si>
  <si>
    <t>현금</t>
    <phoneticPr fontId="1" type="noConversion"/>
  </si>
  <si>
    <t>계좌이체</t>
    <phoneticPr fontId="1" type="noConversion"/>
  </si>
  <si>
    <t>현금</t>
    <phoneticPr fontId="1" type="noConversion"/>
  </si>
  <si>
    <t>계좌이체</t>
    <phoneticPr fontId="1" type="noConversion"/>
  </si>
  <si>
    <t>서상평길3-10 골든 하우스304호</t>
    <phoneticPr fontId="1" type="noConversion"/>
  </si>
  <si>
    <t>010-9976-4059</t>
    <phoneticPr fontId="1" type="noConversion"/>
  </si>
  <si>
    <t>500*1200*1800 4단 무.양</t>
    <phoneticPr fontId="1" type="noConversion"/>
  </si>
  <si>
    <t>e편한세상104동1801호</t>
    <phoneticPr fontId="1" type="noConversion"/>
  </si>
  <si>
    <t>010-2766-9035</t>
    <phoneticPr fontId="1" type="noConversion"/>
  </si>
  <si>
    <t>400*1200*1500 4단 무.양</t>
    <phoneticPr fontId="1" type="noConversion"/>
  </si>
  <si>
    <t>400*800*2000 5단 무.일</t>
    <phoneticPr fontId="1" type="noConversion"/>
  </si>
  <si>
    <t>12월27일</t>
    <phoneticPr fontId="1" type="noConversion"/>
  </si>
  <si>
    <t>검정색 스타리아</t>
    <phoneticPr fontId="1" type="noConversion"/>
  </si>
  <si>
    <t>현금</t>
    <phoneticPr fontId="1" type="noConversion"/>
  </si>
  <si>
    <t>12월28일</t>
    <phoneticPr fontId="1" type="noConversion"/>
  </si>
  <si>
    <t>삼남 교동리503번지</t>
    <phoneticPr fontId="1" type="noConversion"/>
  </si>
  <si>
    <t>010-9585-3900</t>
    <phoneticPr fontId="1" type="noConversion"/>
  </si>
  <si>
    <t>500*1800*2100 2열 5단</t>
    <phoneticPr fontId="1" type="noConversion"/>
  </si>
  <si>
    <t>울산역</t>
    <phoneticPr fontId="1" type="noConversion"/>
  </si>
  <si>
    <t>010-3959-7732</t>
    <phoneticPr fontId="1" type="noConversion"/>
  </si>
  <si>
    <t>600*2400*2400 2열 5단 두조</t>
    <phoneticPr fontId="1" type="noConversion"/>
  </si>
  <si>
    <t>언양 멘션 A 301호</t>
    <phoneticPr fontId="1" type="noConversion"/>
  </si>
  <si>
    <t>010-4569-2948</t>
    <phoneticPr fontId="1" type="noConversion"/>
  </si>
  <si>
    <t>600*900*1800 무.일</t>
    <phoneticPr fontId="1" type="noConversion"/>
  </si>
  <si>
    <t>12월29일</t>
    <phoneticPr fontId="1" type="noConversion"/>
  </si>
  <si>
    <t>한신 202-605호</t>
    <phoneticPr fontId="1" type="noConversion"/>
  </si>
  <si>
    <t>010-3868-3663</t>
    <phoneticPr fontId="1" type="noConversion"/>
  </si>
  <si>
    <t>600*1600*1800 2열 5단</t>
    <phoneticPr fontId="1" type="noConversion"/>
  </si>
  <si>
    <t>계좌이체</t>
    <phoneticPr fontId="1" type="noConversion"/>
  </si>
  <si>
    <t>12월30일</t>
    <phoneticPr fontId="1" type="noConversion"/>
  </si>
  <si>
    <t>정거고중길2-11</t>
    <phoneticPr fontId="1" type="noConversion"/>
  </si>
  <si>
    <t>010-9355-3394</t>
    <phoneticPr fontId="1" type="noConversion"/>
  </si>
  <si>
    <t>600*2600*1500 무.일</t>
    <phoneticPr fontId="1" type="noConversion"/>
  </si>
  <si>
    <t>재료포장(옥현주공)</t>
    <phoneticPr fontId="1" type="noConversion"/>
  </si>
  <si>
    <t>400*1200*1800 무 3단
400*1200*1800 무 2단
400*1100 *1800 무 3단</t>
    <phoneticPr fontId="1" type="noConversion"/>
  </si>
  <si>
    <t>계좌이체</t>
    <phoneticPr fontId="1" type="noConversion"/>
  </si>
  <si>
    <t>12월31일</t>
    <phoneticPr fontId="1" type="noConversion"/>
  </si>
  <si>
    <t>신정동525-13</t>
    <phoneticPr fontId="1" type="noConversion"/>
  </si>
  <si>
    <t>비즈파크c 837호</t>
    <phoneticPr fontId="1" type="noConversion"/>
  </si>
  <si>
    <t>010-6720-5524</t>
    <phoneticPr fontId="1" type="noConversion"/>
  </si>
  <si>
    <t>두서면 번답길62-3</t>
    <phoneticPr fontId="1" type="noConversion"/>
  </si>
  <si>
    <t>010-9444-3563</t>
    <phoneticPr fontId="1" type="noConversion"/>
  </si>
  <si>
    <t>두산위브104동903호</t>
    <phoneticPr fontId="1" type="noConversion"/>
  </si>
  <si>
    <t>010-6683-3318</t>
    <phoneticPr fontId="1" type="noConversion"/>
  </si>
  <si>
    <t>010-8583-8313</t>
    <phoneticPr fontId="1" type="noConversion"/>
  </si>
  <si>
    <t>계좌이체</t>
    <phoneticPr fontId="1" type="noConversion"/>
  </si>
  <si>
    <t>계좌이체</t>
    <phoneticPr fontId="1" type="noConversion"/>
  </si>
  <si>
    <t>재료포장</t>
    <phoneticPr fontId="1" type="noConversion"/>
  </si>
  <si>
    <t>400*900*1200 4단</t>
    <phoneticPr fontId="1" type="noConversion"/>
  </si>
  <si>
    <t>현금</t>
    <phoneticPr fontId="1" type="noConversion"/>
  </si>
  <si>
    <t>400*4800*2000 5열 5단</t>
    <phoneticPr fontId="1" type="noConversion"/>
  </si>
  <si>
    <t>600*2600*2100 3열 5단
600*1600*2100 2열 5단
600*1000*2100 5단
400*900*2100 5단</t>
    <phoneticPr fontId="1" type="noConversion"/>
  </si>
  <si>
    <t>600*3600*2100 3열 5단</t>
    <phoneticPr fontId="1" type="noConversion"/>
  </si>
  <si>
    <t>400*1000*2000 5단 무.일
400*700*2000 3단 무.일</t>
    <phoneticPr fontId="1" type="noConversion"/>
  </si>
  <si>
    <t>계좌이체</t>
    <phoneticPr fontId="1" type="noConversion"/>
  </si>
  <si>
    <t xml:space="preserve">세금 계산서 </t>
    <phoneticPr fontId="1" type="noConversion"/>
  </si>
  <si>
    <t>1월2일</t>
    <phoneticPr fontId="1" type="noConversion"/>
  </si>
  <si>
    <t>푸드윈</t>
    <phoneticPr fontId="1" type="noConversion"/>
  </si>
  <si>
    <t>010-6654-5946</t>
    <phoneticPr fontId="1" type="noConversion"/>
  </si>
  <si>
    <t>1월2일</t>
    <phoneticPr fontId="1" type="noConversion"/>
  </si>
  <si>
    <t>남구 왕생로66번길 8 1층</t>
    <phoneticPr fontId="1" type="noConversion"/>
  </si>
  <si>
    <t>010-3829-7687</t>
    <phoneticPr fontId="1" type="noConversion"/>
  </si>
  <si>
    <t>세금 계산서</t>
    <phoneticPr fontId="1" type="noConversion"/>
  </si>
  <si>
    <t>1월3일</t>
    <phoneticPr fontId="1" type="noConversion"/>
  </si>
  <si>
    <t>1월3일</t>
    <phoneticPr fontId="1" type="noConversion"/>
  </si>
  <si>
    <t>카드결제</t>
    <phoneticPr fontId="1" type="noConversion"/>
  </si>
  <si>
    <t>600*1200*1500 4단 무.일
600*1000*1500 3단 무.일</t>
    <phoneticPr fontId="1" type="noConversion"/>
  </si>
  <si>
    <t>600*900*2100 5단 무.일</t>
    <phoneticPr fontId="1" type="noConversion"/>
  </si>
  <si>
    <t>600*2700*1800 3열 5단 2조</t>
    <phoneticPr fontId="1" type="noConversion"/>
  </si>
  <si>
    <t>600*2000*1800 4단 무.일</t>
    <phoneticPr fontId="1" type="noConversion"/>
  </si>
  <si>
    <t>우정 코아루 오피스텔103동 901호</t>
    <phoneticPr fontId="1" type="noConversion"/>
  </si>
  <si>
    <t>활천내와로30-15 컨테이너</t>
    <phoneticPr fontId="1" type="noConversion"/>
  </si>
  <si>
    <t>010-6396-5199</t>
    <phoneticPr fontId="1" type="noConversion"/>
  </si>
  <si>
    <t>김밥집(은경이모)</t>
    <phoneticPr fontId="1" type="noConversion"/>
  </si>
  <si>
    <t>1월3일</t>
    <phoneticPr fontId="1" type="noConversion"/>
  </si>
  <si>
    <t>옥현주공 (재료포장)</t>
    <phoneticPr fontId="1" type="noConversion"/>
  </si>
  <si>
    <t>010-3321-2828</t>
    <phoneticPr fontId="1" type="noConversion"/>
  </si>
  <si>
    <t>1500 12개 ,400 18개 ,1200 10개,900 8개</t>
    <phoneticPr fontId="1" type="noConversion"/>
  </si>
  <si>
    <t>현금</t>
    <phoneticPr fontId="1" type="noConversion"/>
  </si>
  <si>
    <t>계좌이체</t>
    <phoneticPr fontId="1" type="noConversion"/>
  </si>
  <si>
    <t>1월4일</t>
    <phoneticPr fontId="1" type="noConversion"/>
  </si>
  <si>
    <t>언양읍 북문8길 10 센텀 201호</t>
    <phoneticPr fontId="1" type="noConversion"/>
  </si>
  <si>
    <t>010-2035-9900</t>
    <phoneticPr fontId="1" type="noConversion"/>
  </si>
  <si>
    <t xml:space="preserve">500*2200*1800 3열 4단 </t>
    <phoneticPr fontId="1" type="noConversion"/>
  </si>
  <si>
    <t>계좌이체</t>
    <phoneticPr fontId="1" type="noConversion"/>
  </si>
  <si>
    <t>1월4일</t>
    <phoneticPr fontId="1" type="noConversion"/>
  </si>
  <si>
    <t>언양읍 동부리354-3</t>
    <phoneticPr fontId="1" type="noConversion"/>
  </si>
  <si>
    <t>010-2709-1257</t>
    <phoneticPr fontId="1" type="noConversion"/>
  </si>
  <si>
    <t>400*4000*2000 4열 5단</t>
    <phoneticPr fontId="1" type="noConversion"/>
  </si>
  <si>
    <t>1월4일</t>
    <phoneticPr fontId="1" type="noConversion"/>
  </si>
  <si>
    <t>스타렉스 검정색 설치</t>
    <phoneticPr fontId="1" type="noConversion"/>
  </si>
  <si>
    <t>1월4일</t>
    <phoneticPr fontId="1" type="noConversion"/>
  </si>
  <si>
    <t>재료포장</t>
    <phoneticPr fontId="1" type="noConversion"/>
  </si>
  <si>
    <t>700*1200*1200 2단</t>
    <phoneticPr fontId="1" type="noConversion"/>
  </si>
  <si>
    <t>현금</t>
    <phoneticPr fontId="1" type="noConversion"/>
  </si>
  <si>
    <t>블라인드</t>
    <phoneticPr fontId="1" type="noConversion"/>
  </si>
  <si>
    <t>세금 계산서</t>
    <phoneticPr fontId="1" type="noConversion"/>
  </si>
  <si>
    <t>1월5일</t>
    <phoneticPr fontId="1" type="noConversion"/>
  </si>
  <si>
    <t>서동59-11 광역 201호</t>
    <phoneticPr fontId="1" type="noConversion"/>
  </si>
  <si>
    <t>010-8522-1659</t>
    <phoneticPr fontId="1" type="noConversion"/>
  </si>
  <si>
    <t>호수공원 명주첸101동1503호</t>
    <phoneticPr fontId="1" type="noConversion"/>
  </si>
  <si>
    <t>010-2854-1143</t>
    <phoneticPr fontId="1" type="noConversion"/>
  </si>
  <si>
    <t>400*1200*1200 2열 3단 무.양</t>
    <phoneticPr fontId="1" type="noConversion"/>
  </si>
  <si>
    <t>500*800*2000 4단 무.일</t>
    <phoneticPr fontId="1" type="noConversion"/>
  </si>
  <si>
    <t>현금</t>
    <phoneticPr fontId="1" type="noConversion"/>
  </si>
  <si>
    <t>계좌이체</t>
    <phoneticPr fontId="1" type="noConversion"/>
  </si>
  <si>
    <t>1월6일</t>
    <phoneticPr fontId="1" type="noConversion"/>
  </si>
  <si>
    <t>재료포장</t>
    <phoneticPr fontId="1" type="noConversion"/>
  </si>
  <si>
    <t>계좌이체</t>
    <phoneticPr fontId="1" type="noConversion"/>
  </si>
  <si>
    <t>420 2400 10개 11미리 볼트너트 cp30개</t>
    <phoneticPr fontId="1" type="noConversion"/>
  </si>
  <si>
    <t>1월6일</t>
    <phoneticPr fontId="1" type="noConversion"/>
  </si>
  <si>
    <t>삼남읍 화림정2길 19-4 b동 201호</t>
    <phoneticPr fontId="1" type="noConversion"/>
  </si>
  <si>
    <t>010-6877-6505</t>
    <phoneticPr fontId="1" type="noConversion"/>
  </si>
  <si>
    <t>400*900*1800 4단 무.일</t>
    <phoneticPr fontId="1" type="noConversion"/>
  </si>
  <si>
    <t>계좌이체</t>
    <phoneticPr fontId="1" type="noConversion"/>
  </si>
  <si>
    <t>카드결제</t>
    <phoneticPr fontId="1" type="noConversion"/>
  </si>
  <si>
    <t>1월6일</t>
    <phoneticPr fontId="1" type="noConversion"/>
  </si>
  <si>
    <t>재료포장</t>
    <phoneticPr fontId="1" type="noConversion"/>
  </si>
  <si>
    <t>1월9일</t>
    <phoneticPr fontId="1" type="noConversion"/>
  </si>
  <si>
    <t>두동로1173-10 동운</t>
    <phoneticPr fontId="1" type="noConversion"/>
  </si>
  <si>
    <t>010-3573-9896</t>
    <phoneticPr fontId="1" type="noConversion"/>
  </si>
  <si>
    <t>600*3600*1800 3열 4단</t>
    <phoneticPr fontId="1" type="noConversion"/>
  </si>
  <si>
    <t>카드결제</t>
    <phoneticPr fontId="1" type="noConversion"/>
  </si>
  <si>
    <t>1월10일</t>
    <phoneticPr fontId="1" type="noConversion"/>
  </si>
  <si>
    <t>에어컨 사장님</t>
    <phoneticPr fontId="1" type="noConversion"/>
  </si>
  <si>
    <t>현금</t>
    <phoneticPr fontId="1" type="noConversion"/>
  </si>
  <si>
    <t>카드결제</t>
    <phoneticPr fontId="1" type="noConversion"/>
  </si>
  <si>
    <t>516앵글</t>
    <phoneticPr fontId="1" type="noConversion"/>
  </si>
  <si>
    <t>1월10일</t>
    <phoneticPr fontId="1" type="noConversion"/>
  </si>
  <si>
    <t>재료포장</t>
    <phoneticPr fontId="1" type="noConversion"/>
  </si>
  <si>
    <t>1월11일</t>
    <phoneticPr fontId="1" type="noConversion"/>
  </si>
  <si>
    <t>이편한세상 107동1503호</t>
    <phoneticPr fontId="1" type="noConversion"/>
  </si>
  <si>
    <t>010-6332-8361</t>
    <phoneticPr fontId="1" type="noConversion"/>
  </si>
  <si>
    <t>블라인드</t>
    <phoneticPr fontId="1" type="noConversion"/>
  </si>
  <si>
    <t>계좌이체</t>
    <phoneticPr fontId="1" type="noConversion"/>
  </si>
  <si>
    <t>달동500-11번지 스담</t>
    <phoneticPr fontId="1" type="noConversion"/>
  </si>
  <si>
    <t>010-8376-2473</t>
    <phoneticPr fontId="1" type="noConversion"/>
  </si>
  <si>
    <t>태화동부아파트 103동1402호</t>
    <phoneticPr fontId="1" type="noConversion"/>
  </si>
  <si>
    <t>010-4150-0996</t>
    <phoneticPr fontId="1" type="noConversion"/>
  </si>
  <si>
    <t>계좌이체</t>
    <phoneticPr fontId="1" type="noConversion"/>
  </si>
  <si>
    <t>500*2300*2000 2열 5단 무.양</t>
    <phoneticPr fontId="1" type="noConversion"/>
  </si>
  <si>
    <t>500*1200*1700 5단 무.양</t>
    <phoneticPr fontId="1" type="noConversion"/>
  </si>
  <si>
    <t>1월12일</t>
    <phoneticPr fontId="1" type="noConversion"/>
  </si>
  <si>
    <t>1월11일</t>
    <phoneticPr fontId="1" type="noConversion"/>
  </si>
  <si>
    <t>이편한세상 107동2001호</t>
    <phoneticPr fontId="1" type="noConversion"/>
  </si>
  <si>
    <t>010-7168-1664</t>
    <phoneticPr fontId="1" type="noConversion"/>
  </si>
  <si>
    <t>400*800*2000 무.양</t>
    <phoneticPr fontId="1" type="noConversion"/>
  </si>
  <si>
    <t>현금</t>
    <phoneticPr fontId="1" type="noConversion"/>
  </si>
  <si>
    <t>1월12일</t>
    <phoneticPr fontId="1" type="noConversion"/>
  </si>
  <si>
    <t>여진족구이</t>
    <phoneticPr fontId="1" type="noConversion"/>
  </si>
  <si>
    <t>010-8852-0622</t>
    <phoneticPr fontId="1" type="noConversion"/>
  </si>
  <si>
    <t>300*2000*1800 2열 5단 무.양</t>
    <phoneticPr fontId="1" type="noConversion"/>
  </si>
  <si>
    <t>400*1200*2000 4단 무.양</t>
    <phoneticPr fontId="1" type="noConversion"/>
  </si>
  <si>
    <t>2022년 1월  매출현황</t>
    <phoneticPr fontId="1" type="noConversion"/>
  </si>
  <si>
    <t>재료포장</t>
    <phoneticPr fontId="1" type="noConversion"/>
  </si>
  <si>
    <t>1월12일</t>
    <phoneticPr fontId="1" type="noConversion"/>
  </si>
  <si>
    <t>400*1200*1200 무.양 4단
400*500*2100 무.양 5단</t>
    <phoneticPr fontId="1" type="noConversion"/>
  </si>
  <si>
    <t>계좌이체</t>
    <phoneticPr fontId="1" type="noConversion"/>
  </si>
  <si>
    <t>블라인드</t>
    <phoneticPr fontId="1" type="noConversion"/>
  </si>
  <si>
    <t>재료포장</t>
    <phoneticPr fontId="1" type="noConversion"/>
  </si>
  <si>
    <t>차량설치 레이</t>
    <phoneticPr fontId="1" type="noConversion"/>
  </si>
  <si>
    <t>1월13일</t>
    <phoneticPr fontId="1" type="noConversion"/>
  </si>
  <si>
    <t>1월14일</t>
    <phoneticPr fontId="1" type="noConversion"/>
  </si>
  <si>
    <t>재료포장</t>
    <phoneticPr fontId="1" type="noConversion"/>
  </si>
  <si>
    <t>계좌이체</t>
    <phoneticPr fontId="1" type="noConversion"/>
  </si>
  <si>
    <t>현금</t>
    <phoneticPr fontId="1" type="noConversion"/>
  </si>
  <si>
    <t>sk뷰 1208호</t>
    <phoneticPr fontId="1" type="noConversion"/>
  </si>
  <si>
    <t>계좌이체</t>
    <phoneticPr fontId="1" type="noConversion"/>
  </si>
  <si>
    <t>계좌이체</t>
    <phoneticPr fontId="1" type="noConversion"/>
  </si>
  <si>
    <t>계좌이체</t>
    <phoneticPr fontId="1" type="noConversion"/>
  </si>
  <si>
    <t>재료포장</t>
    <phoneticPr fontId="1" type="noConversion"/>
  </si>
  <si>
    <t>재료포장</t>
    <phoneticPr fontId="1" type="noConversion"/>
  </si>
  <si>
    <t>자수정길</t>
    <phoneticPr fontId="1" type="noConversion"/>
  </si>
  <si>
    <t>현금</t>
    <phoneticPr fontId="1" type="noConversion"/>
  </si>
  <si>
    <t>300*2000*1150 2열 3단 무.양</t>
    <phoneticPr fontId="1" type="noConversion"/>
  </si>
  <si>
    <t>400*1600*1100 2단 무.일
600*1100*1800 3단 무.일</t>
    <phoneticPr fontId="1" type="noConversion"/>
  </si>
  <si>
    <t>516 2400 1개</t>
    <phoneticPr fontId="1" type="noConversion"/>
  </si>
  <si>
    <t>1월14일</t>
    <phoneticPr fontId="1" type="noConversion"/>
  </si>
  <si>
    <t>1월16일</t>
    <phoneticPr fontId="1" type="noConversion"/>
  </si>
  <si>
    <t>1월17일</t>
    <phoneticPr fontId="1" type="noConversion"/>
  </si>
  <si>
    <t>1월18일</t>
    <phoneticPr fontId="1" type="noConversion"/>
  </si>
  <si>
    <t>산내면 대현리 140-4</t>
    <phoneticPr fontId="1" type="noConversion"/>
  </si>
  <si>
    <t>010-3843-1588</t>
    <phoneticPr fontId="1" type="noConversion"/>
  </si>
  <si>
    <t>300*2600*1500 3열 3단 무.양
300*2800*1700 3열 3단 무.양
300*3200*2400 3열 5단 무.양
300*3300*2400 3열 5단 무.양
300*3100*2400 3열 5단 무.양</t>
    <phoneticPr fontId="1" type="noConversion"/>
  </si>
  <si>
    <t>계산서 발행</t>
    <phoneticPr fontId="1" type="noConversion"/>
  </si>
  <si>
    <t>400*1100*1800 4단 무.양</t>
    <phoneticPr fontId="1" type="noConversion"/>
  </si>
  <si>
    <t>계좌이체</t>
    <phoneticPr fontId="1" type="noConversion"/>
  </si>
  <si>
    <t>1월18일</t>
    <phoneticPr fontId="1" type="noConversion"/>
  </si>
  <si>
    <t>재료포장</t>
    <phoneticPr fontId="1" type="noConversion"/>
  </si>
  <si>
    <t>1월19일</t>
    <phoneticPr fontId="1" type="noConversion"/>
  </si>
  <si>
    <t>재료포장</t>
    <phoneticPr fontId="1" type="noConversion"/>
  </si>
  <si>
    <t>400*1150*500 1단 무.일</t>
    <phoneticPr fontId="1" type="noConversion"/>
  </si>
  <si>
    <t>계좌이체</t>
    <phoneticPr fontId="1" type="noConversion"/>
  </si>
  <si>
    <t>무거한라 406호</t>
    <phoneticPr fontId="1" type="noConversion"/>
  </si>
  <si>
    <t>010-3840-4845</t>
    <phoneticPr fontId="1" type="noConversion"/>
  </si>
  <si>
    <t>600*1100*1800 3단 무.양</t>
    <phoneticPr fontId="1" type="noConversion"/>
  </si>
  <si>
    <t>계좌이체</t>
    <phoneticPr fontId="1" type="noConversion"/>
  </si>
  <si>
    <t>이편한세상</t>
    <phoneticPr fontId="1" type="noConversion"/>
  </si>
  <si>
    <t>블라인드</t>
    <phoneticPr fontId="1" type="noConversion"/>
  </si>
  <si>
    <t>재료포장</t>
    <phoneticPr fontId="1" type="noConversion"/>
  </si>
  <si>
    <t>카드결제</t>
    <phoneticPr fontId="1" type="noConversion"/>
  </si>
  <si>
    <t>620 작업대</t>
    <phoneticPr fontId="1" type="noConversion"/>
  </si>
  <si>
    <t>재료포장</t>
    <phoneticPr fontId="1" type="noConversion"/>
  </si>
  <si>
    <t>현금</t>
    <phoneticPr fontId="1" type="noConversion"/>
  </si>
  <si>
    <t>상북면 지내리 872</t>
    <phoneticPr fontId="1" type="noConversion"/>
  </si>
  <si>
    <t>010-2842-1500</t>
    <phoneticPr fontId="1" type="noConversion"/>
  </si>
  <si>
    <t>1800*500*900 3단 2열 무.양</t>
    <phoneticPr fontId="1" type="noConversion"/>
  </si>
  <si>
    <t>계좌이체</t>
    <phoneticPr fontId="1" type="noConversion"/>
  </si>
  <si>
    <t>현금</t>
    <phoneticPr fontId="1" type="noConversion"/>
  </si>
  <si>
    <t>재료포장 옥현주공</t>
    <phoneticPr fontId="1" type="noConversion"/>
  </si>
  <si>
    <t>1000*400*1800 4단 무.양 2조</t>
    <phoneticPr fontId="1" type="noConversion"/>
  </si>
  <si>
    <t>1월19일</t>
    <phoneticPr fontId="1" type="noConversion"/>
  </si>
  <si>
    <t>1월19일</t>
    <phoneticPr fontId="1" type="noConversion"/>
  </si>
  <si>
    <t>1월20일</t>
    <phoneticPr fontId="1" type="noConversion"/>
  </si>
  <si>
    <t>1월24일</t>
    <phoneticPr fontId="1" type="noConversion"/>
  </si>
  <si>
    <t>1월24일</t>
    <phoneticPr fontId="1" type="noConversion"/>
  </si>
  <si>
    <t>레이 차량 평탄화</t>
    <phoneticPr fontId="1" type="noConversion"/>
  </si>
  <si>
    <t>계좌이체</t>
    <phoneticPr fontId="1" type="noConversion"/>
  </si>
  <si>
    <t>1월25일</t>
    <phoneticPr fontId="1" type="noConversion"/>
  </si>
  <si>
    <t>재료포장</t>
    <phoneticPr fontId="1" type="noConversion"/>
  </si>
  <si>
    <t>400*1000 코팅합판 2장</t>
    <phoneticPr fontId="1" type="noConversion"/>
  </si>
  <si>
    <t>현금</t>
    <phoneticPr fontId="1" type="noConversion"/>
  </si>
  <si>
    <t>1월26일</t>
    <phoneticPr fontId="1" type="noConversion"/>
  </si>
  <si>
    <t>범서읍 지지길 40</t>
    <phoneticPr fontId="1" type="noConversion"/>
  </si>
  <si>
    <t>010-9303-8156</t>
    <phoneticPr fontId="1" type="noConversion"/>
  </si>
  <si>
    <t>600*2700*1800 3열 3단</t>
    <phoneticPr fontId="1" type="noConversion"/>
  </si>
  <si>
    <t>재료포장</t>
    <phoneticPr fontId="1" type="noConversion"/>
  </si>
  <si>
    <t>1월26일</t>
    <phoneticPr fontId="1" type="noConversion"/>
  </si>
  <si>
    <t>400*1100 1단 추가 양면</t>
    <phoneticPr fontId="1" type="noConversion"/>
  </si>
  <si>
    <t>계좌이체</t>
    <phoneticPr fontId="1" type="noConversion"/>
  </si>
  <si>
    <t>1월27일</t>
    <phoneticPr fontId="1" type="noConversion"/>
  </si>
  <si>
    <t>우성스마트</t>
    <phoneticPr fontId="1" type="noConversion"/>
  </si>
  <si>
    <t>400*5700*830 7열 3단 무.일</t>
    <phoneticPr fontId="1" type="noConversion"/>
  </si>
  <si>
    <t>계좌이체</t>
    <phoneticPr fontId="1" type="noConversion"/>
  </si>
  <si>
    <t>블라인드</t>
    <phoneticPr fontId="1" type="noConversion"/>
  </si>
  <si>
    <t>소슬채아파트 403호</t>
    <phoneticPr fontId="1" type="noConversion"/>
  </si>
  <si>
    <t>400*1100*2100 5단 무양</t>
    <phoneticPr fontId="1" type="noConversion"/>
  </si>
  <si>
    <t>010-4541-8131</t>
    <phoneticPr fontId="1" type="noConversion"/>
  </si>
  <si>
    <t>계좌이체</t>
    <phoneticPr fontId="1" type="noConversion"/>
  </si>
  <si>
    <t>2022년 2월  매출현황</t>
    <phoneticPr fontId="1" type="noConversion"/>
  </si>
  <si>
    <t>북구 매곡동 929-1 1층</t>
    <phoneticPr fontId="1" type="noConversion"/>
  </si>
  <si>
    <t>010-9074-9066</t>
    <phoneticPr fontId="1" type="noConversion"/>
  </si>
  <si>
    <t>400*1200*2100 5단 2조
400*1600*2100 5단 2열 무.일</t>
    <phoneticPr fontId="1" type="noConversion"/>
  </si>
  <si>
    <t>계좌이체</t>
    <phoneticPr fontId="1" type="noConversion"/>
  </si>
  <si>
    <t>계좌이체</t>
    <phoneticPr fontId="1" type="noConversion"/>
  </si>
  <si>
    <t>400*800*2000 4단 무.양</t>
    <phoneticPr fontId="1" type="noConversion"/>
  </si>
  <si>
    <t>400*1200*2000 5단 무.양
400*1600*2000 5단 2열 무.양</t>
    <phoneticPr fontId="1" type="noConversion"/>
  </si>
  <si>
    <t>남운 럭키4동 610호</t>
    <phoneticPr fontId="1" type="noConversion"/>
  </si>
  <si>
    <t>010-8501-0816</t>
    <phoneticPr fontId="1" type="noConversion"/>
  </si>
  <si>
    <t>신복 소공원</t>
    <phoneticPr fontId="1" type="noConversion"/>
  </si>
  <si>
    <t>010-5001-0477</t>
    <phoneticPr fontId="1" type="noConversion"/>
  </si>
  <si>
    <t>재료포장</t>
    <phoneticPr fontId="1" type="noConversion"/>
  </si>
  <si>
    <t>600*800*1500 무.양 3단</t>
    <phoneticPr fontId="1" type="noConversion"/>
  </si>
  <si>
    <t>계좌이체</t>
    <phoneticPr fontId="1" type="noConversion"/>
  </si>
  <si>
    <t>미입</t>
    <phoneticPr fontId="1" type="noConversion"/>
  </si>
  <si>
    <t>카드결제</t>
    <phoneticPr fontId="1" type="noConversion"/>
  </si>
  <si>
    <t>침례교회</t>
    <phoneticPr fontId="1" type="noConversion"/>
  </si>
  <si>
    <t>2월1일</t>
    <phoneticPr fontId="1" type="noConversion"/>
  </si>
  <si>
    <t>010-2463-1706</t>
    <phoneticPr fontId="1" type="noConversion"/>
  </si>
  <si>
    <t>500*1600*2000 2열 5단 무.일
500*1100*2000 5단 무.일</t>
    <phoneticPr fontId="1" type="noConversion"/>
  </si>
  <si>
    <t>2월2일</t>
    <phoneticPr fontId="1" type="noConversion"/>
  </si>
  <si>
    <t>언양골재</t>
    <phoneticPr fontId="1" type="noConversion"/>
  </si>
  <si>
    <t>010-3848-0513</t>
    <phoneticPr fontId="1" type="noConversion"/>
  </si>
  <si>
    <t>500*3000*2100 5단 3열 무.일</t>
    <phoneticPr fontId="1" type="noConversion"/>
  </si>
  <si>
    <t>현금</t>
    <phoneticPr fontId="1" type="noConversion"/>
  </si>
  <si>
    <t>400*800*1800 2단 무.양</t>
    <phoneticPr fontId="1" type="noConversion"/>
  </si>
  <si>
    <t>계좌이체</t>
    <phoneticPr fontId="1" type="noConversion"/>
  </si>
  <si>
    <t>재료포장</t>
    <phoneticPr fontId="1" type="noConversion"/>
  </si>
  <si>
    <t xml:space="preserve">3000 볼트너트 </t>
    <phoneticPr fontId="1" type="noConversion"/>
  </si>
  <si>
    <t>카드</t>
    <phoneticPr fontId="1" type="noConversion"/>
  </si>
  <si>
    <t>울주도서관</t>
    <phoneticPr fontId="1" type="noConversion"/>
  </si>
  <si>
    <t>블라인드</t>
    <phoneticPr fontId="1" type="noConversion"/>
  </si>
  <si>
    <t>카드</t>
    <phoneticPr fontId="1" type="noConversion"/>
  </si>
  <si>
    <t>서부리 칼잡이</t>
  </si>
  <si>
    <t>2월3일</t>
    <phoneticPr fontId="1" type="noConversion"/>
  </si>
  <si>
    <t>2월4일</t>
    <phoneticPr fontId="1" type="noConversion"/>
  </si>
  <si>
    <t>600*2000*1500 2열 4단</t>
    <phoneticPr fontId="1" type="noConversion"/>
  </si>
  <si>
    <t>010-2029-6333</t>
    <phoneticPr fontId="1" type="noConversion"/>
  </si>
  <si>
    <t>600*6000*900 6열 3단 무.일</t>
    <phoneticPr fontId="1" type="noConversion"/>
  </si>
  <si>
    <t>010-3835-6527</t>
    <phoneticPr fontId="1" type="noConversion"/>
  </si>
  <si>
    <t>2월6일</t>
    <phoneticPr fontId="1" type="noConversion"/>
  </si>
  <si>
    <t>송정동1248-9</t>
    <phoneticPr fontId="1" type="noConversion"/>
  </si>
  <si>
    <t>중고 앵글 판매</t>
    <phoneticPr fontId="1" type="noConversion"/>
  </si>
  <si>
    <t>계좌이체</t>
    <phoneticPr fontId="1" type="noConversion"/>
  </si>
  <si>
    <t>2월7일</t>
    <phoneticPr fontId="1" type="noConversion"/>
  </si>
  <si>
    <t>재료포장</t>
    <phoneticPr fontId="1" type="noConversion"/>
  </si>
  <si>
    <t>500*1500*1800 4단</t>
    <phoneticPr fontId="1" type="noConversion"/>
  </si>
  <si>
    <t>현금</t>
    <phoneticPr fontId="1" type="noConversion"/>
  </si>
  <si>
    <t xml:space="preserve">516 앵글 </t>
    <phoneticPr fontId="1" type="noConversion"/>
  </si>
  <si>
    <t>범서읍 점촌 1길 2-2 SM빌 401호</t>
  </si>
  <si>
    <t>범서읍 점촌 1길 2-2 SM빌 401호</t>
    <phoneticPr fontId="1" type="noConversion"/>
  </si>
  <si>
    <t>010-3591-5522</t>
    <phoneticPr fontId="1" type="noConversion"/>
  </si>
  <si>
    <t>카드</t>
    <phoneticPr fontId="1" type="noConversion"/>
  </si>
  <si>
    <t>재료포장</t>
    <phoneticPr fontId="1" type="noConversion"/>
  </si>
  <si>
    <t>400*900*1800 2단</t>
    <phoneticPr fontId="1" type="noConversion"/>
  </si>
  <si>
    <t>계좌이체</t>
    <phoneticPr fontId="1" type="noConversion"/>
  </si>
  <si>
    <t>현금</t>
    <phoneticPr fontId="1" type="noConversion"/>
  </si>
  <si>
    <t>2월8일</t>
    <phoneticPr fontId="1" type="noConversion"/>
  </si>
  <si>
    <t>계산서</t>
    <phoneticPr fontId="1" type="noConversion"/>
  </si>
  <si>
    <t>북구 두부곡17길16-2</t>
    <phoneticPr fontId="1" type="noConversion"/>
  </si>
  <si>
    <t>010-7712-1100</t>
    <phoneticPr fontId="1" type="noConversion"/>
  </si>
  <si>
    <t>다운동 582-1 302동</t>
    <phoneticPr fontId="1" type="noConversion"/>
  </si>
  <si>
    <t>010-5539-5279</t>
    <phoneticPr fontId="1" type="noConversion"/>
  </si>
  <si>
    <t>400*900*2000 2단 무.양</t>
    <phoneticPr fontId="1" type="noConversion"/>
  </si>
  <si>
    <t>2월9일</t>
    <phoneticPr fontId="1" type="noConversion"/>
  </si>
  <si>
    <t>닭칼국수</t>
    <phoneticPr fontId="1" type="noConversion"/>
  </si>
  <si>
    <t>계좌이체</t>
    <phoneticPr fontId="1" type="noConversion"/>
  </si>
  <si>
    <t>400*3300*1800 3열 3단 무.일</t>
    <phoneticPr fontId="1" type="noConversion"/>
  </si>
  <si>
    <t>500*900*900 3단 무.양</t>
    <phoneticPr fontId="1" type="noConversion"/>
  </si>
  <si>
    <t>2월10일</t>
    <phoneticPr fontId="1" type="noConversion"/>
  </si>
  <si>
    <t>굿파크빌</t>
    <phoneticPr fontId="1" type="noConversion"/>
  </si>
  <si>
    <t>400*700*2100 3단 행거 2조 무.양
400*1200*2000 3단 행거 무.양
400*600*2000 3단 행거 무.양</t>
    <phoneticPr fontId="1" type="noConversion"/>
  </si>
  <si>
    <t>500*1800*680 2열 1단 합판X</t>
    <phoneticPr fontId="1" type="noConversion"/>
  </si>
  <si>
    <t>대승하이츠 103호</t>
    <phoneticPr fontId="1" type="noConversion"/>
  </si>
  <si>
    <t>400*900*1800 4단 무.일
400*900*1800 3단 무.일</t>
    <phoneticPr fontId="1" type="noConversion"/>
  </si>
  <si>
    <t>계좌이체</t>
    <phoneticPr fontId="1" type="noConversion"/>
  </si>
  <si>
    <t>신한다솜아파트1015</t>
    <phoneticPr fontId="1" type="noConversion"/>
  </si>
  <si>
    <t>010-4905-9576</t>
    <phoneticPr fontId="1" type="noConversion"/>
  </si>
  <si>
    <t>600*700*1800 4단 무.양</t>
    <phoneticPr fontId="1" type="noConversion"/>
  </si>
  <si>
    <t>계좌이체</t>
    <phoneticPr fontId="1" type="noConversion"/>
  </si>
  <si>
    <t>좋은자재상사 재료포장</t>
    <phoneticPr fontId="1" type="noConversion"/>
  </si>
  <si>
    <t>500*2400*1800 620 2열 3단</t>
    <phoneticPr fontId="1" type="noConversion"/>
  </si>
  <si>
    <t>카드</t>
    <phoneticPr fontId="1" type="noConversion"/>
  </si>
  <si>
    <t>재료포장 작천정</t>
    <phoneticPr fontId="1" type="noConversion"/>
  </si>
  <si>
    <t>010-6399-3300</t>
    <phoneticPr fontId="1" type="noConversion"/>
  </si>
  <si>
    <t>현금</t>
    <phoneticPr fontId="1" type="noConversion"/>
  </si>
  <si>
    <t>대승하이츠 103호</t>
    <phoneticPr fontId="1" type="noConversion"/>
  </si>
  <si>
    <t>010-7747-0468</t>
    <phoneticPr fontId="1" type="noConversion"/>
  </si>
  <si>
    <t>400*1200*1000 1단 무.양</t>
    <phoneticPr fontId="1" type="noConversion"/>
  </si>
  <si>
    <t>카드</t>
    <phoneticPr fontId="1" type="noConversion"/>
  </si>
  <si>
    <t>계좌이체</t>
    <phoneticPr fontId="1" type="noConversion"/>
  </si>
  <si>
    <t>2월11일</t>
    <phoneticPr fontId="1" type="noConversion"/>
  </si>
  <si>
    <t>볼트 13미리</t>
    <phoneticPr fontId="1" type="noConversion"/>
  </si>
  <si>
    <t>합판 한장</t>
    <phoneticPr fontId="1" type="noConversion"/>
  </si>
  <si>
    <t>2월12일</t>
    <phoneticPr fontId="1" type="noConversion"/>
  </si>
  <si>
    <t>2월13일</t>
    <phoneticPr fontId="1" type="noConversion"/>
  </si>
  <si>
    <t xml:space="preserve">코끼리 정형외과 </t>
    <phoneticPr fontId="1" type="noConversion"/>
  </si>
  <si>
    <t>정호형</t>
    <phoneticPr fontId="1" type="noConversion"/>
  </si>
  <si>
    <t>계산서</t>
    <phoneticPr fontId="1" type="noConversion"/>
  </si>
  <si>
    <t>청량읍 상남길25 골드클래스</t>
    <phoneticPr fontId="1" type="noConversion"/>
  </si>
  <si>
    <t>010-6796-6799</t>
    <phoneticPr fontId="1" type="noConversion"/>
  </si>
  <si>
    <t>600*1100*1800 4단 무.양</t>
    <phoneticPr fontId="1" type="noConversion"/>
  </si>
  <si>
    <t>동부리252-7</t>
    <phoneticPr fontId="1" type="noConversion"/>
  </si>
  <si>
    <t>010-4154-9676</t>
    <phoneticPr fontId="1" type="noConversion"/>
  </si>
  <si>
    <t>400*2900*1500 3열 4단</t>
    <phoneticPr fontId="1" type="noConversion"/>
  </si>
  <si>
    <t>계좌이체</t>
    <phoneticPr fontId="1" type="noConversion"/>
  </si>
  <si>
    <t>온산읍 서영남3길 16-16</t>
    <phoneticPr fontId="1" type="noConversion"/>
  </si>
  <si>
    <t>010-4565-6505</t>
    <phoneticPr fontId="1" type="noConversion"/>
  </si>
  <si>
    <t>600*800*1300 4단 무.일</t>
    <phoneticPr fontId="1" type="noConversion"/>
  </si>
  <si>
    <t>2월15일</t>
    <phoneticPr fontId="1" type="noConversion"/>
  </si>
  <si>
    <t>팜스빌리지</t>
    <phoneticPr fontId="1" type="noConversion"/>
  </si>
  <si>
    <t>010-5132-3075</t>
    <phoneticPr fontId="1" type="noConversion"/>
  </si>
  <si>
    <t>500*2500*2000 3열 5단 무.양
500*1500*2000 2열 5단 무.양</t>
    <phoneticPr fontId="1" type="noConversion"/>
  </si>
  <si>
    <t>용달</t>
    <phoneticPr fontId="1" type="noConversion"/>
  </si>
  <si>
    <t>현금</t>
    <phoneticPr fontId="1" type="noConversion"/>
  </si>
  <si>
    <t>현금</t>
    <phoneticPr fontId="1" type="noConversion"/>
  </si>
  <si>
    <t>2월16일</t>
    <phoneticPr fontId="1" type="noConversion"/>
  </si>
  <si>
    <t>재료포장</t>
    <phoneticPr fontId="1" type="noConversion"/>
  </si>
  <si>
    <t>500*3300*1800 3단</t>
    <phoneticPr fontId="1" type="noConversion"/>
  </si>
  <si>
    <t>카드</t>
    <phoneticPr fontId="1" type="noConversion"/>
  </si>
  <si>
    <t>600*1200*1800 3단 무.일 2조</t>
    <phoneticPr fontId="1" type="noConversion"/>
  </si>
  <si>
    <t>2월17일</t>
    <phoneticPr fontId="1" type="noConversion"/>
  </si>
  <si>
    <t>삼남읍 방기로109</t>
    <phoneticPr fontId="1" type="noConversion"/>
  </si>
  <si>
    <t>010-3463-1238</t>
    <phoneticPr fontId="1" type="noConversion"/>
  </si>
  <si>
    <t>010-3801-5973</t>
    <phoneticPr fontId="1" type="noConversion"/>
  </si>
  <si>
    <t>2월18일</t>
    <phoneticPr fontId="1" type="noConversion"/>
  </si>
  <si>
    <t>옥현주공 2단지 209동 1706호</t>
    <phoneticPr fontId="1" type="noConversion"/>
  </si>
  <si>
    <t>문수아파트 103동 2103호</t>
    <phoneticPr fontId="1" type="noConversion"/>
  </si>
  <si>
    <t>재료포장</t>
    <phoneticPr fontId="1" type="noConversion"/>
  </si>
  <si>
    <t>400*1200*2100 4단</t>
    <phoneticPr fontId="1" type="noConversion"/>
  </si>
  <si>
    <t>계좌이체</t>
    <phoneticPr fontId="1" type="noConversion"/>
  </si>
  <si>
    <t>카드</t>
    <phoneticPr fontId="1" type="noConversion"/>
  </si>
  <si>
    <t>400*1100*2100 5단</t>
    <phoneticPr fontId="1" type="noConversion"/>
  </si>
  <si>
    <t>600*1000*1800 4단 합판x
600*1600*2100 2열 2단,5단 무.양</t>
    <phoneticPr fontId="1" type="noConversion"/>
  </si>
  <si>
    <t>2월20일</t>
    <phoneticPr fontId="1" type="noConversion"/>
  </si>
  <si>
    <t>웅촌 주택</t>
    <phoneticPr fontId="1" type="noConversion"/>
  </si>
  <si>
    <t>500*2500*1800 2열 4단 무.일
500*700*1800 4단 무.일</t>
    <phoneticPr fontId="1" type="noConversion"/>
  </si>
  <si>
    <t>010-3360-2470</t>
    <phoneticPr fontId="1" type="noConversion"/>
  </si>
  <si>
    <t>010-6395-6462</t>
    <phoneticPr fontId="1" type="noConversion"/>
  </si>
  <si>
    <t>500*800*2100 5단</t>
    <phoneticPr fontId="1" type="noConversion"/>
  </si>
  <si>
    <t>계산서</t>
    <phoneticPr fontId="1" type="noConversion"/>
  </si>
  <si>
    <t>세화약국</t>
    <phoneticPr fontId="1" type="noConversion"/>
  </si>
  <si>
    <t>010-7768-6498</t>
    <phoneticPr fontId="1" type="noConversion"/>
  </si>
  <si>
    <t>2월21일</t>
    <phoneticPr fontId="1" type="noConversion"/>
  </si>
  <si>
    <t>한라그린피스101동1101호</t>
    <phoneticPr fontId="1" type="noConversion"/>
  </si>
  <si>
    <t>500*1300*2100 3단 2열 무.양</t>
    <phoneticPr fontId="1" type="noConversion"/>
  </si>
  <si>
    <t>2월22일</t>
    <phoneticPr fontId="1" type="noConversion"/>
  </si>
  <si>
    <t>금강하이츠 1차 802호</t>
    <phoneticPr fontId="1" type="noConversion"/>
  </si>
  <si>
    <t>400*900*1800 4단 무.양
400*700*1800 4단 무.양
400*700*1500 4단 무.양</t>
    <phoneticPr fontId="1" type="noConversion"/>
  </si>
  <si>
    <t>구영리 주공102동1403호</t>
    <phoneticPr fontId="1" type="noConversion"/>
  </si>
  <si>
    <t>010-4650-9445</t>
    <phoneticPr fontId="1" type="noConversion"/>
  </si>
  <si>
    <t>010-7257-5564</t>
    <phoneticPr fontId="1" type="noConversion"/>
  </si>
  <si>
    <t>010-4056-8838</t>
    <phoneticPr fontId="1" type="noConversion"/>
  </si>
  <si>
    <t>500*1100*1800 4단 무.양</t>
    <phoneticPr fontId="1" type="noConversion"/>
  </si>
  <si>
    <t>현금</t>
    <phoneticPr fontId="1" type="noConversion"/>
  </si>
  <si>
    <t>1월30일</t>
    <phoneticPr fontId="1" type="noConversion"/>
  </si>
  <si>
    <t>1월30일</t>
    <phoneticPr fontId="1" type="noConversion"/>
  </si>
  <si>
    <t>1월28일</t>
    <phoneticPr fontId="1" type="noConversion"/>
  </si>
  <si>
    <t>재료포장</t>
    <phoneticPr fontId="1" type="noConversion"/>
  </si>
  <si>
    <t>계좌이체</t>
    <phoneticPr fontId="1" type="noConversion"/>
  </si>
  <si>
    <t>600*800*1100 1단 무.양</t>
    <phoneticPr fontId="1" type="noConversion"/>
  </si>
  <si>
    <t>2월23일</t>
    <phoneticPr fontId="1" type="noConversion"/>
  </si>
  <si>
    <t>재료배달</t>
    <phoneticPr fontId="1" type="noConversion"/>
  </si>
  <si>
    <t>재료포장</t>
    <phoneticPr fontId="1" type="noConversion"/>
  </si>
  <si>
    <t>재료포장</t>
    <phoneticPr fontId="1" type="noConversion"/>
  </si>
  <si>
    <t>2월24일</t>
    <phoneticPr fontId="1" type="noConversion"/>
  </si>
  <si>
    <t>현금</t>
    <phoneticPr fontId="1" type="noConversion"/>
  </si>
  <si>
    <t>620 아이보리색 2400</t>
    <phoneticPr fontId="1" type="noConversion"/>
  </si>
  <si>
    <t>현금</t>
    <phoneticPr fontId="1" type="noConversion"/>
  </si>
  <si>
    <t xml:space="preserve">416 앵글 </t>
    <phoneticPr fontId="1" type="noConversion"/>
  </si>
  <si>
    <t>600*900*2100 2단 무.양</t>
    <phoneticPr fontId="1" type="noConversion"/>
  </si>
  <si>
    <t>400*1200*1800 4단 무.양
400*1100*1500 3단 무.양</t>
    <phoneticPr fontId="1" type="noConversion"/>
  </si>
  <si>
    <t>400*2000*2000 4단 무.양</t>
    <phoneticPr fontId="1" type="noConversion"/>
  </si>
  <si>
    <t>현금</t>
    <phoneticPr fontId="1" type="noConversion"/>
  </si>
  <si>
    <t>2월25일</t>
    <phoneticPr fontId="1" type="noConversion"/>
  </si>
  <si>
    <t>두동면 두동로 1174-46</t>
    <phoneticPr fontId="1" type="noConversion"/>
  </si>
  <si>
    <t>010-8514-5123</t>
    <phoneticPr fontId="1" type="noConversion"/>
  </si>
  <si>
    <t>600*3000*1500 3단 무.일</t>
    <phoneticPr fontId="1" type="noConversion"/>
  </si>
  <si>
    <t>010-3488-1049</t>
    <phoneticPr fontId="1" type="noConversion"/>
  </si>
  <si>
    <t>010-4849-3938</t>
    <phoneticPr fontId="1" type="noConversion"/>
  </si>
  <si>
    <t>재료포장</t>
    <phoneticPr fontId="1" type="noConversion"/>
  </si>
  <si>
    <t>600*700*2000 3단 무.양</t>
    <phoneticPr fontId="1" type="noConversion"/>
  </si>
  <si>
    <t>2월27일</t>
    <phoneticPr fontId="1" type="noConversion"/>
  </si>
  <si>
    <t>정명대공</t>
    <phoneticPr fontId="1" type="noConversion"/>
  </si>
  <si>
    <t>600*3000*1800 5열 5단 무.일 x3</t>
    <phoneticPr fontId="1" type="noConversion"/>
  </si>
  <si>
    <t>2월28일</t>
    <phoneticPr fontId="1" type="noConversion"/>
  </si>
  <si>
    <t>방천5길11-3 스위트602호</t>
    <phoneticPr fontId="1" type="noConversion"/>
  </si>
  <si>
    <t>010-3567-0376</t>
    <phoneticPr fontId="1" type="noConversion"/>
  </si>
  <si>
    <t>010-2852-0274</t>
    <phoneticPr fontId="1" type="noConversion"/>
  </si>
  <si>
    <t>구영 동문 105동205호</t>
    <phoneticPr fontId="1" type="noConversion"/>
  </si>
  <si>
    <t>600*1100*2000 4단 무.양
400*800*1100 3단 무.양
블라인드</t>
    <phoneticPr fontId="1" type="noConversion"/>
  </si>
  <si>
    <t>블라인드</t>
    <phoneticPr fontId="1" type="noConversion"/>
  </si>
  <si>
    <t>리슈빌</t>
    <phoneticPr fontId="1" type="noConversion"/>
  </si>
  <si>
    <t>010-6215-3731</t>
    <phoneticPr fontId="1" type="noConversion"/>
  </si>
  <si>
    <t>300*1200*1300 1단 무.양
300*900*1300 1단 무.양</t>
    <phoneticPr fontId="1" type="noConversion"/>
  </si>
  <si>
    <t>재료포장</t>
    <phoneticPr fontId="1" type="noConversion"/>
  </si>
  <si>
    <t>500*2000*900 무.양</t>
    <phoneticPr fontId="1" type="noConversion"/>
  </si>
  <si>
    <t>현금</t>
    <phoneticPr fontId="1" type="noConversion"/>
  </si>
  <si>
    <t>카드</t>
    <phoneticPr fontId="1" type="noConversion"/>
  </si>
  <si>
    <t>합판 600*1000 3장</t>
    <phoneticPr fontId="1" type="noConversion"/>
  </si>
  <si>
    <t>현금</t>
    <phoneticPr fontId="1" type="noConversion"/>
  </si>
  <si>
    <t>재료포장</t>
    <phoneticPr fontId="1" type="noConversion"/>
  </si>
  <si>
    <t>1주차  1,193,300  6건</t>
    <phoneticPr fontId="1" type="noConversion"/>
  </si>
  <si>
    <t>2주차    5,735,000  18건</t>
    <phoneticPr fontId="1" type="noConversion"/>
  </si>
  <si>
    <t>3주차  2,107,000 10건</t>
    <phoneticPr fontId="1" type="noConversion"/>
  </si>
  <si>
    <t>4주차   2,117,000  13건</t>
    <phoneticPr fontId="1" type="noConversion"/>
  </si>
  <si>
    <t>5주차 3,056,000 7건</t>
    <phoneticPr fontId="1" type="noConversion"/>
  </si>
  <si>
    <t>54건 시마이</t>
    <phoneticPr fontId="1" type="noConversion"/>
  </si>
  <si>
    <t>3월1일</t>
    <phoneticPr fontId="1" type="noConversion"/>
  </si>
  <si>
    <t>재료포장</t>
    <phoneticPr fontId="1" type="noConversion"/>
  </si>
  <si>
    <t>500*1200*1800 3단 무.양</t>
    <phoneticPr fontId="1" type="noConversion"/>
  </si>
  <si>
    <t>계좌이체</t>
    <phoneticPr fontId="1" type="noConversion"/>
  </si>
  <si>
    <t>동문 아파트</t>
    <phoneticPr fontId="1" type="noConversion"/>
  </si>
  <si>
    <t>600*1900*2000 3열 3단,1단,5단</t>
    <phoneticPr fontId="1" type="noConversion"/>
  </si>
  <si>
    <t>3월2일</t>
    <phoneticPr fontId="1" type="noConversion"/>
  </si>
  <si>
    <t>재료포장</t>
    <phoneticPr fontId="1" type="noConversion"/>
  </si>
  <si>
    <t>300*500*1200 3단</t>
    <phoneticPr fontId="1" type="noConversion"/>
  </si>
  <si>
    <t xml:space="preserve">400*1000*900 3단 </t>
    <phoneticPr fontId="1" type="noConversion"/>
  </si>
  <si>
    <t>현금</t>
    <phoneticPr fontId="1" type="noConversion"/>
  </si>
  <si>
    <t>양우내안애 앞 주택</t>
    <phoneticPr fontId="1" type="noConversion"/>
  </si>
  <si>
    <t>500*1800*2100 2열 5단</t>
    <phoneticPr fontId="1" type="noConversion"/>
  </si>
  <si>
    <t>3월3일</t>
    <phoneticPr fontId="1" type="noConversion"/>
  </si>
  <si>
    <t>재료포장</t>
    <phoneticPr fontId="1" type="noConversion"/>
  </si>
  <si>
    <t>미포조선 컨테이너</t>
    <phoneticPr fontId="1" type="noConversion"/>
  </si>
  <si>
    <t>010-3880-8358</t>
    <phoneticPr fontId="1" type="noConversion"/>
  </si>
  <si>
    <t xml:space="preserve">삼남읍 주공아파트 </t>
    <phoneticPr fontId="1" type="noConversion"/>
  </si>
  <si>
    <t>600*5700*1800 5열 3단 무.일
600*2100*1800 2열 3단 무.일</t>
    <phoneticPr fontId="1" type="noConversion"/>
  </si>
  <si>
    <t>500*1100*1400 2단 무.양 행거 
500*700*1800 2단 무.양 행거</t>
    <phoneticPr fontId="1" type="noConversion"/>
  </si>
  <si>
    <t>현금</t>
    <phoneticPr fontId="1" type="noConversion"/>
  </si>
  <si>
    <t xml:space="preserve">차량 설치 </t>
    <phoneticPr fontId="1" type="noConversion"/>
  </si>
  <si>
    <t>600*1500*1200 2단 무.일</t>
    <phoneticPr fontId="1" type="noConversion"/>
  </si>
  <si>
    <t>010-7472-7707</t>
    <phoneticPr fontId="1" type="noConversion"/>
  </si>
  <si>
    <t>3월6일</t>
    <phoneticPr fontId="1" type="noConversion"/>
  </si>
  <si>
    <t>이편한세상108동1301호</t>
    <phoneticPr fontId="1" type="noConversion"/>
  </si>
  <si>
    <t>010-8783-5362</t>
    <phoneticPr fontId="1" type="noConversion"/>
  </si>
  <si>
    <t xml:space="preserve">블라인드 </t>
    <phoneticPr fontId="1" type="noConversion"/>
  </si>
  <si>
    <t>500*1100*2000 5단 무.양</t>
    <phoneticPr fontId="1" type="noConversion"/>
  </si>
  <si>
    <t>600*1100*1800 4단 무.양</t>
    <phoneticPr fontId="1" type="noConversion"/>
  </si>
  <si>
    <t>계좌이체</t>
    <phoneticPr fontId="1" type="noConversion"/>
  </si>
  <si>
    <t>범서읍 사연리432-2</t>
    <phoneticPr fontId="1" type="noConversion"/>
  </si>
  <si>
    <t>010-9170-5251</t>
    <phoneticPr fontId="1" type="noConversion"/>
  </si>
  <si>
    <t>600*2200*1800 4단 무.양</t>
    <phoneticPr fontId="1" type="noConversion"/>
  </si>
  <si>
    <t>계좌이체</t>
    <phoneticPr fontId="1" type="noConversion"/>
  </si>
  <si>
    <t>재료포장</t>
    <phoneticPr fontId="1" type="noConversion"/>
  </si>
  <si>
    <t>010-3568-9063</t>
    <phoneticPr fontId="1" type="noConversion"/>
  </si>
  <si>
    <t>400*900*1800 4단 무.양</t>
    <phoneticPr fontId="1" type="noConversion"/>
  </si>
  <si>
    <t xml:space="preserve">블라인드 </t>
    <phoneticPr fontId="1" type="noConversion"/>
  </si>
  <si>
    <t>동문아파트</t>
    <phoneticPr fontId="1" type="noConversion"/>
  </si>
  <si>
    <t>3월7일</t>
    <phoneticPr fontId="1" type="noConversion"/>
  </si>
  <si>
    <t>왕볼따구 아구찜</t>
    <phoneticPr fontId="1" type="noConversion"/>
  </si>
  <si>
    <t>월드메르디앙105동1005호</t>
    <phoneticPr fontId="1" type="noConversion"/>
  </si>
  <si>
    <t>010-8338-7890</t>
    <phoneticPr fontId="1" type="noConversion"/>
  </si>
  <si>
    <t>600*1900*1800 4단 무,양</t>
    <phoneticPr fontId="1" type="noConversion"/>
  </si>
  <si>
    <t>300*400*1800 5단 무.양</t>
    <phoneticPr fontId="1" type="noConversion"/>
  </si>
  <si>
    <t>010-4018-4918</t>
    <phoneticPr fontId="1" type="noConversion"/>
  </si>
  <si>
    <t>3월8일</t>
    <phoneticPr fontId="1" type="noConversion"/>
  </si>
  <si>
    <t>상북면 석남로863 1층</t>
    <phoneticPr fontId="1" type="noConversion"/>
  </si>
  <si>
    <t>010-7355-7779</t>
    <phoneticPr fontId="1" type="noConversion"/>
  </si>
  <si>
    <t>300*5300*1048 3단 무.양</t>
    <phoneticPr fontId="1" type="noConversion"/>
  </si>
  <si>
    <t>500*2700*1500 2단 무.일
500*800*1500 2단 무.일</t>
    <phoneticPr fontId="1" type="noConversion"/>
  </si>
  <si>
    <t>동향교4길 18</t>
    <phoneticPr fontId="1" type="noConversion"/>
  </si>
  <si>
    <t>010-6431-6272</t>
    <phoneticPr fontId="1" type="noConversion"/>
  </si>
  <si>
    <t>3월9일</t>
    <phoneticPr fontId="1" type="noConversion"/>
  </si>
  <si>
    <t>옥동현대아파트101동805호</t>
    <phoneticPr fontId="1" type="noConversion"/>
  </si>
  <si>
    <t>600*600*2100 3단 무.양 행거
600*1200*2100 3단 무.양 행거
600*900*2100 3단 무.양 행거
600*1200*2100 3단 무.양 행거
500*1200*2000 5단 무.양 블라인드 3조</t>
    <phoneticPr fontId="1" type="noConversion"/>
  </si>
  <si>
    <t>3월10일</t>
    <phoneticPr fontId="1" type="noConversion"/>
  </si>
  <si>
    <t>계좌이체</t>
    <phoneticPr fontId="1" type="noConversion"/>
  </si>
  <si>
    <t>010-4663-0670</t>
    <phoneticPr fontId="1" type="noConversion"/>
  </si>
  <si>
    <t>400*2700*1800 3열 4단
400*2300*1800 2열 4단</t>
    <phoneticPr fontId="1" type="noConversion"/>
  </si>
  <si>
    <t>1주차 2,095,000 11건</t>
    <phoneticPr fontId="1" type="noConversion"/>
  </si>
  <si>
    <t>계산서 입금완료</t>
    <phoneticPr fontId="1" type="noConversion"/>
  </si>
  <si>
    <t>카드</t>
    <phoneticPr fontId="1" type="noConversion"/>
  </si>
  <si>
    <t>2700*1600 블라인드</t>
    <phoneticPr fontId="1" type="noConversion"/>
  </si>
  <si>
    <t>동운</t>
    <phoneticPr fontId="1" type="noConversion"/>
  </si>
  <si>
    <t>재료포장 블라인드
명문산업</t>
    <phoneticPr fontId="1" type="noConversion"/>
  </si>
  <si>
    <t>현금</t>
    <phoneticPr fontId="1" type="noConversion"/>
  </si>
  <si>
    <t>재료포장</t>
    <phoneticPr fontId="1" type="noConversion"/>
  </si>
  <si>
    <t>400*1600*1800 4단 무.양 2열</t>
    <phoneticPr fontId="1" type="noConversion"/>
  </si>
  <si>
    <t>계좌이체</t>
    <phoneticPr fontId="1" type="noConversion"/>
  </si>
  <si>
    <t>600*1200 3열 일반 2단추가</t>
    <phoneticPr fontId="1" type="noConversion"/>
  </si>
  <si>
    <t>3월13일</t>
    <phoneticPr fontId="1" type="noConversion"/>
  </si>
  <si>
    <t>재료포장</t>
    <phoneticPr fontId="1" type="noConversion"/>
  </si>
  <si>
    <t>600*2200*1800 5단</t>
    <phoneticPr fontId="1" type="noConversion"/>
  </si>
  <si>
    <t>계좌이체</t>
    <phoneticPr fontId="1" type="noConversion"/>
  </si>
  <si>
    <t>400*900*700 3단
600*1700*1500 3단</t>
    <phoneticPr fontId="1" type="noConversion"/>
  </si>
  <si>
    <t>1 11 4420</t>
    <phoneticPr fontId="1" type="noConversion"/>
  </si>
  <si>
    <t>2. 10 8000</t>
    <phoneticPr fontId="1" type="noConversion"/>
  </si>
  <si>
    <t>카드</t>
    <phoneticPr fontId="1" type="noConversion"/>
  </si>
  <si>
    <t>재료포장</t>
    <phoneticPr fontId="1" type="noConversion"/>
  </si>
  <si>
    <t>400*800*2000 5단 무.양</t>
    <phoneticPr fontId="1" type="noConversion"/>
  </si>
  <si>
    <t>이편한세상101동202호</t>
    <phoneticPr fontId="1" type="noConversion"/>
  </si>
  <si>
    <t>010-2251-2318</t>
    <phoneticPr fontId="1" type="noConversion"/>
  </si>
  <si>
    <t>옥동현대아파트101동805호</t>
    <phoneticPr fontId="1" type="noConversion"/>
  </si>
  <si>
    <t>010-6582-2323</t>
    <phoneticPr fontId="1" type="noConversion"/>
  </si>
  <si>
    <t>010-6582-2323</t>
    <phoneticPr fontId="1" type="noConversion"/>
  </si>
  <si>
    <t>계산서 이체완료</t>
    <phoneticPr fontId="1" type="noConversion"/>
  </si>
  <si>
    <t>3월14일</t>
    <phoneticPr fontId="1" type="noConversion"/>
  </si>
  <si>
    <t>재료포장</t>
    <phoneticPr fontId="1" type="noConversion"/>
  </si>
  <si>
    <t>300*1100*1200 3단 무,양
400*800*2100 5단 무.양
500*1200 3단 추가</t>
    <phoneticPr fontId="1" type="noConversion"/>
  </si>
  <si>
    <t>카드</t>
    <phoneticPr fontId="1" type="noConversion"/>
  </si>
  <si>
    <t>3월15일</t>
    <phoneticPr fontId="1" type="noConversion"/>
  </si>
  <si>
    <t>유니큰 온산공단</t>
    <phoneticPr fontId="1" type="noConversion"/>
  </si>
  <si>
    <t>500*3200*1800 4열 4단 무.일 2조</t>
    <phoneticPr fontId="1" type="noConversion"/>
  </si>
  <si>
    <t>010-5258-0847</t>
    <phoneticPr fontId="1" type="noConversion"/>
  </si>
  <si>
    <t>재료포장 바퀴 반조립</t>
    <phoneticPr fontId="1" type="noConversion"/>
  </si>
  <si>
    <t>400*1200*1500 4단 무,테 6조 바퀴</t>
    <phoneticPr fontId="1" type="noConversion"/>
  </si>
  <si>
    <t>계좌이체</t>
    <phoneticPr fontId="1" type="noConversion"/>
  </si>
  <si>
    <t>010-8300-0197</t>
    <phoneticPr fontId="1" type="noConversion"/>
  </si>
  <si>
    <t>3월17일</t>
    <phoneticPr fontId="1" type="noConversion"/>
  </si>
  <si>
    <t>양우내안애 103동703호</t>
    <phoneticPr fontId="1" type="noConversion"/>
  </si>
  <si>
    <t>010-7108-6951</t>
    <phoneticPr fontId="1" type="noConversion"/>
  </si>
  <si>
    <t>400*600*1800 5단 무.양</t>
    <phoneticPr fontId="1" type="noConversion"/>
  </si>
  <si>
    <t>재료포장</t>
    <phoneticPr fontId="1" type="noConversion"/>
  </si>
  <si>
    <t>계좌이체</t>
    <phoneticPr fontId="1" type="noConversion"/>
  </si>
  <si>
    <t>300*1100*1800 3단 무.일</t>
    <phoneticPr fontId="1" type="noConversion"/>
  </si>
  <si>
    <t>동문 상가 1층 119호</t>
    <phoneticPr fontId="1" type="noConversion"/>
  </si>
  <si>
    <t>600*3000*1200 3열 4단 무.양
600*2000*1200 2열 4단 무.양</t>
    <phoneticPr fontId="1" type="noConversion"/>
  </si>
  <si>
    <t>010-4529-8006</t>
    <phoneticPr fontId="1" type="noConversion"/>
  </si>
  <si>
    <t>3월18일</t>
    <phoneticPr fontId="1" type="noConversion"/>
  </si>
  <si>
    <t>이편한세상101동1104호</t>
    <phoneticPr fontId="1" type="noConversion"/>
  </si>
  <si>
    <t>부일맨션</t>
    <phoneticPr fontId="1" type="noConversion"/>
  </si>
  <si>
    <t>300*1100*1800 4단 무.양
600*1000*2000 5단 무.양
블라인드 3창
합판 400*800 6장</t>
    <phoneticPr fontId="1" type="noConversion"/>
  </si>
  <si>
    <t>현금</t>
    <phoneticPr fontId="1" type="noConversion"/>
  </si>
  <si>
    <t>계좌이체</t>
    <phoneticPr fontId="1" type="noConversion"/>
  </si>
  <si>
    <t>3월20일</t>
    <phoneticPr fontId="1" type="noConversion"/>
  </si>
  <si>
    <t>교동로 파리바게뜨</t>
    <phoneticPr fontId="1" type="noConversion"/>
  </si>
  <si>
    <t>다이아몬드 아파트 앞 주택</t>
    <phoneticPr fontId="1" type="noConversion"/>
  </si>
  <si>
    <t>052-262-0855</t>
    <phoneticPr fontId="1" type="noConversion"/>
  </si>
  <si>
    <t>한신휴 620</t>
    <phoneticPr fontId="1" type="noConversion"/>
  </si>
  <si>
    <t>010-9093-0871</t>
    <phoneticPr fontId="1" type="noConversion"/>
  </si>
  <si>
    <t>500*2400*2100 2열 5단</t>
    <phoneticPr fontId="1" type="noConversion"/>
  </si>
  <si>
    <t>계산서</t>
    <phoneticPr fontId="1" type="noConversion"/>
  </si>
  <si>
    <t>3주차  4,132,000원  13건</t>
  </si>
  <si>
    <t xml:space="preserve">2주차 4,319,000원 16건 </t>
  </si>
  <si>
    <t>3 1</t>
    <phoneticPr fontId="1" type="noConversion"/>
  </si>
  <si>
    <t>3 2</t>
    <phoneticPr fontId="1" type="noConversion"/>
  </si>
  <si>
    <t>3 2</t>
    <phoneticPr fontId="1" type="noConversion"/>
  </si>
  <si>
    <t>3 3</t>
    <phoneticPr fontId="1" type="noConversion"/>
  </si>
  <si>
    <t>3 3</t>
    <phoneticPr fontId="1" type="noConversion"/>
  </si>
  <si>
    <t>3 3</t>
    <phoneticPr fontId="1" type="noConversion"/>
  </si>
  <si>
    <t>3 6</t>
    <phoneticPr fontId="1" type="noConversion"/>
  </si>
  <si>
    <t>3 6</t>
    <phoneticPr fontId="1" type="noConversion"/>
  </si>
  <si>
    <t>3 7</t>
    <phoneticPr fontId="1" type="noConversion"/>
  </si>
  <si>
    <t>3 8</t>
    <phoneticPr fontId="1" type="noConversion"/>
  </si>
  <si>
    <t>3 10</t>
    <phoneticPr fontId="1" type="noConversion"/>
  </si>
  <si>
    <t>3 13</t>
    <phoneticPr fontId="1" type="noConversion"/>
  </si>
  <si>
    <t>3 14</t>
    <phoneticPr fontId="1" type="noConversion"/>
  </si>
  <si>
    <t>3 15</t>
    <phoneticPr fontId="1" type="noConversion"/>
  </si>
  <si>
    <t>3 17</t>
    <phoneticPr fontId="1" type="noConversion"/>
  </si>
  <si>
    <t>3 18</t>
    <phoneticPr fontId="1" type="noConversion"/>
  </si>
  <si>
    <t>3 20</t>
    <phoneticPr fontId="1" type="noConversion"/>
  </si>
  <si>
    <t>600*2600*1800 3열 3단 무,일
500*2400*1200 2열 2단 무.일
500*2000*1200 2단 2열 무.일</t>
    <phoneticPr fontId="1" type="noConversion"/>
  </si>
  <si>
    <t>700*800*350 1단 볼,테</t>
    <phoneticPr fontId="1" type="noConversion"/>
  </si>
  <si>
    <t>계좌이체</t>
    <phoneticPr fontId="1" type="noConversion"/>
  </si>
  <si>
    <t>4월 1일 계산서 발행
5월 말 입금예정</t>
    <phoneticPr fontId="1" type="noConversion"/>
  </si>
  <si>
    <t>재료포장 각그랜져</t>
    <phoneticPr fontId="1" type="noConversion"/>
  </si>
  <si>
    <t xml:space="preserve">400*800*150 1단 </t>
    <phoneticPr fontId="1" type="noConversion"/>
  </si>
  <si>
    <t>현금</t>
    <phoneticPr fontId="1" type="noConversion"/>
  </si>
  <si>
    <t>3월21일</t>
    <phoneticPr fontId="1" type="noConversion"/>
  </si>
  <si>
    <t>자수정로 승마장근처</t>
    <phoneticPr fontId="1" type="noConversion"/>
  </si>
  <si>
    <t>계좌이체</t>
    <phoneticPr fontId="1" type="noConversion"/>
  </si>
  <si>
    <t>해오름 농약집</t>
    <phoneticPr fontId="1" type="noConversion"/>
  </si>
  <si>
    <t xml:space="preserve">구영리 주공아파트 </t>
    <phoneticPr fontId="1" type="noConversion"/>
  </si>
  <si>
    <t>다슬기탕 집 아줌마</t>
    <phoneticPr fontId="1" type="noConversion"/>
  </si>
  <si>
    <t>무거동 마라탕</t>
    <phoneticPr fontId="1" type="noConversion"/>
  </si>
  <si>
    <t>300*1800*900 2열 2단 무.일</t>
    <phoneticPr fontId="1" type="noConversion"/>
  </si>
  <si>
    <t>500*2000*720 2열 2단 무.양</t>
    <phoneticPr fontId="1" type="noConversion"/>
  </si>
  <si>
    <t>500*1100*2000 4단 무.일
400*700*1800 5단 무.양
400*1600*2000 2열 4단 무.양</t>
    <phoneticPr fontId="1" type="noConversion"/>
  </si>
  <si>
    <t>010-6594-6055</t>
    <phoneticPr fontId="1" type="noConversion"/>
  </si>
  <si>
    <t>010-7355-7779</t>
    <phoneticPr fontId="1" type="noConversion"/>
  </si>
  <si>
    <t>010-8010-7171</t>
    <phoneticPr fontId="1" type="noConversion"/>
  </si>
  <si>
    <t>010-5359-6869</t>
    <phoneticPr fontId="1" type="noConversion"/>
  </si>
  <si>
    <t>010-2572-7351</t>
    <phoneticPr fontId="1" type="noConversion"/>
  </si>
  <si>
    <t xml:space="preserve">400*1800*2100 2열 5단 무.양 
600*2900*2100 3열 5단 무.양 2조
500*2100*2100 2열 5단 무.양 2조 </t>
    <phoneticPr fontId="1" type="noConversion"/>
  </si>
  <si>
    <t>500*1000*2100 4단 무.양 2조
500*1000*2100 3단 무.양 행거 
600*1600*2100 3단 5단 무.양 
600*1900*2000 무.일</t>
    <phoneticPr fontId="1" type="noConversion"/>
  </si>
  <si>
    <t>3 21</t>
    <phoneticPr fontId="1" type="noConversion"/>
  </si>
  <si>
    <t>미수금</t>
    <phoneticPr fontId="1" type="noConversion"/>
  </si>
  <si>
    <t>1/30 175</t>
    <phoneticPr fontId="1" type="noConversion"/>
  </si>
  <si>
    <t>2/27 150</t>
    <phoneticPr fontId="1" type="noConversion"/>
  </si>
  <si>
    <t>3/15 83.7</t>
    <phoneticPr fontId="1" type="noConversion"/>
  </si>
  <si>
    <t>3월23일</t>
    <phoneticPr fontId="1" type="noConversion"/>
  </si>
  <si>
    <t>자수정로 승마장근처</t>
    <phoneticPr fontId="1" type="noConversion"/>
  </si>
  <si>
    <t xml:space="preserve"> 앵글 블라인드 3조
 500*3300*1200 3열 3단 무.테</t>
    <phoneticPr fontId="1" type="noConversion"/>
  </si>
  <si>
    <t>현금</t>
    <phoneticPr fontId="1" type="noConversion"/>
  </si>
  <si>
    <t>500*1200*2100 3단 행거 2봉 무.양
500*700*21003단 행거 1봉 무.양
400*500*2100 5단 무.양</t>
    <phoneticPr fontId="1" type="noConversion"/>
  </si>
  <si>
    <t>선경 2차 215 205호</t>
    <phoneticPr fontId="1" type="noConversion"/>
  </si>
  <si>
    <t>010-6328-9060</t>
    <phoneticPr fontId="1" type="noConversion"/>
  </si>
  <si>
    <t>재료포장 신정동</t>
    <phoneticPr fontId="1" type="noConversion"/>
  </si>
  <si>
    <t>600*1200*1800 4단 무.양 3조</t>
    <phoneticPr fontId="1" type="noConversion"/>
  </si>
  <si>
    <t>3월24일</t>
    <phoneticPr fontId="1" type="noConversion"/>
  </si>
  <si>
    <t>양우내안애 108동 202호</t>
    <phoneticPr fontId="1" type="noConversion"/>
  </si>
  <si>
    <t>010-9205-1629</t>
    <phoneticPr fontId="1" type="noConversion"/>
  </si>
  <si>
    <t>500*1000*1200 4단 무.양</t>
    <phoneticPr fontId="1" type="noConversion"/>
  </si>
  <si>
    <t>계좌이체</t>
    <phoneticPr fontId="1" type="noConversion"/>
  </si>
  <si>
    <t>3월25일</t>
    <phoneticPr fontId="1" type="noConversion"/>
  </si>
  <si>
    <t>재료포장</t>
    <phoneticPr fontId="1" type="noConversion"/>
  </si>
  <si>
    <t>대진파크 b동 405호</t>
    <phoneticPr fontId="1" type="noConversion"/>
  </si>
  <si>
    <t>600*900*2100 2단 행거1 2조
600*900*2100 3단 무.양 행거 1조</t>
    <phoneticPr fontId="1" type="noConversion"/>
  </si>
  <si>
    <t>400*1200*2100 3단 2행거 무.양
400*700*2100 3단 1행거 무.양</t>
    <phoneticPr fontId="1" type="noConversion"/>
  </si>
  <si>
    <t>언양읍 언양로 581</t>
    <phoneticPr fontId="1" type="noConversion"/>
  </si>
  <si>
    <t>010-9824-3912</t>
    <phoneticPr fontId="1" type="noConversion"/>
  </si>
  <si>
    <t>010-2768-6678</t>
    <phoneticPr fontId="1" type="noConversion"/>
  </si>
  <si>
    <t>4주차 6,620,000원 16건</t>
    <phoneticPr fontId="1" type="noConversion"/>
  </si>
  <si>
    <t>2400 8개 416</t>
    <phoneticPr fontId="1" type="noConversion"/>
  </si>
  <si>
    <t>3월27일</t>
    <phoneticPr fontId="1" type="noConversion"/>
  </si>
  <si>
    <t>마사지샵 언양</t>
    <phoneticPr fontId="1" type="noConversion"/>
  </si>
  <si>
    <t>북구 중산로48 106동2203호</t>
  </si>
  <si>
    <t>현금</t>
    <phoneticPr fontId="1" type="noConversion"/>
  </si>
  <si>
    <t>400*800*2000 5단 무.일
600*1000*2000 5단 무.일 블라인드</t>
    <phoneticPr fontId="1" type="noConversion"/>
  </si>
  <si>
    <t>010-3685-9100</t>
    <phoneticPr fontId="1" type="noConversion"/>
  </si>
  <si>
    <t>010-5672-1580</t>
    <phoneticPr fontId="1" type="noConversion"/>
  </si>
  <si>
    <t>효성 해링턴 502동704호</t>
    <phoneticPr fontId="1" type="noConversion"/>
  </si>
  <si>
    <t>300*600*1800 2조 5단 무.양</t>
    <phoneticPr fontId="1" type="noConversion"/>
  </si>
  <si>
    <t xml:space="preserve">400*1200*1500 2단 무.일 </t>
    <phoneticPr fontId="1" type="noConversion"/>
  </si>
  <si>
    <t>재료포장 416 회색 8개</t>
    <phoneticPr fontId="1" type="noConversion"/>
  </si>
  <si>
    <t xml:space="preserve">500*2100*1700 3단 무.양 </t>
    <phoneticPr fontId="1" type="noConversion"/>
  </si>
  <si>
    <t>현금</t>
    <phoneticPr fontId="1" type="noConversion"/>
  </si>
  <si>
    <t>카드</t>
    <phoneticPr fontId="1" type="noConversion"/>
  </si>
  <si>
    <t>계좌이체</t>
    <phoneticPr fontId="1" type="noConversion"/>
  </si>
  <si>
    <t>승마장 옆 주택</t>
    <phoneticPr fontId="1" type="noConversion"/>
  </si>
  <si>
    <t>재료포장</t>
    <phoneticPr fontId="1" type="noConversion"/>
  </si>
  <si>
    <t>계좌이체</t>
    <phoneticPr fontId="1" type="noConversion"/>
  </si>
  <si>
    <t>3 27</t>
    <phoneticPr fontId="1" type="noConversion"/>
  </si>
  <si>
    <t>3월28일</t>
    <phoneticPr fontId="1" type="noConversion"/>
  </si>
  <si>
    <t>온양읍 온양로 떡볶이집</t>
    <phoneticPr fontId="1" type="noConversion"/>
  </si>
  <si>
    <t>010-3860-1861</t>
    <phoneticPr fontId="1" type="noConversion"/>
  </si>
  <si>
    <t>500*3100*1800* 4단 4열 무.일</t>
    <phoneticPr fontId="1" type="noConversion"/>
  </si>
  <si>
    <t>재료포장</t>
    <phoneticPr fontId="1" type="noConversion"/>
  </si>
  <si>
    <t>재료포장</t>
    <phoneticPr fontId="1" type="noConversion"/>
  </si>
  <si>
    <t>리슈빌 110동 102호</t>
    <phoneticPr fontId="1" type="noConversion"/>
  </si>
  <si>
    <t>홀딩도어</t>
    <phoneticPr fontId="1" type="noConversion"/>
  </si>
  <si>
    <t>3월29일</t>
    <phoneticPr fontId="1" type="noConversion"/>
  </si>
  <si>
    <t>해오름 농약집</t>
    <phoneticPr fontId="1" type="noConversion"/>
  </si>
  <si>
    <t>600*3400*1800 3열 4단 무.일
600*1200*1200 3단 무.일</t>
    <phoneticPr fontId="1" type="noConversion"/>
  </si>
  <si>
    <t>대학로 147번길23-5</t>
    <phoneticPr fontId="1" type="noConversion"/>
  </si>
  <si>
    <t>010-2803-6113</t>
    <phoneticPr fontId="1" type="noConversion"/>
  </si>
  <si>
    <t>500*2900*2000 3열 5단 무.일</t>
    <phoneticPr fontId="1" type="noConversion"/>
  </si>
  <si>
    <t>3 29</t>
    <phoneticPr fontId="1" type="noConversion"/>
  </si>
  <si>
    <t>카드</t>
    <phoneticPr fontId="1" type="noConversion"/>
  </si>
  <si>
    <t xml:space="preserve"> </t>
    <phoneticPr fontId="1" type="noConversion"/>
  </si>
  <si>
    <t>행거 봉추가</t>
    <phoneticPr fontId="1" type="noConversion"/>
  </si>
  <si>
    <t>현금</t>
    <phoneticPr fontId="1" type="noConversion"/>
  </si>
  <si>
    <r>
      <t xml:space="preserve">선금170,000
3/30 830,000입완
</t>
    </r>
    <r>
      <rPr>
        <b/>
        <sz val="9"/>
        <color rgb="FFFF0000"/>
        <rFont val="맑은 고딕"/>
        <family val="3"/>
        <charset val="129"/>
        <scheme val="minor"/>
      </rPr>
      <t>잔금 500,000</t>
    </r>
    <phoneticPr fontId="1" type="noConversion"/>
  </si>
  <si>
    <t>3/9   50</t>
    <phoneticPr fontId="1" type="noConversion"/>
  </si>
  <si>
    <t>3월31일</t>
    <phoneticPr fontId="1" type="noConversion"/>
  </si>
  <si>
    <t>다슬기집</t>
    <phoneticPr fontId="1" type="noConversion"/>
  </si>
  <si>
    <t>블라인드 합판2장</t>
    <phoneticPr fontId="1" type="noConversion"/>
  </si>
  <si>
    <t>계좌이체</t>
    <phoneticPr fontId="1" type="noConversion"/>
  </si>
  <si>
    <t>5주차 2,439,000 14건</t>
    <phoneticPr fontId="1" type="noConversion"/>
  </si>
  <si>
    <t xml:space="preserve">2월 합계 70건 </t>
    <phoneticPr fontId="1" type="noConversion"/>
  </si>
  <si>
    <t>4월1일</t>
    <phoneticPr fontId="1" type="noConversion"/>
  </si>
  <si>
    <t>재료포장</t>
    <phoneticPr fontId="1" type="noConversion"/>
  </si>
  <si>
    <t>재료포장 작천정</t>
    <phoneticPr fontId="1" type="noConversion"/>
  </si>
  <si>
    <t>400*500*1200 3단 합판x</t>
    <phoneticPr fontId="1" type="noConversion"/>
  </si>
  <si>
    <t>테고합판 원판</t>
    <phoneticPr fontId="1" type="noConversion"/>
  </si>
  <si>
    <t>계좌이체</t>
    <phoneticPr fontId="1" type="noConversion"/>
  </si>
  <si>
    <t>재료포장 태화동</t>
    <phoneticPr fontId="1" type="noConversion"/>
  </si>
  <si>
    <t>500*1200*1800 4단</t>
    <phoneticPr fontId="1" type="noConversion"/>
  </si>
  <si>
    <t>4월3일</t>
    <phoneticPr fontId="1" type="noConversion"/>
  </si>
  <si>
    <t>해오름농약집</t>
    <phoneticPr fontId="1" type="noConversion"/>
  </si>
  <si>
    <t>재료포장</t>
    <phoneticPr fontId="1" type="noConversion"/>
  </si>
  <si>
    <t xml:space="preserve">500*3000*1500 3열 3단 </t>
    <phoneticPr fontId="1" type="noConversion"/>
  </si>
  <si>
    <t>카드</t>
    <phoneticPr fontId="1" type="noConversion"/>
  </si>
  <si>
    <t>단추가</t>
    <phoneticPr fontId="1" type="noConversion"/>
  </si>
  <si>
    <t>4월4일</t>
    <phoneticPr fontId="1" type="noConversion"/>
  </si>
  <si>
    <t>구영리 일신맨션</t>
    <phoneticPr fontId="1" type="noConversion"/>
  </si>
  <si>
    <t>010-9304-5995</t>
    <phoneticPr fontId="1" type="noConversion"/>
  </si>
  <si>
    <t>010-3860-7626</t>
    <phoneticPr fontId="1" type="noConversion"/>
  </si>
  <si>
    <t>블라인드 앵글</t>
    <phoneticPr fontId="1" type="noConversion"/>
  </si>
  <si>
    <t>중구 종가5길 10 에뜰 1차 103동 1801호</t>
    <phoneticPr fontId="1" type="noConversion"/>
  </si>
  <si>
    <t>600*1000*1800 4단 무.양
600*800*2000 5단 무.양
500*1900*2000 3단 무.양
400*800*1800 3단 무.양</t>
    <phoneticPr fontId="1" type="noConversion"/>
  </si>
  <si>
    <t>4월6일</t>
    <phoneticPr fontId="1" type="noConversion"/>
  </si>
  <si>
    <t>500*1100*1800 4단 2조</t>
    <phoneticPr fontId="1" type="noConversion"/>
  </si>
  <si>
    <t>010-9360-3371</t>
    <phoneticPr fontId="1" type="noConversion"/>
  </si>
  <si>
    <t>재료포장 스님</t>
    <phoneticPr fontId="1" type="noConversion"/>
  </si>
  <si>
    <t>500*1800*800 2열 2단 무.일</t>
    <phoneticPr fontId="1" type="noConversion"/>
  </si>
  <si>
    <t>팜스빌리지</t>
    <phoneticPr fontId="1" type="noConversion"/>
  </si>
  <si>
    <t>다슬기집</t>
    <phoneticPr fontId="1" type="noConversion"/>
  </si>
  <si>
    <t>구영리 일신맨션</t>
    <phoneticPr fontId="1" type="noConversion"/>
  </si>
  <si>
    <t>블라인드 3창</t>
    <phoneticPr fontId="1" type="noConversion"/>
  </si>
  <si>
    <t>400*600*1800 4단 무.양</t>
    <phoneticPr fontId="1" type="noConversion"/>
  </si>
  <si>
    <t>010-5132-3075</t>
    <phoneticPr fontId="1" type="noConversion"/>
  </si>
  <si>
    <t>블라인드 3창</t>
    <phoneticPr fontId="1" type="noConversion"/>
  </si>
  <si>
    <t>재료포장</t>
    <phoneticPr fontId="1" type="noConversion"/>
  </si>
  <si>
    <t>600*1500*1200 3단 무.일
300*700*1500 4단 무.일</t>
    <phoneticPr fontId="1" type="noConversion"/>
  </si>
  <si>
    <t>4월7일</t>
    <phoneticPr fontId="1" type="noConversion"/>
  </si>
  <si>
    <t>재료포장</t>
    <phoneticPr fontId="1" type="noConversion"/>
  </si>
  <si>
    <t>동구 베이비오피스텔</t>
    <phoneticPr fontId="1" type="noConversion"/>
  </si>
  <si>
    <t>400*1200*1800 4단 무.양</t>
    <phoneticPr fontId="1" type="noConversion"/>
  </si>
  <si>
    <t>현금</t>
    <phoneticPr fontId="1" type="noConversion"/>
  </si>
  <si>
    <t>테고합판 원판</t>
    <phoneticPr fontId="1" type="noConversion"/>
  </si>
  <si>
    <t>현금</t>
    <phoneticPr fontId="1" type="noConversion"/>
  </si>
  <si>
    <t>4월8일</t>
    <phoneticPr fontId="1" type="noConversion"/>
  </si>
  <si>
    <t>재료포장</t>
    <phoneticPr fontId="1" type="noConversion"/>
  </si>
  <si>
    <t>600*900*2000 5단 무.양
600*1200*2000 5단 무.양</t>
    <phoneticPr fontId="1" type="noConversion"/>
  </si>
  <si>
    <t>카드</t>
    <phoneticPr fontId="1" type="noConversion"/>
  </si>
  <si>
    <t>재료포장</t>
    <phoneticPr fontId="1" type="noConversion"/>
  </si>
  <si>
    <t>516 1300 3개 1200 9개 450 8개</t>
    <phoneticPr fontId="1" type="noConversion"/>
  </si>
  <si>
    <t>해오름 농약집</t>
    <phoneticPr fontId="1" type="noConversion"/>
  </si>
  <si>
    <t>재료포장</t>
    <phoneticPr fontId="1" type="noConversion"/>
  </si>
  <si>
    <t>400*1000*900 3단 무.양</t>
    <phoneticPr fontId="1" type="noConversion"/>
  </si>
  <si>
    <t>카드</t>
    <phoneticPr fontId="1" type="noConversion"/>
  </si>
  <si>
    <t>계좌이체</t>
    <phoneticPr fontId="1" type="noConversion"/>
  </si>
  <si>
    <t>1주차 4,050,000  19건</t>
    <phoneticPr fontId="1" type="noConversion"/>
  </si>
  <si>
    <t>4월10일</t>
    <phoneticPr fontId="1" type="noConversion"/>
  </si>
  <si>
    <t xml:space="preserve">일신아파트 </t>
    <phoneticPr fontId="1" type="noConversion"/>
  </si>
  <si>
    <t>언양읍 남문길44-2 카페</t>
    <phoneticPr fontId="1" type="noConversion"/>
  </si>
  <si>
    <t>010-9019-6047</t>
    <phoneticPr fontId="1" type="noConversion"/>
  </si>
  <si>
    <t>블라인드 4창 커튼 1창</t>
    <phoneticPr fontId="1" type="noConversion"/>
  </si>
  <si>
    <t>블라인드 2창</t>
    <phoneticPr fontId="1" type="noConversion"/>
  </si>
  <si>
    <t>4월11일</t>
    <phoneticPr fontId="1" type="noConversion"/>
  </si>
  <si>
    <t>양산</t>
    <phoneticPr fontId="1" type="noConversion"/>
  </si>
  <si>
    <t>500*1000*1500 4단 무.양
300*3200*1200 2단 무.양
800*1900*100 2열 1단 볼,테</t>
    <phoneticPr fontId="1" type="noConversion"/>
  </si>
  <si>
    <t>무거동 815-1 아성홈토피아</t>
    <phoneticPr fontId="1" type="noConversion"/>
  </si>
  <si>
    <t>010-5899-5777</t>
    <phoneticPr fontId="1" type="noConversion"/>
  </si>
  <si>
    <t>010-3342-0542</t>
    <phoneticPr fontId="1" type="noConversion"/>
  </si>
  <si>
    <t>500*600*1500 4단 무.양
500*500*1500 4단 무.양</t>
    <phoneticPr fontId="1" type="noConversion"/>
  </si>
  <si>
    <t>종가5길10 에뜰1차 103동1801호</t>
    <phoneticPr fontId="1" type="noConversion"/>
  </si>
  <si>
    <t>010-9304-5995</t>
    <phoneticPr fontId="1" type="noConversion"/>
  </si>
  <si>
    <t>블라인드 2창</t>
    <phoneticPr fontId="1" type="noConversion"/>
  </si>
  <si>
    <t>옥동현대아파트 101동1702호</t>
    <phoneticPr fontId="1" type="noConversion"/>
  </si>
  <si>
    <t>010-9610-5390</t>
    <phoneticPr fontId="1" type="noConversion"/>
  </si>
  <si>
    <t>500*800*1500 2단 무.양</t>
    <phoneticPr fontId="1" type="noConversion"/>
  </si>
  <si>
    <t>현금</t>
    <phoneticPr fontId="1" type="noConversion"/>
  </si>
  <si>
    <t>4월12일</t>
    <phoneticPr fontId="1" type="noConversion"/>
  </si>
  <si>
    <t>리슈빌109동1201호</t>
    <phoneticPr fontId="1" type="noConversion"/>
  </si>
  <si>
    <t>010-9343-7946</t>
    <phoneticPr fontId="1" type="noConversion"/>
  </si>
  <si>
    <t>600*600*1800 3단 무.양
400*700*1300 3단 무.양</t>
    <phoneticPr fontId="1" type="noConversion"/>
  </si>
  <si>
    <t>4월13일</t>
    <phoneticPr fontId="1" type="noConversion"/>
  </si>
  <si>
    <t xml:space="preserve">현대백화점 10층 </t>
    <phoneticPr fontId="1" type="noConversion"/>
  </si>
  <si>
    <t>300*3400*2400 3단 3열 무.양</t>
    <phoneticPr fontId="1" type="noConversion"/>
  </si>
  <si>
    <t>커튼 2창</t>
    <phoneticPr fontId="1" type="noConversion"/>
  </si>
  <si>
    <t>4월14일</t>
    <phoneticPr fontId="1" type="noConversion"/>
  </si>
  <si>
    <t>재료포장 인테리어사장님</t>
    <phoneticPr fontId="1" type="noConversion"/>
  </si>
  <si>
    <t>카드</t>
    <phoneticPr fontId="1" type="noConversion"/>
  </si>
  <si>
    <t>600*1100*1800 3단 무.양</t>
    <phoneticPr fontId="1" type="noConversion"/>
  </si>
  <si>
    <t>재료포장</t>
    <phoneticPr fontId="1" type="noConversion"/>
  </si>
  <si>
    <t>4월15일</t>
    <phoneticPr fontId="1" type="noConversion"/>
  </si>
  <si>
    <t>a/s 양산</t>
    <phoneticPr fontId="1" type="noConversion"/>
  </si>
  <si>
    <t>다리발 6개</t>
    <phoneticPr fontId="1" type="noConversion"/>
  </si>
  <si>
    <t>샤브샤브 집 언양</t>
    <phoneticPr fontId="1" type="noConversion"/>
  </si>
  <si>
    <t>현대아파트 101동1702호</t>
    <phoneticPr fontId="1" type="noConversion"/>
  </si>
  <si>
    <t>010-9996-4691</t>
    <phoneticPr fontId="1" type="noConversion"/>
  </si>
  <si>
    <t>010-9610-5390</t>
    <phoneticPr fontId="1" type="noConversion"/>
  </si>
  <si>
    <t>동우형 집</t>
    <phoneticPr fontId="1" type="noConversion"/>
  </si>
  <si>
    <t>010-7127-9558</t>
    <phoneticPr fontId="1" type="noConversion"/>
  </si>
  <si>
    <t>600*600*1800 5단 무.양</t>
    <phoneticPr fontId="1" type="noConversion"/>
  </si>
  <si>
    <t>400*500*1500 4단 무.양</t>
    <phoneticPr fontId="1" type="noConversion"/>
  </si>
  <si>
    <t>4월17일</t>
    <phoneticPr fontId="1" type="noConversion"/>
  </si>
  <si>
    <t xml:space="preserve">차량 스타리아 </t>
    <phoneticPr fontId="1" type="noConversion"/>
  </si>
  <si>
    <t>2주차   3,085,000 14건</t>
    <phoneticPr fontId="1" type="noConversion"/>
  </si>
  <si>
    <t>재료포장</t>
    <phoneticPr fontId="1" type="noConversion"/>
  </si>
  <si>
    <t>볼트 앵글 무볼트앵글 일반합판 태고합판</t>
    <phoneticPr fontId="1" type="noConversion"/>
  </si>
  <si>
    <t>계좌이체</t>
    <phoneticPr fontId="1" type="noConversion"/>
  </si>
  <si>
    <t>평상</t>
    <phoneticPr fontId="1" type="noConversion"/>
  </si>
  <si>
    <t>석계 산쪽</t>
    <phoneticPr fontId="1" type="noConversion"/>
  </si>
  <si>
    <t>600*1800*1800 무.일 2열 4단</t>
    <phoneticPr fontId="1" type="noConversion"/>
  </si>
  <si>
    <t>현금</t>
    <phoneticPr fontId="1" type="noConversion"/>
  </si>
  <si>
    <t>010-9323-3532</t>
    <phoneticPr fontId="1" type="noConversion"/>
  </si>
  <si>
    <t>010-4747-3742</t>
    <phoneticPr fontId="1" type="noConversion"/>
  </si>
  <si>
    <t>재료포장</t>
    <phoneticPr fontId="1" type="noConversion"/>
  </si>
  <si>
    <t>cp</t>
    <phoneticPr fontId="1" type="noConversion"/>
  </si>
  <si>
    <t>현금</t>
    <phoneticPr fontId="1" type="noConversion"/>
  </si>
  <si>
    <t>4월18일</t>
    <phoneticPr fontId="1" type="noConversion"/>
  </si>
  <si>
    <t>하나로빌라</t>
    <phoneticPr fontId="1" type="noConversion"/>
  </si>
  <si>
    <t>400*1200*2100 2단 x2 행거
400*1200*1500 4단 무.양</t>
    <phoneticPr fontId="1" type="noConversion"/>
  </si>
  <si>
    <t>4월19일</t>
    <phoneticPr fontId="1" type="noConversion"/>
  </si>
  <si>
    <t>밀양시 산내면 산내로 1232-11</t>
    <phoneticPr fontId="1" type="noConversion"/>
  </si>
  <si>
    <t>010-2008-1334</t>
    <phoneticPr fontId="1" type="noConversion"/>
  </si>
  <si>
    <t xml:space="preserve">500*2800*1800 3단 3열
500*2000*1800 2열 3단 </t>
    <phoneticPr fontId="1" type="noConversion"/>
  </si>
  <si>
    <t>북구 산업로1470 골프</t>
    <phoneticPr fontId="1" type="noConversion"/>
  </si>
  <si>
    <t>010-2559-4242</t>
    <phoneticPr fontId="1" type="noConversion"/>
  </si>
  <si>
    <t>한솔재가복지센터</t>
    <phoneticPr fontId="1" type="noConversion"/>
  </si>
  <si>
    <t>010-7646-7008</t>
    <phoneticPr fontId="1" type="noConversion"/>
  </si>
  <si>
    <t xml:space="preserve">500*2100*1800 4단 무.일 2열
500*800*1800 4단 무.일 </t>
    <phoneticPr fontId="1" type="noConversion"/>
  </si>
  <si>
    <t>500*3600*2100 3열 4단 무.일
500*1200*2100 4단 무.일</t>
    <phoneticPr fontId="1" type="noConversion"/>
  </si>
  <si>
    <t>꽃대나리로46 24 우방 아파트 101동1305호</t>
    <phoneticPr fontId="1" type="noConversion"/>
  </si>
  <si>
    <t>010-4592-6229</t>
    <phoneticPr fontId="1" type="noConversion"/>
  </si>
  <si>
    <t>600*1100*2100 5단 무.양</t>
    <phoneticPr fontId="1" type="noConversion"/>
  </si>
  <si>
    <t>4월20일</t>
    <phoneticPr fontId="1" type="noConversion"/>
  </si>
  <si>
    <t>경동청구103동505호</t>
    <phoneticPr fontId="1" type="noConversion"/>
  </si>
  <si>
    <t xml:space="preserve">300*2200*1200 2열 2단 </t>
    <phoneticPr fontId="1" type="noConversion"/>
  </si>
  <si>
    <t>계좌이체</t>
    <phoneticPr fontId="1" type="noConversion"/>
  </si>
  <si>
    <t>예찬이집</t>
    <phoneticPr fontId="1" type="noConversion"/>
  </si>
  <si>
    <t>블라인드 2창</t>
    <phoneticPr fontId="1" type="noConversion"/>
  </si>
  <si>
    <t>강변그린빌</t>
    <phoneticPr fontId="1" type="noConversion"/>
  </si>
  <si>
    <t>우정7길73 주택2층</t>
    <phoneticPr fontId="1" type="noConversion"/>
  </si>
  <si>
    <t>010-7924-6635</t>
    <phoneticPr fontId="1" type="noConversion"/>
  </si>
  <si>
    <t>600*1200*2100 3단 무.양
600*1100*2100 3단 무.양 
600*1000*2100 5단 무.양</t>
    <phoneticPr fontId="1" type="noConversion"/>
  </si>
  <si>
    <t>300*1600*1200 2열 3단 무.양</t>
    <phoneticPr fontId="1" type="noConversion"/>
  </si>
  <si>
    <t>010-7722-1619</t>
    <phoneticPr fontId="1" type="noConversion"/>
  </si>
  <si>
    <t>미입</t>
    <phoneticPr fontId="1" type="noConversion"/>
  </si>
  <si>
    <t>10만원계좌이체
47만원 현금</t>
    <phoneticPr fontId="1" type="noConversion"/>
  </si>
  <si>
    <t>삼호동 654-3 소풍가는날</t>
    <phoneticPr fontId="1" type="noConversion"/>
  </si>
  <si>
    <t>010-5966-3978</t>
    <phoneticPr fontId="1" type="noConversion"/>
  </si>
  <si>
    <t>010-7480-6788</t>
    <phoneticPr fontId="1" type="noConversion"/>
  </si>
  <si>
    <t>400*1000*1800 4단 무.일</t>
    <phoneticPr fontId="1" type="noConversion"/>
  </si>
  <si>
    <t>4월21일</t>
    <phoneticPr fontId="1" type="noConversion"/>
  </si>
  <si>
    <t>강아지보호소</t>
    <phoneticPr fontId="1" type="noConversion"/>
  </si>
  <si>
    <t>010-6787-3377</t>
    <phoneticPr fontId="1" type="noConversion"/>
  </si>
  <si>
    <t>600*700*2100 4단 무.일</t>
    <phoneticPr fontId="1" type="noConversion"/>
  </si>
  <si>
    <t>계좌이체</t>
    <phoneticPr fontId="1" type="noConversion"/>
  </si>
  <si>
    <t>알프스종묘</t>
    <phoneticPr fontId="1" type="noConversion"/>
  </si>
  <si>
    <t>500*1500*1700 5단 바퀴앵글</t>
    <phoneticPr fontId="1" type="noConversion"/>
  </si>
  <si>
    <t>현금</t>
    <phoneticPr fontId="1" type="noConversion"/>
  </si>
  <si>
    <t>4월22일</t>
    <phoneticPr fontId="1" type="noConversion"/>
  </si>
  <si>
    <t>010-9321-7001</t>
    <phoneticPr fontId="1" type="noConversion"/>
  </si>
  <si>
    <t>카드</t>
    <phoneticPr fontId="1" type="noConversion"/>
  </si>
  <si>
    <t>행복포차</t>
    <phoneticPr fontId="1" type="noConversion"/>
  </si>
  <si>
    <t>010-4327-7118</t>
    <phoneticPr fontId="1" type="noConversion"/>
  </si>
  <si>
    <t>400*1200*1800 3단 무,테
400*1200*1800 4단 무.테
600*500*1800 3단 무.양
500*500*1800 5단 무.양
500*1000*1800 5단 무.양
500*2800*2100 3열 3단 무.일</t>
    <phoneticPr fontId="1" type="noConversion"/>
  </si>
  <si>
    <t>언양 샤브샤브</t>
    <phoneticPr fontId="1" type="noConversion"/>
  </si>
  <si>
    <t>기둥 4 깊이 4</t>
    <phoneticPr fontId="1" type="noConversion"/>
  </si>
  <si>
    <t>계좌이체</t>
    <phoneticPr fontId="1" type="noConversion"/>
  </si>
  <si>
    <t>3주차 4,891,000원 18건</t>
    <phoneticPr fontId="1" type="noConversion"/>
  </si>
  <si>
    <t>4월24일</t>
    <phoneticPr fontId="1" type="noConversion"/>
  </si>
  <si>
    <t>통샘6길 13 1층 102호</t>
    <phoneticPr fontId="1" type="noConversion"/>
  </si>
  <si>
    <t>010-4843-6399</t>
    <phoneticPr fontId="1" type="noConversion"/>
  </si>
  <si>
    <t xml:space="preserve">농약집 </t>
    <phoneticPr fontId="1" type="noConversion"/>
  </si>
  <si>
    <t>현금</t>
    <phoneticPr fontId="1" type="noConversion"/>
  </si>
  <si>
    <t>400*1000*900 2단 무</t>
    <phoneticPr fontId="1" type="noConversion"/>
  </si>
  <si>
    <t>재료포장</t>
    <phoneticPr fontId="1" type="noConversion"/>
  </si>
  <si>
    <t>010-8718-9088</t>
    <phoneticPr fontId="1" type="noConversion"/>
  </si>
  <si>
    <t>계좌이체</t>
    <phoneticPr fontId="1" type="noConversion"/>
  </si>
  <si>
    <t>500*700*900 3단 무,양</t>
    <phoneticPr fontId="1" type="noConversion"/>
  </si>
  <si>
    <t>카드</t>
    <phoneticPr fontId="1" type="noConversion"/>
  </si>
  <si>
    <t>4월25일</t>
    <phoneticPr fontId="1" type="noConversion"/>
  </si>
  <si>
    <t>재료포장</t>
    <phoneticPr fontId="1" type="noConversion"/>
  </si>
  <si>
    <t xml:space="preserve">경량랙 </t>
    <phoneticPr fontId="1" type="noConversion"/>
  </si>
  <si>
    <t>현금</t>
    <phoneticPr fontId="1" type="noConversion"/>
  </si>
  <si>
    <t>400*600*1500 4단</t>
    <phoneticPr fontId="1" type="noConversion"/>
  </si>
  <si>
    <t>재료포장</t>
    <phoneticPr fontId="1" type="noConversion"/>
  </si>
  <si>
    <t>현금</t>
    <phoneticPr fontId="1" type="noConversion"/>
  </si>
  <si>
    <t>4월26일</t>
    <phoneticPr fontId="1" type="noConversion"/>
  </si>
  <si>
    <t>구영리 푸르지오203동1302호</t>
    <phoneticPr fontId="1" type="noConversion"/>
  </si>
  <si>
    <t>계좌이체</t>
    <phoneticPr fontId="1" type="noConversion"/>
  </si>
  <si>
    <t>우미린2차707동707호</t>
    <phoneticPr fontId="1" type="noConversion"/>
  </si>
  <si>
    <t>010-9160-9961</t>
    <phoneticPr fontId="1" type="noConversion"/>
  </si>
  <si>
    <t>010-7182-0935</t>
    <phoneticPr fontId="1" type="noConversion"/>
  </si>
  <si>
    <t>구영한신 apt 203동1114호</t>
    <phoneticPr fontId="1" type="noConversion"/>
  </si>
  <si>
    <t>010-9659-2666</t>
    <phoneticPr fontId="1" type="noConversion"/>
  </si>
  <si>
    <t>400*1000*2000 4단 무.양
500*700*2000 4단 무.양</t>
    <phoneticPr fontId="1" type="noConversion"/>
  </si>
  <si>
    <t>400*700*2000 5단 무.양
500*1200*2100 2단 무.양
500*900*2100 2단 무.양</t>
    <phoneticPr fontId="1" type="noConversion"/>
  </si>
  <si>
    <t>재료포장</t>
    <phoneticPr fontId="1" type="noConversion"/>
  </si>
  <si>
    <t>500*1300*2100 3단 무.양</t>
    <phoneticPr fontId="1" type="noConversion"/>
  </si>
  <si>
    <t>현금</t>
    <phoneticPr fontId="1" type="noConversion"/>
  </si>
  <si>
    <t>4월27일</t>
    <phoneticPr fontId="1" type="noConversion"/>
  </si>
  <si>
    <t>월드메르디앙105동1905호</t>
    <phoneticPr fontId="1" type="noConversion"/>
  </si>
  <si>
    <t>010-2763-0447</t>
    <phoneticPr fontId="1" type="noConversion"/>
  </si>
  <si>
    <t>500*900*1800 3단 무.양 2조
500*800*1800 4단 무.양</t>
    <phoneticPr fontId="1" type="noConversion"/>
  </si>
  <si>
    <t>예찬이집 커튼</t>
    <phoneticPr fontId="1" type="noConversion"/>
  </si>
  <si>
    <t>커튼</t>
    <phoneticPr fontId="1" type="noConversion"/>
  </si>
  <si>
    <t>계좌이체</t>
    <phoneticPr fontId="1" type="noConversion"/>
  </si>
  <si>
    <t>4월28일</t>
    <phoneticPr fontId="1" type="noConversion"/>
  </si>
  <si>
    <t>계좌이체</t>
    <phoneticPr fontId="1" type="noConversion"/>
  </si>
  <si>
    <t>계산서 입금완료</t>
    <phoneticPr fontId="1" type="noConversion"/>
  </si>
  <si>
    <t>샤브샤브집</t>
    <phoneticPr fontId="1" type="noConversion"/>
  </si>
  <si>
    <t>700*1000*1500 3단 무.일
700*900*1500 3단 무,일</t>
    <phoneticPr fontId="1" type="noConversion"/>
  </si>
  <si>
    <t>재료포장(이더 인테리어)</t>
    <phoneticPr fontId="1" type="noConversion"/>
  </si>
  <si>
    <t>300*1400*1650 3단 무.일
300*600*1650 3단 무.일</t>
    <phoneticPr fontId="1" type="noConversion"/>
  </si>
  <si>
    <t>현금</t>
    <phoneticPr fontId="1" type="noConversion"/>
  </si>
  <si>
    <t>cp 6개 볼트너트 10개</t>
    <phoneticPr fontId="1" type="noConversion"/>
  </si>
  <si>
    <t>재료포장</t>
    <phoneticPr fontId="1" type="noConversion"/>
  </si>
  <si>
    <t>재료포장</t>
    <phoneticPr fontId="1" type="noConversion"/>
  </si>
  <si>
    <t>900 300 2</t>
    <phoneticPr fontId="1" type="noConversion"/>
  </si>
  <si>
    <t>상북</t>
    <phoneticPr fontId="1" type="noConversion"/>
  </si>
  <si>
    <t>블라인드 3창</t>
    <phoneticPr fontId="1" type="noConversion"/>
  </si>
  <si>
    <t>현금</t>
    <phoneticPr fontId="1" type="noConversion"/>
  </si>
  <si>
    <t>4월28일</t>
    <phoneticPr fontId="1" type="noConversion"/>
  </si>
  <si>
    <t>400*1000*550 3단 무.양</t>
    <phoneticPr fontId="1" type="noConversion"/>
  </si>
  <si>
    <t>카드</t>
    <phoneticPr fontId="1" type="noConversion"/>
  </si>
  <si>
    <t>010-9996-4691</t>
    <phoneticPr fontId="1" type="noConversion"/>
  </si>
  <si>
    <t>010-9554-7806</t>
    <phoneticPr fontId="1" type="noConversion"/>
  </si>
  <si>
    <t>010-5006-2533</t>
    <phoneticPr fontId="1" type="noConversion"/>
  </si>
  <si>
    <t>010-8585-2172</t>
    <phoneticPr fontId="1" type="noConversion"/>
  </si>
  <si>
    <t>4월29일</t>
    <phoneticPr fontId="1" type="noConversion"/>
  </si>
  <si>
    <t>재료포장</t>
    <phoneticPr fontId="1" type="noConversion"/>
  </si>
  <si>
    <t>600*1500*1800 5단 무.양</t>
    <phoneticPr fontId="1" type="noConversion"/>
  </si>
  <si>
    <t>계좌이체</t>
    <phoneticPr fontId="1" type="noConversion"/>
  </si>
  <si>
    <t>2022년 5월  매출현황</t>
    <phoneticPr fontId="1" type="noConversion"/>
  </si>
  <si>
    <t>2022년 4월  매출현황</t>
    <phoneticPr fontId="1" type="noConversion"/>
  </si>
  <si>
    <t>2022년 3월  매출현황</t>
    <phoneticPr fontId="1" type="noConversion"/>
  </si>
  <si>
    <t>5월1일</t>
    <phoneticPr fontId="1" type="noConversion"/>
  </si>
  <si>
    <t>병산문수빌</t>
    <phoneticPr fontId="1" type="noConversion"/>
  </si>
  <si>
    <t>010-4213-0255</t>
    <phoneticPr fontId="1" type="noConversion"/>
  </si>
  <si>
    <t>신복로46번길35-37 동서그린맨션 1603호</t>
    <phoneticPr fontId="1" type="noConversion"/>
  </si>
  <si>
    <t>010-6771-2015</t>
    <phoneticPr fontId="1" type="noConversion"/>
  </si>
  <si>
    <t>500*1000*2000 5단 무.양
300*1100*2000 5단 무.양</t>
    <phoneticPr fontId="1" type="noConversion"/>
  </si>
  <si>
    <t>계좌이체</t>
    <phoneticPr fontId="1" type="noConversion"/>
  </si>
  <si>
    <t>500*1200*2000 5단 무,양
500*1300*2000 5단 2열 무.양</t>
    <phoneticPr fontId="1" type="noConversion"/>
  </si>
  <si>
    <t>5월2일</t>
    <phoneticPr fontId="1" type="noConversion"/>
  </si>
  <si>
    <t>요기펫</t>
    <phoneticPr fontId="1" type="noConversion"/>
  </si>
  <si>
    <t>상북 팜스빌리지</t>
    <phoneticPr fontId="1" type="noConversion"/>
  </si>
  <si>
    <t>현금</t>
    <phoneticPr fontId="1" type="noConversion"/>
  </si>
  <si>
    <t>300*1200*1500 3단 무.양 20조</t>
    <phoneticPr fontId="1" type="noConversion"/>
  </si>
  <si>
    <t>500*1600*900 1단 합판x</t>
    <phoneticPr fontId="1" type="noConversion"/>
  </si>
  <si>
    <t>5월3일</t>
    <phoneticPr fontId="1" type="noConversion"/>
  </si>
  <si>
    <t>재료포장</t>
    <phoneticPr fontId="1" type="noConversion"/>
  </si>
  <si>
    <t>홈플러스 뒤쪽</t>
    <phoneticPr fontId="1" type="noConversion"/>
  </si>
  <si>
    <t>재료포장</t>
    <phoneticPr fontId="1" type="noConversion"/>
  </si>
  <si>
    <t>현금</t>
    <phoneticPr fontId="1" type="noConversion"/>
  </si>
  <si>
    <t>계좌이체</t>
    <phoneticPr fontId="1" type="noConversion"/>
  </si>
  <si>
    <t>세금계산서</t>
    <phoneticPr fontId="1" type="noConversion"/>
  </si>
  <si>
    <t>010-4486-6662</t>
    <phoneticPr fontId="1" type="noConversion"/>
  </si>
  <si>
    <t>400*1200*1800 3단 무.양 2조</t>
    <phoneticPr fontId="1" type="noConversion"/>
  </si>
  <si>
    <t>봉 1 u소켓 2</t>
    <phoneticPr fontId="1" type="noConversion"/>
  </si>
  <si>
    <t>010-3936-6096</t>
    <phoneticPr fontId="1" type="noConversion"/>
  </si>
  <si>
    <t>아성홈토피아708호</t>
    <phoneticPr fontId="1" type="noConversion"/>
  </si>
  <si>
    <t>300*1000*300 1단 무.테</t>
    <phoneticPr fontId="1" type="noConversion"/>
  </si>
  <si>
    <t>4주차 3,617,000 20건</t>
    <phoneticPr fontId="1" type="noConversion"/>
  </si>
  <si>
    <t xml:space="preserve">   TOTAL 71건 </t>
    <phoneticPr fontId="1" type="noConversion"/>
  </si>
  <si>
    <t xml:space="preserve">밀양 얼음골 </t>
    <phoneticPr fontId="1" type="noConversion"/>
  </si>
  <si>
    <t>600*1400*2100 5단 2단 무.양 행거</t>
    <phoneticPr fontId="1" type="noConversion"/>
  </si>
  <si>
    <t>500*1500*1500 3단 무.일</t>
    <phoneticPr fontId="1" type="noConversion"/>
  </si>
  <si>
    <t>재료포장</t>
    <phoneticPr fontId="1" type="noConversion"/>
  </si>
  <si>
    <t>5월4일</t>
    <phoneticPr fontId="1" type="noConversion"/>
  </si>
  <si>
    <t>강아지 보호소</t>
    <phoneticPr fontId="1" type="noConversion"/>
  </si>
  <si>
    <t>500*1200*1800 2단 무.일</t>
    <phoneticPr fontId="1" type="noConversion"/>
  </si>
  <si>
    <t>매곡</t>
    <phoneticPr fontId="1" type="noConversion"/>
  </si>
  <si>
    <t>5월5일</t>
    <phoneticPr fontId="1" type="noConversion"/>
  </si>
  <si>
    <t>5월8일</t>
    <phoneticPr fontId="1" type="noConversion"/>
  </si>
  <si>
    <t>샤브샤브</t>
    <phoneticPr fontId="1" type="noConversion"/>
  </si>
  <si>
    <t>하북면 진목로56</t>
    <phoneticPr fontId="1" type="noConversion"/>
  </si>
  <si>
    <t>3조</t>
    <phoneticPr fontId="1" type="noConversion"/>
  </si>
  <si>
    <t>400*1200*1050 4단 무,테
300*1000*1500 2단 무.테
300*300*350 1단 무.테</t>
    <phoneticPr fontId="1" type="noConversion"/>
  </si>
  <si>
    <t>500*2000*2100 4단 무.일 2열</t>
    <phoneticPr fontId="1" type="noConversion"/>
  </si>
  <si>
    <t>010-9996-4691</t>
    <phoneticPr fontId="1" type="noConversion"/>
  </si>
  <si>
    <t>010-2803-6113</t>
    <phoneticPr fontId="1" type="noConversion"/>
  </si>
  <si>
    <t>010-9533-0497</t>
    <phoneticPr fontId="1" type="noConversion"/>
  </si>
  <si>
    <t>010-6787-3377</t>
    <phoneticPr fontId="1" type="noConversion"/>
  </si>
  <si>
    <t>010-2008-1334</t>
    <phoneticPr fontId="1" type="noConversion"/>
  </si>
  <si>
    <t>1주차 4,192,000원 12건</t>
    <phoneticPr fontId="1" type="noConversion"/>
  </si>
  <si>
    <t>성원 타공</t>
  </si>
  <si>
    <t>5월10일</t>
    <phoneticPr fontId="1" type="noConversion"/>
  </si>
  <si>
    <t>010-4098-5504</t>
    <phoneticPr fontId="1" type="noConversion"/>
  </si>
  <si>
    <t>반천산업로40 공단뷔페</t>
    <phoneticPr fontId="1" type="noConversion"/>
  </si>
  <si>
    <t>해오름 농약</t>
    <phoneticPr fontId="1" type="noConversion"/>
  </si>
  <si>
    <t>5월11일</t>
    <phoneticPr fontId="1" type="noConversion"/>
  </si>
  <si>
    <t>전해주오</t>
    <phoneticPr fontId="1" type="noConversion"/>
  </si>
  <si>
    <t>현금</t>
    <phoneticPr fontId="1" type="noConversion"/>
  </si>
  <si>
    <t>세금계산서</t>
    <phoneticPr fontId="1" type="noConversion"/>
  </si>
  <si>
    <t>5월12일</t>
    <phoneticPr fontId="1" type="noConversion"/>
  </si>
  <si>
    <t>정우통신 재료포장</t>
    <phoneticPr fontId="1" type="noConversion"/>
  </si>
  <si>
    <t>재료포장</t>
    <phoneticPr fontId="1" type="noConversion"/>
  </si>
  <si>
    <t>600*2900*1800 3열 3단</t>
    <phoneticPr fontId="1" type="noConversion"/>
  </si>
  <si>
    <t xml:space="preserve"> 500 2100 1단 추가</t>
    <phoneticPr fontId="1" type="noConversion"/>
  </si>
  <si>
    <t>400 1800 1단 추가</t>
    <phoneticPr fontId="1" type="noConversion"/>
  </si>
  <si>
    <t xml:space="preserve">400*2200*1800 2열 3단 </t>
    <phoneticPr fontId="1" type="noConversion"/>
  </si>
  <si>
    <t>블라인드 8창</t>
    <phoneticPr fontId="1" type="noConversion"/>
  </si>
  <si>
    <t>동구 카드</t>
    <phoneticPr fontId="1" type="noConversion"/>
  </si>
  <si>
    <t>저온창고 앵글</t>
    <phoneticPr fontId="1" type="noConversion"/>
  </si>
  <si>
    <t>010-9091-1583</t>
    <phoneticPr fontId="1" type="noConversion"/>
  </si>
  <si>
    <t>5월13일</t>
    <phoneticPr fontId="1" type="noConversion"/>
  </si>
  <si>
    <t xml:space="preserve">차량 설치 </t>
    <phoneticPr fontId="1" type="noConversion"/>
  </si>
  <si>
    <t xml:space="preserve">620 2조 </t>
    <phoneticPr fontId="1" type="noConversion"/>
  </si>
  <si>
    <t>계좌이체</t>
    <phoneticPr fontId="1" type="noConversion"/>
  </si>
  <si>
    <t>계좌이체</t>
    <phoneticPr fontId="1" type="noConversion"/>
  </si>
  <si>
    <t>현금,계좌이체</t>
    <phoneticPr fontId="1" type="noConversion"/>
  </si>
  <si>
    <t>블라인드 4창</t>
    <phoneticPr fontId="1" type="noConversion"/>
  </si>
  <si>
    <t>5월13일</t>
    <phoneticPr fontId="1" type="noConversion"/>
  </si>
  <si>
    <t>홀딩도어</t>
    <phoneticPr fontId="1" type="noConversion"/>
  </si>
  <si>
    <t>재료포장</t>
    <phoneticPr fontId="1" type="noConversion"/>
  </si>
  <si>
    <t>5월15일</t>
    <phoneticPr fontId="1" type="noConversion"/>
  </si>
  <si>
    <t>방어진순환도로</t>
    <phoneticPr fontId="1" type="noConversion"/>
  </si>
  <si>
    <t>굿파크빌</t>
    <phoneticPr fontId="1" type="noConversion"/>
  </si>
  <si>
    <t>다슬기집</t>
    <phoneticPr fontId="1" type="noConversion"/>
  </si>
  <si>
    <t>현금</t>
    <phoneticPr fontId="1" type="noConversion"/>
  </si>
  <si>
    <t>커튼레일</t>
    <phoneticPr fontId="1" type="noConversion"/>
  </si>
  <si>
    <t>5월16일</t>
    <phoneticPr fontId="1" type="noConversion"/>
  </si>
  <si>
    <t>재료포장</t>
    <phoneticPr fontId="1" type="noConversion"/>
  </si>
  <si>
    <t>현금</t>
    <phoneticPr fontId="1" type="noConversion"/>
  </si>
  <si>
    <t>카드</t>
    <phoneticPr fontId="1" type="noConversion"/>
  </si>
  <si>
    <t>재료포장</t>
    <phoneticPr fontId="1" type="noConversion"/>
  </si>
  <si>
    <t xml:space="preserve"> </t>
    <phoneticPr fontId="1" type="noConversion"/>
  </si>
  <si>
    <t>600*2400*2100 2열 5단 
커튼</t>
    <phoneticPr fontId="1" type="noConversion"/>
  </si>
  <si>
    <t>010-9140-7851</t>
    <phoneticPr fontId="1" type="noConversion"/>
  </si>
  <si>
    <t>010-8388-8050</t>
    <phoneticPr fontId="1" type="noConversion"/>
  </si>
  <si>
    <t>010-7355-7779</t>
    <phoneticPr fontId="1" type="noConversion"/>
  </si>
  <si>
    <t>재료포장</t>
    <phoneticPr fontId="1" type="noConversion"/>
  </si>
  <si>
    <t>5월17일</t>
    <phoneticPr fontId="1" type="noConversion"/>
  </si>
  <si>
    <t>사랑주간보호센터</t>
    <phoneticPr fontId="1" type="noConversion"/>
  </si>
  <si>
    <t>카드</t>
    <phoneticPr fontId="1" type="noConversion"/>
  </si>
  <si>
    <t>현금</t>
    <phoneticPr fontId="1" type="noConversion"/>
  </si>
  <si>
    <t>500*1400*1500 4단</t>
    <phoneticPr fontId="1" type="noConversion"/>
  </si>
  <si>
    <t>620 500*1700*650 2열 1단 
400*1100*2100 3단 무.일</t>
    <phoneticPr fontId="1" type="noConversion"/>
  </si>
  <si>
    <t>400*1900*2000 4단 무.일</t>
    <phoneticPr fontId="1" type="noConversion"/>
  </si>
  <si>
    <t>뷔페집</t>
    <phoneticPr fontId="1" type="noConversion"/>
  </si>
  <si>
    <t>5월18일</t>
    <phoneticPr fontId="1" type="noConversion"/>
  </si>
  <si>
    <t>온양읍 떡볶이집</t>
    <phoneticPr fontId="1" type="noConversion"/>
  </si>
  <si>
    <t>계좌이체</t>
    <phoneticPr fontId="1" type="noConversion"/>
  </si>
  <si>
    <t>방어진순환도로</t>
    <phoneticPr fontId="1" type="noConversion"/>
  </si>
  <si>
    <t>300*2300*1800 2열 5단</t>
    <phoneticPr fontId="1" type="noConversion"/>
  </si>
  <si>
    <t>블라인드 3창</t>
    <phoneticPr fontId="1" type="noConversion"/>
  </si>
  <si>
    <t>재료포장</t>
    <phoneticPr fontId="1" type="noConversion"/>
  </si>
  <si>
    <t>400*600*2100 6단 무.양</t>
    <phoneticPr fontId="1" type="noConversion"/>
  </si>
  <si>
    <t>계좌이체</t>
    <phoneticPr fontId="1" type="noConversion"/>
  </si>
  <si>
    <t>계좌이체</t>
    <phoneticPr fontId="1" type="noConversion"/>
  </si>
  <si>
    <t>커튼 3창</t>
    <phoneticPr fontId="1" type="noConversion"/>
  </si>
  <si>
    <t>5월20일</t>
    <phoneticPr fontId="1" type="noConversion"/>
  </si>
  <si>
    <t>뷔폐</t>
    <phoneticPr fontId="1" type="noConversion"/>
  </si>
  <si>
    <t>해남 아파트 남구</t>
    <phoneticPr fontId="1" type="noConversion"/>
  </si>
  <si>
    <t>010-9639-1484</t>
    <phoneticPr fontId="1" type="noConversion"/>
  </si>
  <si>
    <t>400*1000*1800 5단 2조 무.양</t>
    <phoneticPr fontId="1" type="noConversion"/>
  </si>
  <si>
    <t>세금계싼서</t>
    <phoneticPr fontId="1" type="noConversion"/>
  </si>
  <si>
    <t>3주차 2,390,000 13건</t>
    <phoneticPr fontId="1" type="noConversion"/>
  </si>
  <si>
    <t>5월22일</t>
    <phoneticPr fontId="1" type="noConversion"/>
  </si>
  <si>
    <t>어음 라마카페</t>
    <phoneticPr fontId="1" type="noConversion"/>
  </si>
  <si>
    <t>010-4601-8063</t>
    <phoneticPr fontId="1" type="noConversion"/>
  </si>
  <si>
    <t>우드블라인드 9창</t>
    <phoneticPr fontId="1" type="noConversion"/>
  </si>
  <si>
    <t>2주차 2,808,000 12건</t>
  </si>
  <si>
    <t>5월22일</t>
    <phoneticPr fontId="1" type="noConversion"/>
  </si>
  <si>
    <t>부영109동101호</t>
    <phoneticPr fontId="1" type="noConversion"/>
  </si>
  <si>
    <t>5월23일</t>
    <phoneticPr fontId="1" type="noConversion"/>
  </si>
  <si>
    <t xml:space="preserve">재료포장 </t>
    <phoneticPr fontId="1" type="noConversion"/>
  </si>
  <si>
    <t>010-3433-5407</t>
    <phoneticPr fontId="1" type="noConversion"/>
  </si>
  <si>
    <t>계좌이체</t>
    <phoneticPr fontId="1" type="noConversion"/>
  </si>
  <si>
    <t>행거 6조 선반 2조</t>
    <phoneticPr fontId="1" type="noConversion"/>
  </si>
  <si>
    <t>계좌이체 계산서</t>
    <phoneticPr fontId="1" type="noConversion"/>
  </si>
  <si>
    <t>600*2200*1800 3단 2열 무.일</t>
    <phoneticPr fontId="1" type="noConversion"/>
  </si>
  <si>
    <t>구영리썬팅집</t>
    <phoneticPr fontId="1" type="noConversion"/>
  </si>
  <si>
    <t>5월23일</t>
    <phoneticPr fontId="1" type="noConversion"/>
  </si>
  <si>
    <t>작업다이 1200*2200*850 2단 2열
600*1200*900*1600 2단 무,일</t>
    <phoneticPr fontId="1" type="noConversion"/>
  </si>
  <si>
    <t>5월24일</t>
    <phoneticPr fontId="1" type="noConversion"/>
  </si>
  <si>
    <t>해남아파트</t>
    <phoneticPr fontId="1" type="noConversion"/>
  </si>
  <si>
    <t>계좌이체</t>
    <phoneticPr fontId="1" type="noConversion"/>
  </si>
  <si>
    <t>600*1800*950 3단 2열 무.양</t>
    <phoneticPr fontId="1" type="noConversion"/>
  </si>
  <si>
    <t>송정어린이집</t>
    <phoneticPr fontId="1" type="noConversion"/>
  </si>
  <si>
    <t>010-9766-8570</t>
    <phoneticPr fontId="1" type="noConversion"/>
  </si>
  <si>
    <t>500*1200*2100 5단 무.일</t>
    <phoneticPr fontId="1" type="noConversion"/>
  </si>
  <si>
    <t>카드</t>
    <phoneticPr fontId="1" type="noConversion"/>
  </si>
  <si>
    <t xml:space="preserve">언양 동부리 </t>
    <phoneticPr fontId="1" type="noConversion"/>
  </si>
  <si>
    <t>500*1200*2100 4단 무.양
500*1100*2100 4단 무.양</t>
    <phoneticPr fontId="1" type="noConversion"/>
  </si>
  <si>
    <t>명문산업</t>
    <phoneticPr fontId="1" type="noConversion"/>
  </si>
  <si>
    <t>카드</t>
    <phoneticPr fontId="1" type="noConversion"/>
  </si>
  <si>
    <t>계좌이체</t>
    <phoneticPr fontId="1" type="noConversion"/>
  </si>
  <si>
    <t>차량설치</t>
    <phoneticPr fontId="1" type="noConversion"/>
  </si>
  <si>
    <t>카드</t>
    <phoneticPr fontId="1" type="noConversion"/>
  </si>
  <si>
    <t>500*1800*1800 4단 무.양 2조</t>
    <phoneticPr fontId="1" type="noConversion"/>
  </si>
  <si>
    <t>300*1600*1500 4단 무.일</t>
    <phoneticPr fontId="1" type="noConversion"/>
  </si>
  <si>
    <t>5월25일</t>
    <phoneticPr fontId="1" type="noConversion"/>
  </si>
  <si>
    <t>포장</t>
    <phoneticPr fontId="1" type="noConversion"/>
  </si>
  <si>
    <t>현금</t>
    <phoneticPr fontId="1" type="noConversion"/>
  </si>
  <si>
    <t>5월26일</t>
    <phoneticPr fontId="1" type="noConversion"/>
  </si>
  <si>
    <t>웅촌 LH 102동 1105</t>
    <phoneticPr fontId="1" type="noConversion"/>
  </si>
  <si>
    <t>010-2696-9373</t>
    <phoneticPr fontId="1" type="noConversion"/>
  </si>
  <si>
    <t>500*900*2000 3단 무.일
400*1200*1500 3단 무.양</t>
    <phoneticPr fontId="1" type="noConversion"/>
  </si>
  <si>
    <t>계좌이체</t>
    <phoneticPr fontId="1" type="noConversion"/>
  </si>
  <si>
    <t>미술학원</t>
    <phoneticPr fontId="1" type="noConversion"/>
  </si>
  <si>
    <t>재료포장</t>
    <phoneticPr fontId="1" type="noConversion"/>
  </si>
  <si>
    <t>신정 휴포레908호</t>
    <phoneticPr fontId="1" type="noConversion"/>
  </si>
  <si>
    <t>500*1800*2100 5단 무,양 2열
500*800*2100 5단 무.양 
500*600*1500 4단 무,.양</t>
    <phoneticPr fontId="1" type="noConversion"/>
  </si>
  <si>
    <t>400*2400*1500 3단 무.일
400*2000*1500 3단 무,양</t>
    <phoneticPr fontId="1" type="noConversion"/>
  </si>
  <si>
    <t>계좌이체</t>
    <phoneticPr fontId="1" type="noConversion"/>
  </si>
  <si>
    <t>400*700*1800 3단 무.일</t>
    <phoneticPr fontId="1" type="noConversion"/>
  </si>
  <si>
    <t>5월27일</t>
    <phoneticPr fontId="1" type="noConversion"/>
  </si>
  <si>
    <t>5월27일</t>
    <phoneticPr fontId="1" type="noConversion"/>
  </si>
  <si>
    <t>5월30일</t>
    <phoneticPr fontId="1" type="noConversion"/>
  </si>
  <si>
    <t>극락사</t>
    <phoneticPr fontId="1" type="noConversion"/>
  </si>
  <si>
    <t>청구멘션a동 503호</t>
    <phoneticPr fontId="1" type="noConversion"/>
  </si>
  <si>
    <t>400*1800*1800 6단 2열</t>
    <phoneticPr fontId="1" type="noConversion"/>
  </si>
  <si>
    <t>계좌이체</t>
    <phoneticPr fontId="1" type="noConversion"/>
  </si>
  <si>
    <t>신정푸르지오</t>
    <phoneticPr fontId="1" type="noConversion"/>
  </si>
  <si>
    <t>계좌이체</t>
    <phoneticPr fontId="1" type="noConversion"/>
  </si>
  <si>
    <t>재료포장</t>
    <phoneticPr fontId="1" type="noConversion"/>
  </si>
  <si>
    <t>현금</t>
    <phoneticPr fontId="1" type="noConversion"/>
  </si>
  <si>
    <t>계좌이체</t>
    <phoneticPr fontId="1" type="noConversion"/>
  </si>
  <si>
    <t>5월31일</t>
    <phoneticPr fontId="1" type="noConversion"/>
  </si>
  <si>
    <t>계좌이체</t>
    <phoneticPr fontId="1" type="noConversion"/>
  </si>
  <si>
    <t>현금</t>
    <phoneticPr fontId="1" type="noConversion"/>
  </si>
  <si>
    <t>경동태원</t>
    <phoneticPr fontId="1" type="noConversion"/>
  </si>
  <si>
    <t>한솔그린빌</t>
    <phoneticPr fontId="1" type="noConversion"/>
  </si>
  <si>
    <t>신정 주택</t>
    <phoneticPr fontId="1" type="noConversion"/>
  </si>
  <si>
    <t>다이아몬드 아파트</t>
    <phoneticPr fontId="1" type="noConversion"/>
  </si>
  <si>
    <t>4주차 4,310,000</t>
    <phoneticPr fontId="1" type="noConversion"/>
  </si>
  <si>
    <t>5주차 1,559,000</t>
    <phoneticPr fontId="1" type="noConversion"/>
  </si>
  <si>
    <t>현금</t>
    <phoneticPr fontId="1" type="noConversion"/>
  </si>
  <si>
    <t>59건</t>
    <phoneticPr fontId="1" type="noConversion"/>
  </si>
  <si>
    <t>2022년 6월  매출현황</t>
    <phoneticPr fontId="1" type="noConversion"/>
  </si>
  <si>
    <t>6월2일</t>
    <phoneticPr fontId="1" type="noConversion"/>
  </si>
  <si>
    <t>다운동 환경이엔지</t>
    <phoneticPr fontId="1" type="noConversion"/>
  </si>
  <si>
    <t>구영리 골든아파트</t>
    <phoneticPr fontId="1" type="noConversion"/>
  </si>
  <si>
    <t>400*4000*1800 3단 2조</t>
    <phoneticPr fontId="1" type="noConversion"/>
  </si>
  <si>
    <t>계좌이체</t>
    <phoneticPr fontId="1" type="noConversion"/>
  </si>
  <si>
    <t xml:space="preserve">400*1200*1800 3단
500*1200*2000 2열 5단 </t>
    <phoneticPr fontId="1" type="noConversion"/>
  </si>
  <si>
    <t>010-6396-5557</t>
    <phoneticPr fontId="1" type="noConversion"/>
  </si>
  <si>
    <t>010-5561-0153</t>
    <phoneticPr fontId="1" type="noConversion"/>
  </si>
  <si>
    <t>6월3일</t>
    <phoneticPr fontId="1" type="noConversion"/>
  </si>
  <si>
    <t>웅촌 한솔아파트</t>
    <phoneticPr fontId="1" type="noConversion"/>
  </si>
  <si>
    <t>500*1100*2100 5단 무,.양 블라인드</t>
    <phoneticPr fontId="1" type="noConversion"/>
  </si>
  <si>
    <t>계좌이체</t>
    <phoneticPr fontId="1" type="noConversion"/>
  </si>
  <si>
    <t>재료포장</t>
    <phoneticPr fontId="1" type="noConversion"/>
  </si>
  <si>
    <t>현금</t>
    <phoneticPr fontId="1" type="noConversion"/>
  </si>
  <si>
    <t>이편한세상</t>
    <phoneticPr fontId="1" type="noConversion"/>
  </si>
  <si>
    <t>6월5일</t>
    <phoneticPr fontId="1" type="noConversion"/>
  </si>
  <si>
    <t>팔등로353</t>
    <phoneticPr fontId="1" type="noConversion"/>
  </si>
  <si>
    <t>계좌이체</t>
    <phoneticPr fontId="1" type="noConversion"/>
  </si>
  <si>
    <t>1주차  1,152,000</t>
    <phoneticPr fontId="1" type="noConversion"/>
  </si>
  <si>
    <t>입금완료</t>
    <phoneticPr fontId="1" type="noConversion"/>
  </si>
  <si>
    <t>레일</t>
    <phoneticPr fontId="1" type="noConversion"/>
  </si>
  <si>
    <t>계산서발행</t>
    <phoneticPr fontId="1" type="noConversion"/>
  </si>
  <si>
    <t>400*2400*1800 4단 2열 무.일 4조 
400*1500*1800 4단 무.일</t>
    <phoneticPr fontId="1" type="noConversion"/>
  </si>
  <si>
    <t>6월6일</t>
    <phoneticPr fontId="1" type="noConversion"/>
  </si>
  <si>
    <t>재료포장</t>
    <phoneticPr fontId="1" type="noConversion"/>
  </si>
  <si>
    <t>6월5일</t>
    <phoneticPr fontId="1" type="noConversion"/>
  </si>
  <si>
    <t>유기견센터</t>
    <phoneticPr fontId="1" type="noConversion"/>
  </si>
  <si>
    <t>카드</t>
    <phoneticPr fontId="1" type="noConversion"/>
  </si>
  <si>
    <t>계좌이체</t>
    <phoneticPr fontId="1" type="noConversion"/>
  </si>
  <si>
    <t>현금</t>
    <phoneticPr fontId="1" type="noConversion"/>
  </si>
  <si>
    <t>010-7248-0064</t>
    <phoneticPr fontId="1" type="noConversion"/>
  </si>
  <si>
    <t>6월7일</t>
    <phoneticPr fontId="1" type="noConversion"/>
  </si>
  <si>
    <t>대원그린파크109동</t>
    <phoneticPr fontId="1" type="noConversion"/>
  </si>
  <si>
    <t>010-2235-3113</t>
    <phoneticPr fontId="1" type="noConversion"/>
  </si>
  <si>
    <t>400*800*2000 5단 무.양</t>
    <phoneticPr fontId="1" type="noConversion"/>
  </si>
  <si>
    <t xml:space="preserve">500*3000*1800 1단 </t>
    <phoneticPr fontId="1" type="noConversion"/>
  </si>
  <si>
    <t>010-5505-0509</t>
    <phoneticPr fontId="1" type="noConversion"/>
  </si>
  <si>
    <t>010-7932-1511</t>
    <phoneticPr fontId="1" type="noConversion"/>
  </si>
  <si>
    <t>300*1000*2000 5단</t>
    <phoneticPr fontId="1" type="noConversion"/>
  </si>
  <si>
    <t>계좌이체</t>
    <phoneticPr fontId="1" type="noConversion"/>
  </si>
  <si>
    <t>6월8일</t>
    <phoneticPr fontId="1" type="noConversion"/>
  </si>
  <si>
    <t>재료포장</t>
    <phoneticPr fontId="1" type="noConversion"/>
  </si>
  <si>
    <t>검정색 앵글</t>
    <phoneticPr fontId="1" type="noConversion"/>
  </si>
  <si>
    <t>계좌이체</t>
    <phoneticPr fontId="1" type="noConversion"/>
  </si>
  <si>
    <t>6월9일</t>
    <phoneticPr fontId="1" type="noConversion"/>
  </si>
  <si>
    <t>동구지웰자이 202동202호</t>
    <phoneticPr fontId="1" type="noConversion"/>
  </si>
  <si>
    <t>계좌이체</t>
    <phoneticPr fontId="1" type="noConversion"/>
  </si>
  <si>
    <t>유니스트 합판작업</t>
    <phoneticPr fontId="1" type="noConversion"/>
  </si>
  <si>
    <t>신정동 이디스트 1402호</t>
    <phoneticPr fontId="1" type="noConversion"/>
  </si>
  <si>
    <t>재료포장</t>
    <phoneticPr fontId="1" type="noConversion"/>
  </si>
  <si>
    <t>6월9일</t>
    <phoneticPr fontId="1" type="noConversion"/>
  </si>
  <si>
    <t>여천동 직원 휴게실</t>
    <phoneticPr fontId="1" type="noConversion"/>
  </si>
  <si>
    <t>미입</t>
    <phoneticPr fontId="1" type="noConversion"/>
  </si>
  <si>
    <t>계좌이체</t>
    <phoneticPr fontId="1" type="noConversion"/>
  </si>
  <si>
    <t>500*1600*2100 2열 5단 
500*800*2100 4단,2단
블라인드</t>
    <phoneticPr fontId="1" type="noConversion"/>
  </si>
  <si>
    <t>600*2400*1500 3단 무.일</t>
    <phoneticPr fontId="1" type="noConversion"/>
  </si>
  <si>
    <t>300*500*1900 5단 무.양
400*900*2100 3단 무.양</t>
    <phoneticPr fontId="1" type="noConversion"/>
  </si>
  <si>
    <t>합판작업</t>
    <phoneticPr fontId="1" type="noConversion"/>
  </si>
  <si>
    <t>500*1000*2100 5단 무양
400*700*2100 5단 무.양
400*1200*2100 3단 무.양</t>
    <phoneticPr fontId="1" type="noConversion"/>
  </si>
  <si>
    <t>010-2269-1690</t>
    <phoneticPr fontId="1" type="noConversion"/>
  </si>
  <si>
    <t>010-3570-0615</t>
    <phoneticPr fontId="1" type="noConversion"/>
  </si>
  <si>
    <t>010-9338-7717</t>
    <phoneticPr fontId="1" type="noConversion"/>
  </si>
  <si>
    <t>010-3570-0501</t>
    <phoneticPr fontId="1" type="noConversion"/>
  </si>
  <si>
    <t>2주차 3,150,900</t>
    <phoneticPr fontId="1" type="noConversion"/>
  </si>
  <si>
    <t>6월12일</t>
    <phoneticPr fontId="1" type="noConversion"/>
  </si>
  <si>
    <t>6월12일</t>
    <phoneticPr fontId="1" type="noConversion"/>
  </si>
  <si>
    <t>법무사</t>
    <phoneticPr fontId="1" type="noConversion"/>
  </si>
  <si>
    <t>블라인드 단추가</t>
    <phoneticPr fontId="1" type="noConversion"/>
  </si>
  <si>
    <t>미입</t>
    <phoneticPr fontId="1" type="noConversion"/>
  </si>
  <si>
    <t>600*1100*1700 5단 무.양</t>
    <phoneticPr fontId="1" type="noConversion"/>
  </si>
  <si>
    <t>6월13일</t>
    <phoneticPr fontId="1" type="noConversion"/>
  </si>
  <si>
    <t xml:space="preserve">600*1100*2100 3단 무.양 2행거
600*800*2100 3단 무.양 2행거
600*600*2100 4단 무.양 </t>
    <phoneticPr fontId="1" type="noConversion"/>
  </si>
  <si>
    <t xml:space="preserve">400*2000*1800 4단 무.일 </t>
    <phoneticPr fontId="1" type="noConversion"/>
  </si>
  <si>
    <t>카드결제</t>
    <phoneticPr fontId="1" type="noConversion"/>
  </si>
  <si>
    <t>재료포장</t>
    <phoneticPr fontId="1" type="noConversion"/>
  </si>
  <si>
    <t>계좌이체</t>
    <phoneticPr fontId="1" type="noConversion"/>
  </si>
  <si>
    <t>서울 휴 아파트 103동606호</t>
    <phoneticPr fontId="1" type="noConversion"/>
  </si>
  <si>
    <t>6월14일</t>
    <phoneticPr fontId="1" type="noConversion"/>
  </si>
  <si>
    <t>인테리어 사장님</t>
    <phoneticPr fontId="1" type="noConversion"/>
  </si>
  <si>
    <t>400*700*2100 5단 무.양</t>
    <phoneticPr fontId="1" type="noConversion"/>
  </si>
  <si>
    <t>이편한세상 103동402호</t>
    <phoneticPr fontId="1" type="noConversion"/>
  </si>
  <si>
    <t>500*700*1800 3단 무.양</t>
    <phoneticPr fontId="1" type="noConversion"/>
  </si>
  <si>
    <t>계좌이체</t>
    <phoneticPr fontId="1" type="noConversion"/>
  </si>
  <si>
    <t>카드</t>
    <phoneticPr fontId="1" type="noConversion"/>
  </si>
  <si>
    <t>한솔 그린빌 1602호</t>
    <phoneticPr fontId="1" type="noConversion"/>
  </si>
  <si>
    <t>계좌이체</t>
    <phoneticPr fontId="1" type="noConversion"/>
  </si>
  <si>
    <t>시스템선반 ㄱ자 
600*1100*2000 5단 무.양 블라인드</t>
    <phoneticPr fontId="1" type="noConversion"/>
  </si>
  <si>
    <t>성운이집</t>
    <phoneticPr fontId="1" type="noConversion"/>
  </si>
  <si>
    <t xml:space="preserve">블라인드 </t>
    <phoneticPr fontId="1" type="noConversion"/>
  </si>
  <si>
    <t>계좌이체</t>
    <phoneticPr fontId="1" type="noConversion"/>
  </si>
  <si>
    <t>계산서발행</t>
    <phoneticPr fontId="1" type="noConversion"/>
  </si>
  <si>
    <t>6월15일</t>
    <phoneticPr fontId="1" type="noConversion"/>
  </si>
  <si>
    <t>삼남 승마장 근처</t>
    <phoneticPr fontId="1" type="noConversion"/>
  </si>
  <si>
    <t>카드</t>
    <phoneticPr fontId="1" type="noConversion"/>
  </si>
  <si>
    <t>온산 공단 39컨테이너</t>
    <phoneticPr fontId="1" type="noConversion"/>
  </si>
  <si>
    <t>세금계산서</t>
    <phoneticPr fontId="1" type="noConversion"/>
  </si>
  <si>
    <t>계좌이체</t>
    <phoneticPr fontId="1" type="noConversion"/>
  </si>
  <si>
    <t>북구 산성로40 울산 지식센터 811호</t>
    <phoneticPr fontId="1" type="noConversion"/>
  </si>
  <si>
    <t>010-3016-0336</t>
    <phoneticPr fontId="1" type="noConversion"/>
  </si>
  <si>
    <t>대원빌라 109호</t>
    <phoneticPr fontId="1" type="noConversion"/>
  </si>
  <si>
    <t>시스템선반 1자형태
600*1200*1800 3단 무.양</t>
    <phoneticPr fontId="1" type="noConversion"/>
  </si>
  <si>
    <t>010-7199-2769</t>
    <phoneticPr fontId="1" type="noConversion"/>
  </si>
  <si>
    <t>중량랙 900*4500*2100 4단 2조
900*3000*2100 2단 1조</t>
    <phoneticPr fontId="1" type="noConversion"/>
  </si>
  <si>
    <t>6월19일</t>
    <phoneticPr fontId="1" type="noConversion"/>
  </si>
  <si>
    <t>6월18일</t>
    <phoneticPr fontId="1" type="noConversion"/>
  </si>
  <si>
    <t>6월17일</t>
    <phoneticPr fontId="1" type="noConversion"/>
  </si>
  <si>
    <t>3주차 7,753,500</t>
    <phoneticPr fontId="1" type="noConversion"/>
  </si>
  <si>
    <t>현금</t>
    <phoneticPr fontId="1" type="noConversion"/>
  </si>
  <si>
    <t>카드</t>
    <phoneticPr fontId="1" type="noConversion"/>
  </si>
  <si>
    <t>신정동 주택</t>
    <phoneticPr fontId="1" type="noConversion"/>
  </si>
  <si>
    <t>재료포장</t>
    <phoneticPr fontId="1" type="noConversion"/>
  </si>
  <si>
    <t>400*1500*1200 4단 무.일</t>
    <phoneticPr fontId="1" type="noConversion"/>
  </si>
  <si>
    <t>세금계산서</t>
    <phoneticPr fontId="1" type="noConversion"/>
  </si>
  <si>
    <t>600*2000*2100 2열 5단 무.양
500*600*1800 4단 무.양</t>
    <phoneticPr fontId="1" type="noConversion"/>
  </si>
  <si>
    <t>6월20일</t>
    <phoneticPr fontId="1" type="noConversion"/>
  </si>
  <si>
    <t>온산 공단 39컨테이너</t>
    <phoneticPr fontId="1" type="noConversion"/>
  </si>
  <si>
    <t>세금계산서</t>
    <phoneticPr fontId="1" type="noConversion"/>
  </si>
  <si>
    <t>6월21일</t>
    <phoneticPr fontId="1" type="noConversion"/>
  </si>
  <si>
    <t>풍경채 103동1002호</t>
    <phoneticPr fontId="1" type="noConversion"/>
  </si>
  <si>
    <t>600*2400*2100 2열 5단
600*1200*2100 5단 x3 앵글만</t>
    <phoneticPr fontId="1" type="noConversion"/>
  </si>
  <si>
    <t>계좌이체</t>
    <phoneticPr fontId="1" type="noConversion"/>
  </si>
  <si>
    <t>6월22일</t>
    <phoneticPr fontId="1" type="noConversion"/>
  </si>
  <si>
    <t>다온빌라 401호</t>
    <phoneticPr fontId="1" type="noConversion"/>
  </si>
  <si>
    <t>상북 진우아파트</t>
    <phoneticPr fontId="1" type="noConversion"/>
  </si>
  <si>
    <t>재료포장</t>
    <phoneticPr fontId="1" type="noConversion"/>
  </si>
  <si>
    <t>현금</t>
    <phoneticPr fontId="1" type="noConversion"/>
  </si>
  <si>
    <t>현금</t>
    <phoneticPr fontId="1" type="noConversion"/>
  </si>
  <si>
    <t>계좌이체</t>
    <phoneticPr fontId="1" type="noConversion"/>
  </si>
  <si>
    <t>500*1200*2100 3단 2행거 무,양
500*800*2100 3단 1행거 무.양
500*700*2100 3단 1행거 무.양</t>
    <phoneticPr fontId="1" type="noConversion"/>
  </si>
  <si>
    <t>300*2200*1200 2열 3단 무.테</t>
    <phoneticPr fontId="1" type="noConversion"/>
  </si>
  <si>
    <t>600*800*1500 2단 무.양</t>
    <phoneticPr fontId="1" type="noConversion"/>
  </si>
  <si>
    <t>6월23일</t>
    <phoneticPr fontId="1" type="noConversion"/>
  </si>
  <si>
    <t>재료배달</t>
    <phoneticPr fontId="1" type="noConversion"/>
  </si>
  <si>
    <t>600*3000*1500 3단 무.일</t>
    <phoneticPr fontId="1" type="noConversion"/>
  </si>
  <si>
    <t>010-4018-7530</t>
    <phoneticPr fontId="1" type="noConversion"/>
  </si>
  <si>
    <t>010-9858-6588</t>
    <phoneticPr fontId="1" type="noConversion"/>
  </si>
  <si>
    <t>010-9128-5718</t>
    <phoneticPr fontId="1" type="noConversion"/>
  </si>
  <si>
    <t>대현와항길13-208</t>
    <phoneticPr fontId="1" type="noConversion"/>
  </si>
  <si>
    <t>재료배달 삼남읍 화림정2길 29-6</t>
    <phoneticPr fontId="1" type="noConversion"/>
  </si>
  <si>
    <t>010-6654-4670</t>
    <phoneticPr fontId="1" type="noConversion"/>
  </si>
  <si>
    <t>010-4811-8784</t>
    <phoneticPr fontId="1" type="noConversion"/>
  </si>
  <si>
    <t>010-8583-8313</t>
    <phoneticPr fontId="1" type="noConversion"/>
  </si>
  <si>
    <t>500*2400*2000 2열 5단 무.양</t>
    <phoneticPr fontId="1" type="noConversion"/>
  </si>
  <si>
    <t>계좌이체</t>
    <phoneticPr fontId="1" type="noConversion"/>
  </si>
  <si>
    <t xml:space="preserve">700*1000*1800 3단 </t>
    <phoneticPr fontId="1" type="noConversion"/>
  </si>
  <si>
    <t>400*1200*2000 4단 무.일
400*2800*2000 4단 3열 무.일</t>
    <phoneticPr fontId="1" type="noConversion"/>
  </si>
  <si>
    <t>재료배달</t>
    <phoneticPr fontId="1" type="noConversion"/>
  </si>
  <si>
    <t>재료포장</t>
    <phoneticPr fontId="1" type="noConversion"/>
  </si>
  <si>
    <t>동부주공아파트105동401호</t>
    <phoneticPr fontId="1" type="noConversion"/>
  </si>
  <si>
    <t>010-9850-0321</t>
    <phoneticPr fontId="1" type="noConversion"/>
  </si>
  <si>
    <t>400*1600*2000 5단 무.양
600*900*2100 4단 무.양</t>
    <phoneticPr fontId="1" type="noConversion"/>
  </si>
  <si>
    <t>현금</t>
    <phoneticPr fontId="1" type="noConversion"/>
  </si>
  <si>
    <t>계좌이체</t>
    <phoneticPr fontId="1" type="noConversion"/>
  </si>
  <si>
    <t>현금</t>
    <phoneticPr fontId="1" type="noConversion"/>
  </si>
  <si>
    <t>6월24일</t>
    <phoneticPr fontId="1" type="noConversion"/>
  </si>
  <si>
    <t>재료포장</t>
    <phoneticPr fontId="1" type="noConversion"/>
  </si>
  <si>
    <t>600*1200*2100 5단 무 2조</t>
    <phoneticPr fontId="1" type="noConversion"/>
  </si>
  <si>
    <t>현금</t>
    <phoneticPr fontId="1" type="noConversion"/>
  </si>
  <si>
    <t>차량 작업</t>
    <phoneticPr fontId="1" type="noConversion"/>
  </si>
  <si>
    <t>010-3917-5835</t>
    <phoneticPr fontId="1" type="noConversion"/>
  </si>
  <si>
    <t>800*1100*1800 2단 무.일 2조
800*700*1800 2단 무.일 1조</t>
    <phoneticPr fontId="1" type="noConversion"/>
  </si>
  <si>
    <t>계좌이체</t>
    <phoneticPr fontId="1" type="noConversion"/>
  </si>
  <si>
    <t>재규 약국</t>
    <phoneticPr fontId="1" type="noConversion"/>
  </si>
  <si>
    <t xml:space="preserve">500*1200*2000 무.양 4단 </t>
    <phoneticPr fontId="1" type="noConversion"/>
  </si>
  <si>
    <t>남창</t>
    <phoneticPr fontId="1" type="noConversion"/>
  </si>
  <si>
    <t>계좌이체</t>
    <phoneticPr fontId="1" type="noConversion"/>
  </si>
  <si>
    <t>현금</t>
    <phoneticPr fontId="1" type="noConversion"/>
  </si>
  <si>
    <t xml:space="preserve">4주차 4,440,000 </t>
    <phoneticPr fontId="1" type="noConversion"/>
  </si>
  <si>
    <t>6월26일</t>
    <phoneticPr fontId="1" type="noConversion"/>
  </si>
  <si>
    <t>재료포장</t>
    <phoneticPr fontId="1" type="noConversion"/>
  </si>
  <si>
    <t>6월28일</t>
    <phoneticPr fontId="1" type="noConversion"/>
  </si>
  <si>
    <t>재료포장</t>
    <phoneticPr fontId="1" type="noConversion"/>
  </si>
  <si>
    <t>카드</t>
    <phoneticPr fontId="1" type="noConversion"/>
  </si>
  <si>
    <t>400*2000*1200 2열 3단 무.일</t>
    <phoneticPr fontId="1" type="noConversion"/>
  </si>
  <si>
    <t>600*700*900 1단 무.양</t>
    <phoneticPr fontId="1" type="noConversion"/>
  </si>
  <si>
    <t>계좌이체</t>
    <phoneticPr fontId="1" type="noConversion"/>
  </si>
  <si>
    <t>재료포장</t>
    <phoneticPr fontId="1" type="noConversion"/>
  </si>
  <si>
    <t>6월29일</t>
    <phoneticPr fontId="1" type="noConversion"/>
  </si>
  <si>
    <t>6월28일</t>
    <phoneticPr fontId="1" type="noConversion"/>
  </si>
  <si>
    <t>6월30일</t>
    <phoneticPr fontId="1" type="noConversion"/>
  </si>
  <si>
    <t>석우집</t>
    <phoneticPr fontId="1" type="noConversion"/>
  </si>
  <si>
    <t>한식뷔페</t>
    <phoneticPr fontId="1" type="noConversion"/>
  </si>
  <si>
    <t>천상 옷집</t>
    <phoneticPr fontId="1" type="noConversion"/>
  </si>
  <si>
    <t>석우집</t>
    <phoneticPr fontId="1" type="noConversion"/>
  </si>
  <si>
    <t>재료포장</t>
    <phoneticPr fontId="1" type="noConversion"/>
  </si>
  <si>
    <t>카드</t>
    <phoneticPr fontId="1" type="noConversion"/>
  </si>
  <si>
    <t>현금</t>
    <phoneticPr fontId="1" type="noConversion"/>
  </si>
  <si>
    <t>계좌이체</t>
    <phoneticPr fontId="1" type="noConversion"/>
  </si>
  <si>
    <t>세금계산서</t>
    <phoneticPr fontId="1" type="noConversion"/>
  </si>
  <si>
    <t>동부주공아파트</t>
    <phoneticPr fontId="1" type="noConversion"/>
  </si>
  <si>
    <t>010-6371-1106</t>
    <phoneticPr fontId="1" type="noConversion"/>
  </si>
  <si>
    <t>600*2000*830 1단 무.양 7조</t>
    <phoneticPr fontId="1" type="noConversion"/>
  </si>
  <si>
    <t>600*800*2000 2단 무.일
400*1100*1700 3단 무.일</t>
    <phoneticPr fontId="1" type="noConversion"/>
  </si>
  <si>
    <t>현금</t>
    <phoneticPr fontId="1" type="noConversion"/>
  </si>
  <si>
    <t>500*1500*2000 2열 5단 무.양</t>
    <phoneticPr fontId="1" type="noConversion"/>
  </si>
  <si>
    <t>010-9850-0321</t>
    <phoneticPr fontId="1" type="noConversion"/>
  </si>
  <si>
    <t>010-4098-5504</t>
    <phoneticPr fontId="1" type="noConversion"/>
  </si>
  <si>
    <t>010-9311-9189</t>
    <phoneticPr fontId="1" type="noConversion"/>
  </si>
  <si>
    <t>5주차 3,538,000</t>
    <phoneticPr fontId="1" type="noConversion"/>
  </si>
  <si>
    <t>2022년 7월  매출현황</t>
    <phoneticPr fontId="1" type="noConversion"/>
  </si>
  <si>
    <t>7월1일</t>
    <phoneticPr fontId="1" type="noConversion"/>
  </si>
  <si>
    <t>차량 설치</t>
    <phoneticPr fontId="1" type="noConversion"/>
  </si>
  <si>
    <t xml:space="preserve">620앵글 </t>
    <phoneticPr fontId="1" type="noConversion"/>
  </si>
  <si>
    <t>7월2일</t>
    <phoneticPr fontId="1" type="noConversion"/>
  </si>
  <si>
    <t>재료포장</t>
    <phoneticPr fontId="1" type="noConversion"/>
  </si>
  <si>
    <t>동부리 카센터</t>
    <phoneticPr fontId="1" type="noConversion"/>
  </si>
  <si>
    <t>300*3100*1800 3열 4단 무.일</t>
    <phoneticPr fontId="1" type="noConversion"/>
  </si>
  <si>
    <t>계좌이체</t>
    <phoneticPr fontId="1" type="noConversion"/>
  </si>
  <si>
    <t>500*1600*1700 2열 4단
500*1500*1700 2열 4단 무.일
400*500*1800 5단 무.일</t>
    <phoneticPr fontId="1" type="noConversion"/>
  </si>
  <si>
    <t>7월3일</t>
    <phoneticPr fontId="1" type="noConversion"/>
  </si>
  <si>
    <t>7월3일</t>
    <phoneticPr fontId="1" type="noConversion"/>
  </si>
  <si>
    <t>재료포장</t>
    <phoneticPr fontId="1" type="noConversion"/>
  </si>
  <si>
    <t>옥동143-1 3층 샤브샤브</t>
    <phoneticPr fontId="1" type="noConversion"/>
  </si>
  <si>
    <t>현금</t>
    <phoneticPr fontId="1" type="noConversion"/>
  </si>
  <si>
    <t>5조</t>
    <phoneticPr fontId="1" type="noConversion"/>
  </si>
  <si>
    <t>1차전 1,380,000</t>
    <phoneticPr fontId="1" type="noConversion"/>
  </si>
  <si>
    <t>010-4355-9930</t>
    <phoneticPr fontId="1" type="noConversion"/>
  </si>
  <si>
    <t>300*600*2100 6단 무.양
600*1000*2100 5단 무.테
400*1000*2100 3단 무.일
400*700*2100 6단 무.테
600*1400*2100 4단 무.테</t>
    <phoneticPr fontId="1" type="noConversion"/>
  </si>
  <si>
    <t>계산서 발행</t>
    <phoneticPr fontId="1" type="noConversion"/>
  </si>
  <si>
    <t>7월4일</t>
    <phoneticPr fontId="1" type="noConversion"/>
  </si>
  <si>
    <t>계산서발행</t>
    <phoneticPr fontId="1" type="noConversion"/>
  </si>
  <si>
    <t>7월4일</t>
    <phoneticPr fontId="1" type="noConversion"/>
  </si>
  <si>
    <t>발리</t>
    <phoneticPr fontId="1" type="noConversion"/>
  </si>
  <si>
    <t>언양 북경 뒤쪽</t>
    <phoneticPr fontId="1" type="noConversion"/>
  </si>
  <si>
    <t xml:space="preserve">400*1200*2100 3단 무.양 행거2 x2
400*1000*2100 3단 무.양 행거 1 </t>
    <phoneticPr fontId="1" type="noConversion"/>
  </si>
  <si>
    <t>400*400*400 1단 무.테</t>
    <phoneticPr fontId="1" type="noConversion"/>
  </si>
  <si>
    <t>계좌이체</t>
    <phoneticPr fontId="1" type="noConversion"/>
  </si>
  <si>
    <t>계좌이체</t>
    <phoneticPr fontId="1" type="noConversion"/>
  </si>
  <si>
    <t>문수더샵110동1704호</t>
    <phoneticPr fontId="1" type="noConversion"/>
  </si>
  <si>
    <t>600*1200*2000 4단 무.양</t>
    <phoneticPr fontId="1" type="noConversion"/>
  </si>
  <si>
    <t>재료포장</t>
    <phoneticPr fontId="1" type="noConversion"/>
  </si>
  <si>
    <t>600*1200*2100 5단 무.양</t>
    <phoneticPr fontId="1" type="noConversion"/>
  </si>
  <si>
    <t>현금</t>
    <phoneticPr fontId="1" type="noConversion"/>
  </si>
  <si>
    <t>7월5일</t>
    <phoneticPr fontId="1" type="noConversion"/>
  </si>
  <si>
    <t>이편한세상103동803호</t>
    <phoneticPr fontId="1" type="noConversion"/>
  </si>
  <si>
    <t>010-8503-2182</t>
    <phoneticPr fontId="1" type="noConversion"/>
  </si>
  <si>
    <t>500*600*1800 3단 무.양
400*700*1700 3단 무.양
블라인드 3창</t>
    <phoneticPr fontId="1" type="noConversion"/>
  </si>
  <si>
    <t>계좌이체</t>
    <phoneticPr fontId="1" type="noConversion"/>
  </si>
  <si>
    <t>구수리 블라인드</t>
    <phoneticPr fontId="1" type="noConversion"/>
  </si>
  <si>
    <t>블라인드 1창</t>
    <phoneticPr fontId="1" type="noConversion"/>
  </si>
  <si>
    <t>현금</t>
    <phoneticPr fontId="1" type="noConversion"/>
  </si>
  <si>
    <t>재료포장</t>
    <phoneticPr fontId="1" type="noConversion"/>
  </si>
  <si>
    <t>재료포장</t>
    <phoneticPr fontId="1" type="noConversion"/>
  </si>
  <si>
    <t>7월7일</t>
    <phoneticPr fontId="1" type="noConversion"/>
  </si>
  <si>
    <t>7월6일</t>
    <phoneticPr fontId="1" type="noConversion"/>
  </si>
  <si>
    <t>7월6일</t>
    <phoneticPr fontId="1" type="noConversion"/>
  </si>
  <si>
    <t>7월6일</t>
    <phoneticPr fontId="1" type="noConversion"/>
  </si>
  <si>
    <t>사랑주간보호센터</t>
    <phoneticPr fontId="1" type="noConversion"/>
  </si>
  <si>
    <t>010-9303-8156</t>
    <phoneticPr fontId="1" type="noConversion"/>
  </si>
  <si>
    <t>400*700 1단 무.양
500*600 1단 무.양</t>
    <phoneticPr fontId="1" type="noConversion"/>
  </si>
  <si>
    <t>현금</t>
    <phoneticPr fontId="1" type="noConversion"/>
  </si>
  <si>
    <t>계좌이체</t>
    <phoneticPr fontId="1" type="noConversion"/>
  </si>
  <si>
    <t>계좌이체</t>
    <phoneticPr fontId="1" type="noConversion"/>
  </si>
  <si>
    <t>600*700*1800 3단 무.일</t>
    <phoneticPr fontId="1" type="noConversion"/>
  </si>
  <si>
    <t>7월8일</t>
    <phoneticPr fontId="1" type="noConversion"/>
  </si>
  <si>
    <t>초밥 돈까스 심스시</t>
    <phoneticPr fontId="1" type="noConversion"/>
  </si>
  <si>
    <t>600*2200*2100 2열 5단 무.양
600*1500*2100 2열 5단 무,양</t>
    <phoneticPr fontId="1" type="noConversion"/>
  </si>
  <si>
    <t>계좌이체</t>
    <phoneticPr fontId="1" type="noConversion"/>
  </si>
  <si>
    <t>2차전 3,826,000</t>
    <phoneticPr fontId="1" type="noConversion"/>
  </si>
  <si>
    <t>7월10일</t>
    <phoneticPr fontId="1" type="noConversion"/>
  </si>
  <si>
    <t>7월11일</t>
    <phoneticPr fontId="1" type="noConversion"/>
  </si>
  <si>
    <t>굴화 사무실</t>
    <phoneticPr fontId="1" type="noConversion"/>
  </si>
  <si>
    <t>500*1700*1200 2열 4단 무.일
500*2300*1200 2열 4단 무.일
500*1600*1500 2열 4단 무.일
600*1100*2100 4단 무,일 1행거</t>
    <phoneticPr fontId="1" type="noConversion"/>
  </si>
  <si>
    <t>카드</t>
    <phoneticPr fontId="1" type="noConversion"/>
  </si>
  <si>
    <t>구미리 월평로270-11</t>
    <phoneticPr fontId="1" type="noConversion"/>
  </si>
  <si>
    <t>010-9516-9294</t>
    <phoneticPr fontId="1" type="noConversion"/>
  </si>
  <si>
    <t>500*2100*1800 2열 4단 무.일
400*2300*1800 2열 5단 무.일
400*1000*1800 4단 무.일</t>
    <phoneticPr fontId="1" type="noConversion"/>
  </si>
  <si>
    <t>계좌이체</t>
    <phoneticPr fontId="1" type="noConversion"/>
  </si>
  <si>
    <t>재료배달</t>
    <phoneticPr fontId="1" type="noConversion"/>
  </si>
  <si>
    <t>계산서발행</t>
    <phoneticPr fontId="1" type="noConversion"/>
  </si>
  <si>
    <t>600*1200*1500 3단 2조
600*1500*1800 3단 2조</t>
    <phoneticPr fontId="1" type="noConversion"/>
  </si>
  <si>
    <t>합판 제단</t>
    <phoneticPr fontId="1" type="noConversion"/>
  </si>
  <si>
    <t>사랑주간보호센터</t>
    <phoneticPr fontId="1" type="noConversion"/>
  </si>
  <si>
    <t>카드</t>
    <phoneticPr fontId="1" type="noConversion"/>
  </si>
  <si>
    <t>샤브샤브</t>
    <phoneticPr fontId="1" type="noConversion"/>
  </si>
  <si>
    <t>계좌이체</t>
    <phoneticPr fontId="1" type="noConversion"/>
  </si>
  <si>
    <t>계좌이체</t>
    <phoneticPr fontId="1" type="noConversion"/>
  </si>
  <si>
    <t>7월13일</t>
    <phoneticPr fontId="1" type="noConversion"/>
  </si>
  <si>
    <t>두서면 복안리1017-14</t>
    <phoneticPr fontId="1" type="noConversion"/>
  </si>
  <si>
    <t>500*4100*1800 4열 3단 무.일 2조</t>
    <phoneticPr fontId="1" type="noConversion"/>
  </si>
  <si>
    <t>호텔</t>
    <phoneticPr fontId="1" type="noConversion"/>
  </si>
  <si>
    <t>500*1600*2000 5단 무.일
500*800*1800 3단 무.양</t>
    <phoneticPr fontId="1" type="noConversion"/>
  </si>
  <si>
    <t>계산서발행</t>
    <phoneticPr fontId="1" type="noConversion"/>
  </si>
  <si>
    <t>7월14일</t>
    <phoneticPr fontId="1" type="noConversion"/>
  </si>
  <si>
    <t>010-2073-6300</t>
    <phoneticPr fontId="1" type="noConversion"/>
  </si>
  <si>
    <t>010-4355-9930</t>
    <phoneticPr fontId="1" type="noConversion"/>
  </si>
  <si>
    <t>010-2803-6113</t>
    <phoneticPr fontId="1" type="noConversion"/>
  </si>
  <si>
    <t>500*1600*1500 4단 무.일</t>
    <phoneticPr fontId="1" type="noConversion"/>
  </si>
  <si>
    <t>중구 알통닭강정</t>
    <phoneticPr fontId="1" type="noConversion"/>
  </si>
  <si>
    <t>600*1200</t>
    <phoneticPr fontId="1" type="noConversion"/>
  </si>
  <si>
    <t>7월15일</t>
    <phoneticPr fontId="1" type="noConversion"/>
  </si>
  <si>
    <t>재료포장</t>
    <phoneticPr fontId="1" type="noConversion"/>
  </si>
  <si>
    <t>계좌이체</t>
    <phoneticPr fontId="1" type="noConversion"/>
  </si>
  <si>
    <t>3차전 3,460,000</t>
    <phoneticPr fontId="1" type="noConversion"/>
  </si>
  <si>
    <t>북구 맥주집</t>
    <phoneticPr fontId="1" type="noConversion"/>
  </si>
  <si>
    <t>7월17일</t>
    <phoneticPr fontId="1" type="noConversion"/>
  </si>
  <si>
    <t>계좌이체</t>
    <phoneticPr fontId="1" type="noConversion"/>
  </si>
  <si>
    <t>7월19일</t>
    <phoneticPr fontId="1" type="noConversion"/>
  </si>
  <si>
    <t>언양불고기집</t>
    <phoneticPr fontId="1" type="noConversion"/>
  </si>
  <si>
    <t>블라인드 3창</t>
    <phoneticPr fontId="1" type="noConversion"/>
  </si>
  <si>
    <t>저온창고 꿀벌아저씨</t>
    <phoneticPr fontId="1" type="noConversion"/>
  </si>
  <si>
    <t>500*4300*1800 3단 무.일
500*2900*1800 3열 3단 무.일</t>
    <phoneticPr fontId="1" type="noConversion"/>
  </si>
  <si>
    <t>범서고등학교</t>
    <phoneticPr fontId="1" type="noConversion"/>
  </si>
  <si>
    <t>500*1600*2100 2열 5단 무.일
500*900*2100 2단 무.일</t>
    <phoneticPr fontId="1" type="noConversion"/>
  </si>
  <si>
    <t>7월20일</t>
    <phoneticPr fontId="1" type="noConversion"/>
  </si>
  <si>
    <t>공단한식뷔페</t>
    <phoneticPr fontId="1" type="noConversion"/>
  </si>
  <si>
    <t>600*2000*860 1단 바퀴앵글 5조</t>
    <phoneticPr fontId="1" type="noConversion"/>
  </si>
  <si>
    <t>7월21일</t>
    <phoneticPr fontId="1" type="noConversion"/>
  </si>
  <si>
    <t>카드결제</t>
    <phoneticPr fontId="1" type="noConversion"/>
  </si>
  <si>
    <t>계산서발행</t>
    <phoneticPr fontId="1" type="noConversion"/>
  </si>
  <si>
    <t>계좌이체</t>
    <phoneticPr fontId="1" type="noConversion"/>
  </si>
  <si>
    <t>7월21일</t>
    <phoneticPr fontId="1" type="noConversion"/>
  </si>
  <si>
    <t>천상 다온빌라</t>
    <phoneticPr fontId="1" type="noConversion"/>
  </si>
  <si>
    <t>계좌이체</t>
    <phoneticPr fontId="1" type="noConversion"/>
  </si>
  <si>
    <t>시스템선반</t>
    <phoneticPr fontId="1" type="noConversion"/>
  </si>
  <si>
    <t>재규집</t>
    <phoneticPr fontId="1" type="noConversion"/>
  </si>
  <si>
    <t>시스템선반</t>
    <phoneticPr fontId="1" type="noConversion"/>
  </si>
  <si>
    <t>계좌이체</t>
    <phoneticPr fontId="1" type="noConversion"/>
  </si>
  <si>
    <t>7월22일</t>
    <phoneticPr fontId="1" type="noConversion"/>
  </si>
  <si>
    <t>재료배달</t>
    <phoneticPr fontId="1" type="noConversion"/>
  </si>
  <si>
    <t>연형이집 설치</t>
    <phoneticPr fontId="1" type="noConversion"/>
  </si>
  <si>
    <t>7월24일</t>
    <phoneticPr fontId="1" type="noConversion"/>
  </si>
  <si>
    <t>4차전 4,200,000</t>
    <phoneticPr fontId="1" type="noConversion"/>
  </si>
  <si>
    <t>7월24일</t>
    <phoneticPr fontId="1" type="noConversion"/>
  </si>
  <si>
    <t>재료포장</t>
    <phoneticPr fontId="1" type="noConversion"/>
  </si>
  <si>
    <t>동구 이편한세상</t>
    <phoneticPr fontId="1" type="noConversion"/>
  </si>
  <si>
    <t xml:space="preserve">시스템선반 </t>
    <phoneticPr fontId="1" type="noConversion"/>
  </si>
  <si>
    <t>600*1200*2100 4단 합판x</t>
    <phoneticPr fontId="1" type="noConversion"/>
  </si>
  <si>
    <t>현금</t>
    <phoneticPr fontId="1" type="noConversion"/>
  </si>
  <si>
    <t>계좌이체</t>
    <phoneticPr fontId="1" type="noConversion"/>
  </si>
  <si>
    <t>현금</t>
    <phoneticPr fontId="1" type="noConversion"/>
  </si>
  <si>
    <t>카드</t>
    <phoneticPr fontId="1" type="noConversion"/>
  </si>
  <si>
    <t>7월25일</t>
    <phoneticPr fontId="1" type="noConversion"/>
  </si>
  <si>
    <t>돌봄센터(언양초앞)</t>
    <phoneticPr fontId="1" type="noConversion"/>
  </si>
  <si>
    <t>7월26일</t>
    <phoneticPr fontId="1" type="noConversion"/>
  </si>
  <si>
    <t>양우내안애</t>
    <phoneticPr fontId="1" type="noConversion"/>
  </si>
  <si>
    <t>400*1000*1800 4단 무.양</t>
    <phoneticPr fontId="1" type="noConversion"/>
  </si>
  <si>
    <t>계좌이체</t>
    <phoneticPr fontId="1" type="noConversion"/>
  </si>
  <si>
    <t>7월27일</t>
    <phoneticPr fontId="1" type="noConversion"/>
  </si>
  <si>
    <t>국태101동2002호</t>
    <phoneticPr fontId="1" type="noConversion"/>
  </si>
  <si>
    <t>커튼</t>
    <phoneticPr fontId="1" type="noConversion"/>
  </si>
  <si>
    <t>계좌이체</t>
    <phoneticPr fontId="1" type="noConversion"/>
  </si>
  <si>
    <t>7월28일</t>
    <phoneticPr fontId="1" type="noConversion"/>
  </si>
  <si>
    <t>삼남읍</t>
    <phoneticPr fontId="1" type="noConversion"/>
  </si>
  <si>
    <t>600*2400*2100 2열 4단 무.양</t>
    <phoneticPr fontId="1" type="noConversion"/>
  </si>
  <si>
    <t>7월29일</t>
    <phoneticPr fontId="1" type="noConversion"/>
  </si>
  <si>
    <t>계좌이체</t>
    <phoneticPr fontId="1" type="noConversion"/>
  </si>
  <si>
    <t>7월29일</t>
    <phoneticPr fontId="1" type="noConversion"/>
  </si>
  <si>
    <t>이편한세상101동1805호</t>
    <phoneticPr fontId="1" type="noConversion"/>
  </si>
  <si>
    <t>7월30일</t>
    <phoneticPr fontId="1" type="noConversion"/>
  </si>
  <si>
    <t>재료포장</t>
    <phoneticPr fontId="1" type="noConversion"/>
  </si>
  <si>
    <t>신정동아파트</t>
    <phoneticPr fontId="1" type="noConversion"/>
  </si>
  <si>
    <t>8월3일</t>
    <phoneticPr fontId="1" type="noConversion"/>
  </si>
  <si>
    <t>5차전  2,341,000원</t>
    <phoneticPr fontId="1" type="noConversion"/>
  </si>
  <si>
    <t>재료포장</t>
    <phoneticPr fontId="1" type="noConversion"/>
  </si>
  <si>
    <t>7월30일</t>
    <phoneticPr fontId="1" type="noConversion"/>
  </si>
  <si>
    <t>파빌라</t>
    <phoneticPr fontId="1" type="noConversion"/>
  </si>
  <si>
    <t>서생역</t>
    <phoneticPr fontId="1" type="noConversion"/>
  </si>
  <si>
    <t>한라아파트</t>
    <phoneticPr fontId="1" type="noConversion"/>
  </si>
  <si>
    <t>두동면 허지길31</t>
    <phoneticPr fontId="1" type="noConversion"/>
  </si>
  <si>
    <t>010-4008-5069</t>
    <phoneticPr fontId="1" type="noConversion"/>
  </si>
  <si>
    <t>010-5199-4004</t>
    <phoneticPr fontId="1" type="noConversion"/>
  </si>
  <si>
    <t>010-7711-1201</t>
    <phoneticPr fontId="1" type="noConversion"/>
  </si>
  <si>
    <t>계산서</t>
    <phoneticPr fontId="1" type="noConversion"/>
  </si>
  <si>
    <t xml:space="preserve">600*500*2100 3단 무.양 2행거
600*800*1800 5단 무.양
300*600*1800 5단 무,양
</t>
    <phoneticPr fontId="1" type="noConversion"/>
  </si>
  <si>
    <t>계산서</t>
    <phoneticPr fontId="1" type="noConversion"/>
  </si>
  <si>
    <t>계좌이체</t>
    <phoneticPr fontId="1" type="noConversion"/>
  </si>
  <si>
    <t>8월4일</t>
    <phoneticPr fontId="1" type="noConversion"/>
  </si>
  <si>
    <t>8월4일</t>
    <phoneticPr fontId="1" type="noConversion"/>
  </si>
  <si>
    <t>미포3길 29 2층</t>
    <phoneticPr fontId="1" type="noConversion"/>
  </si>
  <si>
    <t>010-3837-7739</t>
    <phoneticPr fontId="1" type="noConversion"/>
  </si>
  <si>
    <t xml:space="preserve">시스템선반 </t>
    <phoneticPr fontId="1" type="noConversion"/>
  </si>
  <si>
    <t>계좌이체</t>
    <phoneticPr fontId="1" type="noConversion"/>
  </si>
  <si>
    <t>8월4일</t>
    <phoneticPr fontId="1" type="noConversion"/>
  </si>
  <si>
    <t>방기5길 23 삼아아파트</t>
    <phoneticPr fontId="1" type="noConversion"/>
  </si>
  <si>
    <t>010-4171-1113</t>
    <phoneticPr fontId="1" type="noConversion"/>
  </si>
  <si>
    <t>600*2400*1500 3단 무.양 블라인드</t>
    <phoneticPr fontId="1" type="noConversion"/>
  </si>
  <si>
    <t>계좌이체</t>
    <phoneticPr fontId="1" type="noConversion"/>
  </si>
  <si>
    <t>카드</t>
    <phoneticPr fontId="1" type="noConversion"/>
  </si>
  <si>
    <t>600*4400*1800 3단 무.일
600*2800*1800 3단 무.일</t>
    <phoneticPr fontId="1" type="noConversion"/>
  </si>
  <si>
    <t>600*2000*1800 4단 무.양
600*1600*1100 3단 무,양</t>
    <phoneticPr fontId="1" type="noConversion"/>
  </si>
  <si>
    <t>400*1600*1750 5단 무.양</t>
    <phoneticPr fontId="1" type="noConversion"/>
  </si>
  <si>
    <t>이디스트102동1903</t>
    <phoneticPr fontId="1" type="noConversion"/>
  </si>
  <si>
    <t>010-4950-6311</t>
    <phoneticPr fontId="1" type="noConversion"/>
  </si>
  <si>
    <t>500*1000*1500 4단 무.양</t>
    <phoneticPr fontId="1" type="noConversion"/>
  </si>
  <si>
    <t>400*2000*1000 2열 3단</t>
    <phoneticPr fontId="1" type="noConversion"/>
  </si>
  <si>
    <t>계좌이체</t>
    <phoneticPr fontId="1" type="noConversion"/>
  </si>
  <si>
    <t>8월7일</t>
    <phoneticPr fontId="1" type="noConversion"/>
  </si>
  <si>
    <t>8월4일</t>
    <phoneticPr fontId="1" type="noConversion"/>
  </si>
  <si>
    <t>1차전 2,727,000</t>
    <phoneticPr fontId="1" type="noConversion"/>
  </si>
  <si>
    <t>계좌이체</t>
    <phoneticPr fontId="1" type="noConversion"/>
  </si>
  <si>
    <t>작업다이</t>
    <phoneticPr fontId="1" type="noConversion"/>
  </si>
  <si>
    <t>8월8일</t>
    <phoneticPr fontId="1" type="noConversion"/>
  </si>
  <si>
    <t>미입</t>
    <phoneticPr fontId="1" type="noConversion"/>
  </si>
  <si>
    <t>계좌이체</t>
    <phoneticPr fontId="1" type="noConversion"/>
  </si>
  <si>
    <t>계좌이체</t>
    <phoneticPr fontId="1" type="noConversion"/>
  </si>
  <si>
    <t>계좌이체</t>
    <phoneticPr fontId="1" type="noConversion"/>
  </si>
  <si>
    <t>계좌이체</t>
    <phoneticPr fontId="1" type="noConversion"/>
  </si>
  <si>
    <t>카드</t>
    <phoneticPr fontId="1" type="noConversion"/>
  </si>
  <si>
    <t>작업다이</t>
    <phoneticPr fontId="1" type="noConversion"/>
  </si>
  <si>
    <t>평창현대501동701호</t>
    <phoneticPr fontId="1" type="noConversion"/>
  </si>
  <si>
    <t>동구이편한세상106동1201호</t>
    <phoneticPr fontId="1" type="noConversion"/>
  </si>
  <si>
    <t>500*900*2100 5단 무.양
500*1100*2000 3단 무.양</t>
    <phoneticPr fontId="1" type="noConversion"/>
  </si>
  <si>
    <t>400*1400*1800 4단 무.양
600*1700*1800 4단 무.양</t>
    <phoneticPr fontId="1" type="noConversion"/>
  </si>
  <si>
    <t xml:space="preserve">시스템선반 </t>
    <phoneticPr fontId="1" type="noConversion"/>
  </si>
  <si>
    <t>500*1000*2000 4단 무.양</t>
    <phoneticPr fontId="1" type="noConversion"/>
  </si>
  <si>
    <t xml:space="preserve">더샵 </t>
    <phoneticPr fontId="1" type="noConversion"/>
  </si>
  <si>
    <t>500*800*1600 2단 무.양</t>
    <phoneticPr fontId="1" type="noConversion"/>
  </si>
  <si>
    <t>미포3길 29 2층</t>
    <phoneticPr fontId="1" type="noConversion"/>
  </si>
  <si>
    <t>온양읍 성림그린빌아파트101동604호</t>
    <phoneticPr fontId="1" type="noConversion"/>
  </si>
  <si>
    <t>010-3848-7517</t>
    <phoneticPr fontId="1" type="noConversion"/>
  </si>
  <si>
    <t>010-3837-7739</t>
    <phoneticPr fontId="1" type="noConversion"/>
  </si>
  <si>
    <t>010-8644-5724</t>
    <phoneticPr fontId="1" type="noConversion"/>
  </si>
  <si>
    <t>010-3836-0778</t>
    <phoneticPr fontId="1" type="noConversion"/>
  </si>
  <si>
    <t>8월9일</t>
    <phoneticPr fontId="1" type="noConversion"/>
  </si>
  <si>
    <t>해오름농약집</t>
    <phoneticPr fontId="1" type="noConversion"/>
  </si>
  <si>
    <t>300*2100*2100 2열 6단 무.양</t>
    <phoneticPr fontId="1" type="noConversion"/>
  </si>
  <si>
    <t>계좌이체</t>
    <phoneticPr fontId="1" type="noConversion"/>
  </si>
  <si>
    <t>재료포장</t>
    <phoneticPr fontId="1" type="noConversion"/>
  </si>
  <si>
    <t>현금</t>
    <phoneticPr fontId="1" type="noConversion"/>
  </si>
  <si>
    <t>620 1400 4개</t>
    <phoneticPr fontId="1" type="noConversion"/>
  </si>
  <si>
    <t>8월11일</t>
    <phoneticPr fontId="1" type="noConversion"/>
  </si>
  <si>
    <t>400*800*1500 1단 무.양
400*2100*900 2단 무.양
400*1100*600 1단 무.양</t>
    <phoneticPr fontId="1" type="noConversion"/>
  </si>
  <si>
    <t>블라인드</t>
    <phoneticPr fontId="1" type="noConversion"/>
  </si>
  <si>
    <t>누렁소</t>
    <phoneticPr fontId="1" type="noConversion"/>
  </si>
  <si>
    <t>8월11일</t>
    <phoneticPr fontId="1" type="noConversion"/>
  </si>
  <si>
    <t>재료포장</t>
    <phoneticPr fontId="1" type="noConversion"/>
  </si>
  <si>
    <t>계좌이체</t>
    <phoneticPr fontId="1" type="noConversion"/>
  </si>
  <si>
    <t>계좌이체</t>
    <phoneticPr fontId="1" type="noConversion"/>
  </si>
  <si>
    <t>8월12일</t>
    <phoneticPr fontId="1" type="noConversion"/>
  </si>
  <si>
    <t>재료배달</t>
    <phoneticPr fontId="1" type="noConversion"/>
  </si>
  <si>
    <t>300*1200*1500 4단 무.양</t>
    <phoneticPr fontId="1" type="noConversion"/>
  </si>
  <si>
    <t xml:space="preserve">600*1100*2400 5단 무.12일 2조
600*1500*1000 2단 무.12 일반 </t>
    <phoneticPr fontId="1" type="noConversion"/>
  </si>
  <si>
    <t>계좌이체</t>
    <phoneticPr fontId="1" type="noConversion"/>
  </si>
  <si>
    <t>8월15일</t>
    <phoneticPr fontId="1" type="noConversion"/>
  </si>
  <si>
    <t>두동 만화리</t>
    <phoneticPr fontId="1" type="noConversion"/>
  </si>
  <si>
    <t>계좌이체</t>
    <phoneticPr fontId="1" type="noConversion"/>
  </si>
  <si>
    <t>계좌이체</t>
    <phoneticPr fontId="1" type="noConversion"/>
  </si>
  <si>
    <t>재료배달</t>
    <phoneticPr fontId="1" type="noConversion"/>
  </si>
  <si>
    <t>8월15일</t>
    <phoneticPr fontId="1" type="noConversion"/>
  </si>
  <si>
    <t>2차전 3,291,000</t>
    <phoneticPr fontId="1" type="noConversion"/>
  </si>
  <si>
    <t>8월16일</t>
    <phoneticPr fontId="1" type="noConversion"/>
  </si>
  <si>
    <t>재료포장</t>
    <phoneticPr fontId="1" type="noConversion"/>
  </si>
  <si>
    <t>천상아드리아</t>
    <phoneticPr fontId="1" type="noConversion"/>
  </si>
  <si>
    <t>공업탑 하트</t>
    <phoneticPr fontId="1" type="noConversion"/>
  </si>
  <si>
    <t>400*1800*1500 2열 4단 무.일</t>
    <phoneticPr fontId="1" type="noConversion"/>
  </si>
  <si>
    <t>400*1000*1500 4단 무.일
400*800*1500 4단 무.일</t>
    <phoneticPr fontId="1" type="noConversion"/>
  </si>
  <si>
    <t>500*1100*2000 무.양 5단
500*900*2000 무.양 5단
300*1100*1050 3단 무.양
400*800*2000 5단 무.양 
블라인드 3창</t>
    <phoneticPr fontId="1" type="noConversion"/>
  </si>
  <si>
    <t>카드</t>
    <phoneticPr fontId="1" type="noConversion"/>
  </si>
  <si>
    <t>현금</t>
    <phoneticPr fontId="1" type="noConversion"/>
  </si>
  <si>
    <t xml:space="preserve">400*1200*2100 3단 무.양 1행거
400*600*2100  5단 무.양 </t>
    <phoneticPr fontId="1" type="noConversion"/>
  </si>
  <si>
    <t>500*1200*2100 2단 무.양</t>
    <phoneticPr fontId="1" type="noConversion"/>
  </si>
  <si>
    <t>620 잔잔바리</t>
    <phoneticPr fontId="1" type="noConversion"/>
  </si>
  <si>
    <t>현금</t>
    <phoneticPr fontId="1" type="noConversion"/>
  </si>
  <si>
    <t>8월17일</t>
    <phoneticPr fontId="1" type="noConversion"/>
  </si>
  <si>
    <t>계산서</t>
    <phoneticPr fontId="1" type="noConversion"/>
  </si>
  <si>
    <t>경동청구102동803호</t>
    <phoneticPr fontId="1" type="noConversion"/>
  </si>
  <si>
    <t>400*2400*1800 2열 4단 무.양
400*500*1050 4단 무.양
400*500*2000 6단 무.양</t>
    <phoneticPr fontId="1" type="noConversion"/>
  </si>
  <si>
    <t>8월18일</t>
    <phoneticPr fontId="1" type="noConversion"/>
  </si>
  <si>
    <t>삼산 세양아파트</t>
    <phoneticPr fontId="1" type="noConversion"/>
  </si>
  <si>
    <t>500*1100*1800 5단 무.양</t>
    <phoneticPr fontId="1" type="noConversion"/>
  </si>
  <si>
    <t>계좌이체</t>
    <phoneticPr fontId="1" type="noConversion"/>
  </si>
  <si>
    <t>500*700*2100 6단 무.양 합판2장</t>
    <phoneticPr fontId="1" type="noConversion"/>
  </si>
  <si>
    <t>8월18일</t>
    <phoneticPr fontId="1" type="noConversion"/>
  </si>
  <si>
    <t>진성이집</t>
    <phoneticPr fontId="1" type="noConversion"/>
  </si>
  <si>
    <t>500*1200*2000 4단 무.양</t>
    <phoneticPr fontId="1" type="noConversion"/>
  </si>
  <si>
    <t>계산서</t>
    <phoneticPr fontId="1" type="noConversion"/>
  </si>
  <si>
    <t>동문아파트</t>
    <phoneticPr fontId="1" type="noConversion"/>
  </si>
  <si>
    <t>8월19일</t>
    <phoneticPr fontId="1" type="noConversion"/>
  </si>
  <si>
    <t>8월19일</t>
    <phoneticPr fontId="1" type="noConversion"/>
  </si>
  <si>
    <t>재료포장</t>
    <phoneticPr fontId="1" type="noConversion"/>
  </si>
  <si>
    <t>계좌이체</t>
    <phoneticPr fontId="1" type="noConversion"/>
  </si>
  <si>
    <t>카드</t>
    <phoneticPr fontId="1" type="noConversion"/>
  </si>
  <si>
    <t>계좌이체</t>
    <phoneticPr fontId="1" type="noConversion"/>
  </si>
  <si>
    <t>계좌이체</t>
    <phoneticPr fontId="1" type="noConversion"/>
  </si>
  <si>
    <t>3차전 4,189,000</t>
    <phoneticPr fontId="1" type="noConversion"/>
  </si>
  <si>
    <t>8월22일</t>
    <phoneticPr fontId="1" type="noConversion"/>
  </si>
  <si>
    <t>8월22일</t>
    <phoneticPr fontId="1" type="noConversion"/>
  </si>
  <si>
    <t>재료포장</t>
    <phoneticPr fontId="1" type="noConversion"/>
  </si>
  <si>
    <t>고려아연아파트10동508호</t>
    <phoneticPr fontId="1" type="noConversion"/>
  </si>
  <si>
    <t>010-3867-5449</t>
    <phoneticPr fontId="1" type="noConversion"/>
  </si>
  <si>
    <t>010-9898-9836</t>
    <phoneticPr fontId="1" type="noConversion"/>
  </si>
  <si>
    <t>010-4152-3597</t>
    <phoneticPr fontId="1" type="noConversion"/>
  </si>
  <si>
    <t>010-2239-7233</t>
    <phoneticPr fontId="1" type="noConversion"/>
  </si>
  <si>
    <t>010-3886-1501</t>
    <phoneticPr fontId="1" type="noConversion"/>
  </si>
  <si>
    <t>두동주택</t>
    <phoneticPr fontId="1" type="noConversion"/>
  </si>
  <si>
    <t>500*2200*1200 2열 3단 
400*900*1200 3단 무.양
400*1200*1200 4단 무.양</t>
    <phoneticPr fontId="1" type="noConversion"/>
  </si>
  <si>
    <t>다운동 4층</t>
    <phoneticPr fontId="1" type="noConversion"/>
  </si>
  <si>
    <t>600*2400*1800 2열 3단 
500*900*1800 5단 무.양
500*900*1800 4단 무.양 행거</t>
    <phoneticPr fontId="1" type="noConversion"/>
  </si>
  <si>
    <t>010-5779-2179</t>
    <phoneticPr fontId="1" type="noConversion"/>
  </si>
  <si>
    <t>500*800*1800 2단무.양
600*700*1800 4단 무.양</t>
    <phoneticPr fontId="1" type="noConversion"/>
  </si>
  <si>
    <t>010-4604-0732</t>
    <phoneticPr fontId="1" type="noConversion"/>
  </si>
  <si>
    <t>010-4905-9576</t>
    <phoneticPr fontId="1" type="noConversion"/>
  </si>
  <si>
    <t>점촌6길 33-6</t>
    <phoneticPr fontId="1" type="noConversion"/>
  </si>
  <si>
    <t>010-8528-8382</t>
    <phoneticPr fontId="1" type="noConversion"/>
  </si>
  <si>
    <t>햇님원룸 303호</t>
    <phoneticPr fontId="1" type="noConversion"/>
  </si>
  <si>
    <t>010-2831-3999</t>
    <phoneticPr fontId="1" type="noConversion"/>
  </si>
  <si>
    <t>010-5359-6869</t>
    <phoneticPr fontId="1" type="noConversion"/>
  </si>
  <si>
    <t>010-6399-3300</t>
    <phoneticPr fontId="1" type="noConversion"/>
  </si>
  <si>
    <t>8월23일</t>
    <phoneticPr fontId="1" type="noConversion"/>
  </si>
  <si>
    <t>남구 달동1347-15번지 3층</t>
    <phoneticPr fontId="1" type="noConversion"/>
  </si>
  <si>
    <t>010-2716-7353</t>
    <phoneticPr fontId="1" type="noConversion"/>
  </si>
  <si>
    <t xml:space="preserve">500*1000*2000 4단 무.양
400*1600*2000 2열 5단 무.양
400*1200*1200 3단 무.양
400*900*2100 3단 무.양 2행거 2조
400*900*2100 3단 무.양 1행거
</t>
    <phoneticPr fontId="1" type="noConversion"/>
  </si>
  <si>
    <t>계좌이체</t>
    <phoneticPr fontId="1" type="noConversion"/>
  </si>
  <si>
    <t>500*700*2100 5단 무.양
500*1200*1200 3단 무.양</t>
    <phoneticPr fontId="1" type="noConversion"/>
  </si>
  <si>
    <t>300*600*1800 5단 무.양</t>
    <phoneticPr fontId="1" type="noConversion"/>
  </si>
  <si>
    <t>계좌이체</t>
    <phoneticPr fontId="1" type="noConversion"/>
  </si>
  <si>
    <t>8월23일</t>
    <phoneticPr fontId="1" type="noConversion"/>
  </si>
  <si>
    <t>한솔그린빌</t>
    <phoneticPr fontId="1" type="noConversion"/>
  </si>
  <si>
    <t>계좌이체</t>
    <phoneticPr fontId="1" type="noConversion"/>
  </si>
  <si>
    <t>8월24일</t>
    <phoneticPr fontId="1" type="noConversion"/>
  </si>
  <si>
    <t>8월25일</t>
    <phoneticPr fontId="1" type="noConversion"/>
  </si>
  <si>
    <t>두동주택</t>
    <phoneticPr fontId="1" type="noConversion"/>
  </si>
  <si>
    <t xml:space="preserve">동문아뮤티 </t>
    <phoneticPr fontId="1" type="noConversion"/>
  </si>
  <si>
    <t>호계주공아파트111동105동</t>
    <phoneticPr fontId="1" type="noConversion"/>
  </si>
  <si>
    <t>블라인드 3창</t>
    <phoneticPr fontId="1" type="noConversion"/>
  </si>
  <si>
    <t>계좌이체</t>
    <phoneticPr fontId="1" type="noConversion"/>
  </si>
  <si>
    <t>계좌이체</t>
    <phoneticPr fontId="1" type="noConversion"/>
  </si>
  <si>
    <t>8월25일</t>
    <phoneticPr fontId="1" type="noConversion"/>
  </si>
  <si>
    <t>현대아이파크 반천</t>
    <phoneticPr fontId="1" type="noConversion"/>
  </si>
  <si>
    <t xml:space="preserve">구영로94 메인프라자107호 별난과일 </t>
    <phoneticPr fontId="1" type="noConversion"/>
  </si>
  <si>
    <t>010-5882-4676</t>
    <phoneticPr fontId="1" type="noConversion"/>
  </si>
  <si>
    <t>500*1200*1800 4단 무.일</t>
    <phoneticPr fontId="1" type="noConversion"/>
  </si>
  <si>
    <t>8월26일</t>
    <phoneticPr fontId="1" type="noConversion"/>
  </si>
  <si>
    <t>대공원앞 샤브샤브</t>
    <phoneticPr fontId="1" type="noConversion"/>
  </si>
  <si>
    <t>카드</t>
    <phoneticPr fontId="1" type="noConversion"/>
  </si>
  <si>
    <t>계좌이체</t>
    <phoneticPr fontId="1" type="noConversion"/>
  </si>
  <si>
    <t>재료포장</t>
    <phoneticPr fontId="1" type="noConversion"/>
  </si>
  <si>
    <t>재료포장</t>
    <phoneticPr fontId="1" type="noConversion"/>
  </si>
  <si>
    <t>카드</t>
    <phoneticPr fontId="1" type="noConversion"/>
  </si>
  <si>
    <t>현금</t>
    <phoneticPr fontId="1" type="noConversion"/>
  </si>
  <si>
    <t>현금</t>
    <phoneticPr fontId="1" type="noConversion"/>
  </si>
  <si>
    <t>계쫘이체</t>
    <phoneticPr fontId="1" type="noConversion"/>
  </si>
  <si>
    <t>계좌이체</t>
    <phoneticPr fontId="1" type="noConversion"/>
  </si>
  <si>
    <t>8월28일</t>
    <phoneticPr fontId="1" type="noConversion"/>
  </si>
  <si>
    <t>재료포장</t>
    <phoneticPr fontId="1" type="noConversion"/>
  </si>
  <si>
    <t>8월28일</t>
    <phoneticPr fontId="1" type="noConversion"/>
  </si>
  <si>
    <t>번영로 더샵 103동303호</t>
    <phoneticPr fontId="1" type="noConversion"/>
  </si>
  <si>
    <t>계좌이체</t>
    <phoneticPr fontId="1" type="noConversion"/>
  </si>
  <si>
    <t>현금</t>
    <phoneticPr fontId="1" type="noConversion"/>
  </si>
  <si>
    <t>4차전 3,419,000</t>
    <phoneticPr fontId="1" type="noConversion"/>
  </si>
  <si>
    <t>카드</t>
    <phoneticPr fontId="1" type="noConversion"/>
  </si>
  <si>
    <t>하나빌리지</t>
    <phoneticPr fontId="1" type="noConversion"/>
  </si>
  <si>
    <t>시스템 선반 ㄱ자</t>
    <phoneticPr fontId="1" type="noConversion"/>
  </si>
  <si>
    <t>시스템선반 11자형</t>
    <phoneticPr fontId="1" type="noConversion"/>
  </si>
  <si>
    <t>8월30일</t>
    <phoneticPr fontId="1" type="noConversion"/>
  </si>
  <si>
    <t>시스템</t>
    <phoneticPr fontId="1" type="noConversion"/>
  </si>
  <si>
    <t>앵글</t>
    <phoneticPr fontId="1" type="noConversion"/>
  </si>
  <si>
    <t>커튼 블라인드</t>
    <phoneticPr fontId="1" type="noConversion"/>
  </si>
  <si>
    <t>우성201동1404호</t>
    <phoneticPr fontId="1" type="noConversion"/>
  </si>
  <si>
    <t>블라인드 3창 커튼 2창</t>
    <phoneticPr fontId="1" type="noConversion"/>
  </si>
  <si>
    <t>재료배달  3조</t>
    <phoneticPr fontId="1" type="noConversion"/>
  </si>
  <si>
    <t>500*3200*2000 3열 4단 1조
600*600*2000 4단 무.일</t>
    <phoneticPr fontId="1" type="noConversion"/>
  </si>
  <si>
    <t>500*900*2000 4단 무.양 2조</t>
    <phoneticPr fontId="1" type="noConversion"/>
  </si>
  <si>
    <t>8월26일</t>
    <phoneticPr fontId="1" type="noConversion"/>
  </si>
  <si>
    <t>계좌이체</t>
    <phoneticPr fontId="1" type="noConversion"/>
  </si>
  <si>
    <t>5차전 1,715,000</t>
    <phoneticPr fontId="1" type="noConversion"/>
  </si>
  <si>
    <t>2022년 9월  매출현황</t>
    <phoneticPr fontId="1" type="noConversion"/>
  </si>
  <si>
    <t>2022년 8월  매출현황</t>
    <phoneticPr fontId="1" type="noConversion"/>
  </si>
  <si>
    <t>9월1일</t>
    <phoneticPr fontId="1" type="noConversion"/>
  </si>
  <si>
    <t>9월1일</t>
    <phoneticPr fontId="1" type="noConversion"/>
  </si>
  <si>
    <t>9월2일</t>
    <phoneticPr fontId="1" type="noConversion"/>
  </si>
  <si>
    <t>9월2일</t>
    <phoneticPr fontId="1" type="noConversion"/>
  </si>
  <si>
    <t>9월4일</t>
    <phoneticPr fontId="1" type="noConversion"/>
  </si>
  <si>
    <t>9월4일</t>
    <phoneticPr fontId="1" type="noConversion"/>
  </si>
  <si>
    <t>재료포장</t>
    <phoneticPr fontId="1" type="noConversion"/>
  </si>
  <si>
    <t>600*1100*1500 3단 무.일</t>
    <phoneticPr fontId="1" type="noConversion"/>
  </si>
  <si>
    <t>계좌이체</t>
    <phoneticPr fontId="1" type="noConversion"/>
  </si>
  <si>
    <t>승빈이집</t>
    <phoneticPr fontId="1" type="noConversion"/>
  </si>
  <si>
    <t>중구일신아파트</t>
    <phoneticPr fontId="1" type="noConversion"/>
  </si>
  <si>
    <t>1차전 998,000</t>
    <phoneticPr fontId="1" type="noConversion"/>
  </si>
  <si>
    <t>계좌이체</t>
    <phoneticPr fontId="1" type="noConversion"/>
  </si>
  <si>
    <t>9월4일</t>
    <phoneticPr fontId="1" type="noConversion"/>
  </si>
  <si>
    <t>재료포장</t>
    <phoneticPr fontId="1" type="noConversion"/>
  </si>
  <si>
    <t>500*1100*2100 4단 무.양</t>
    <phoneticPr fontId="1" type="noConversion"/>
  </si>
  <si>
    <t>600*800*2100 3단 무.양</t>
    <phoneticPr fontId="1" type="noConversion"/>
  </si>
  <si>
    <t>시스템선반</t>
    <phoneticPr fontId="1" type="noConversion"/>
  </si>
  <si>
    <t>재료배달</t>
    <phoneticPr fontId="1" type="noConversion"/>
  </si>
  <si>
    <t>유니스트404동301동</t>
    <phoneticPr fontId="1" type="noConversion"/>
  </si>
  <si>
    <t>계좌이체</t>
    <phoneticPr fontId="1" type="noConversion"/>
  </si>
  <si>
    <t xml:space="preserve"> 구영리 주공아파트2차 </t>
    <phoneticPr fontId="1" type="noConversion"/>
  </si>
  <si>
    <t>카드</t>
    <phoneticPr fontId="1" type="noConversion"/>
  </si>
  <si>
    <t>현금</t>
    <phoneticPr fontId="1" type="noConversion"/>
  </si>
  <si>
    <t>9월5일</t>
    <phoneticPr fontId="1" type="noConversion"/>
  </si>
  <si>
    <t>계좌이체</t>
    <phoneticPr fontId="1" type="noConversion"/>
  </si>
  <si>
    <t>블라인드 6창</t>
    <phoneticPr fontId="1" type="noConversion"/>
  </si>
  <si>
    <t>반천 주택 아저씨</t>
    <phoneticPr fontId="1" type="noConversion"/>
  </si>
  <si>
    <t>010-6370-5383</t>
    <phoneticPr fontId="1" type="noConversion"/>
  </si>
  <si>
    <t>재료포장</t>
    <phoneticPr fontId="1" type="noConversion"/>
  </si>
  <si>
    <t>히치</t>
    <phoneticPr fontId="1" type="noConversion"/>
  </si>
  <si>
    <t>010-4572-1183</t>
    <phoneticPr fontId="1" type="noConversion"/>
  </si>
  <si>
    <t>600*2300*1500 4단 2열 무.테
500*1100 3단 무.테
400*1800*2100 4단 무.일</t>
    <phoneticPr fontId="1" type="noConversion"/>
  </si>
  <si>
    <t>무거동 북부순환도로54</t>
    <phoneticPr fontId="1" type="noConversion"/>
  </si>
  <si>
    <t>세명아파트406호</t>
    <phoneticPr fontId="1" type="noConversion"/>
  </si>
  <si>
    <t>삼남 4층 빌라</t>
    <phoneticPr fontId="1" type="noConversion"/>
  </si>
  <si>
    <t>400*1000*2000 4단 무.일</t>
    <phoneticPr fontId="1" type="noConversion"/>
  </si>
  <si>
    <t>620 흰색</t>
    <phoneticPr fontId="1" type="noConversion"/>
  </si>
  <si>
    <t>600*900*2000 2단 2조</t>
    <phoneticPr fontId="1" type="noConversion"/>
  </si>
  <si>
    <t>700*800*2000 4단 무.일</t>
    <phoneticPr fontId="1" type="noConversion"/>
  </si>
  <si>
    <t>300*800*870 3단 무.일</t>
    <phoneticPr fontId="1" type="noConversion"/>
  </si>
  <si>
    <t>계산서 발행</t>
    <phoneticPr fontId="1" type="noConversion"/>
  </si>
  <si>
    <t>9월5일</t>
    <phoneticPr fontId="1" type="noConversion"/>
  </si>
  <si>
    <t>대공원현대아파트</t>
    <phoneticPr fontId="1" type="noConversion"/>
  </si>
  <si>
    <t>700*900*1800 3단 무.일</t>
    <phoneticPr fontId="1" type="noConversion"/>
  </si>
  <si>
    <t>9월6일</t>
    <phoneticPr fontId="1" type="noConversion"/>
  </si>
  <si>
    <t>구영리 푸르지오 102동806호</t>
    <phoneticPr fontId="1" type="noConversion"/>
  </si>
  <si>
    <t>계좌이체</t>
    <phoneticPr fontId="1" type="noConversion"/>
  </si>
  <si>
    <t xml:space="preserve">우정동 </t>
    <phoneticPr fontId="1" type="noConversion"/>
  </si>
  <si>
    <t>600*900*2000 4단 무.양
400*1200*2000 5단 무.양</t>
    <phoneticPr fontId="1" type="noConversion"/>
  </si>
  <si>
    <t>600*1600*2000 4단 무.양</t>
    <phoneticPr fontId="1" type="noConversion"/>
  </si>
  <si>
    <t>계좌이체</t>
    <phoneticPr fontId="1" type="noConversion"/>
  </si>
  <si>
    <t>9월7일</t>
    <phoneticPr fontId="1" type="noConversion"/>
  </si>
  <si>
    <t>상북파출소</t>
    <phoneticPr fontId="1" type="noConversion"/>
  </si>
  <si>
    <t>이편한세상</t>
    <phoneticPr fontId="1" type="noConversion"/>
  </si>
  <si>
    <t>카드</t>
    <phoneticPr fontId="1" type="noConversion"/>
  </si>
  <si>
    <t>9월7일</t>
    <phoneticPr fontId="1" type="noConversion"/>
  </si>
  <si>
    <t>재료포장</t>
    <phoneticPr fontId="1" type="noConversion"/>
  </si>
  <si>
    <t>500*3000*1800 3단 무.일</t>
    <phoneticPr fontId="1" type="noConversion"/>
  </si>
  <si>
    <t>카드</t>
    <phoneticPr fontId="1" type="noConversion"/>
  </si>
  <si>
    <t>500*1000*2000 4단 무.양</t>
    <phoneticPr fontId="1" type="noConversion"/>
  </si>
  <si>
    <t>계좌이체</t>
    <phoneticPr fontId="1" type="noConversion"/>
  </si>
  <si>
    <t>9월8일</t>
    <phoneticPr fontId="1" type="noConversion"/>
  </si>
  <si>
    <t>남외동 파인빌</t>
    <phoneticPr fontId="1" type="noConversion"/>
  </si>
  <si>
    <t>400*1000*2100 3단 무.양 행거2
400*800*2100 3단 무.양 1행거</t>
    <phoneticPr fontId="1" type="noConversion"/>
  </si>
  <si>
    <t>계좌이체</t>
    <phoneticPr fontId="1" type="noConversion"/>
  </si>
  <si>
    <t>620앵글</t>
    <phoneticPr fontId="1" type="noConversion"/>
  </si>
  <si>
    <t>9월9일</t>
    <phoneticPr fontId="1" type="noConversion"/>
  </si>
  <si>
    <t>9월8일</t>
    <phoneticPr fontId="1" type="noConversion"/>
  </si>
  <si>
    <t>재료포장</t>
    <phoneticPr fontId="1" type="noConversion"/>
  </si>
  <si>
    <t>계좌이체</t>
    <phoneticPr fontId="1" type="noConversion"/>
  </si>
  <si>
    <t>620 앵글</t>
    <phoneticPr fontId="1" type="noConversion"/>
  </si>
  <si>
    <t>9월9일</t>
    <phoneticPr fontId="1" type="noConversion"/>
  </si>
  <si>
    <t>탑차안쪽</t>
    <phoneticPr fontId="1" type="noConversion"/>
  </si>
  <si>
    <t xml:space="preserve">부산 </t>
    <phoneticPr fontId="1" type="noConversion"/>
  </si>
  <si>
    <t>620 2300</t>
    <phoneticPr fontId="1" type="noConversion"/>
  </si>
  <si>
    <t>현금</t>
    <phoneticPr fontId="1" type="noConversion"/>
  </si>
  <si>
    <t>9월11일</t>
    <phoneticPr fontId="1" type="noConversion"/>
  </si>
  <si>
    <t>재료포장</t>
    <phoneticPr fontId="1" type="noConversion"/>
  </si>
  <si>
    <t>헌양읍 신발가게</t>
    <phoneticPr fontId="1" type="noConversion"/>
  </si>
  <si>
    <t>계좌이체</t>
    <phoneticPr fontId="1" type="noConversion"/>
  </si>
  <si>
    <t>계좌이체</t>
    <phoneticPr fontId="1" type="noConversion"/>
  </si>
  <si>
    <t>2차전 5,460,000</t>
    <phoneticPr fontId="1" type="noConversion"/>
  </si>
  <si>
    <t>9월12일</t>
    <phoneticPr fontId="1" type="noConversion"/>
  </si>
  <si>
    <t>서울산 휴아파트 101동602호</t>
    <phoneticPr fontId="1" type="noConversion"/>
  </si>
  <si>
    <t>계좌이체</t>
    <phoneticPr fontId="1" type="noConversion"/>
  </si>
  <si>
    <t>앵글 재설치 분해</t>
    <phoneticPr fontId="1" type="noConversion"/>
  </si>
  <si>
    <t>현금</t>
    <phoneticPr fontId="1" type="noConversion"/>
  </si>
  <si>
    <t>구영 호반 101동1702호</t>
    <phoneticPr fontId="1" type="noConversion"/>
  </si>
  <si>
    <t>카드</t>
    <phoneticPr fontId="1" type="noConversion"/>
  </si>
  <si>
    <t>9월12일</t>
    <phoneticPr fontId="1" type="noConversion"/>
  </si>
  <si>
    <t>재료포장</t>
    <phoneticPr fontId="1" type="noConversion"/>
  </si>
  <si>
    <t>620 1500*2000*400 2단 2열</t>
    <phoneticPr fontId="1" type="noConversion"/>
  </si>
  <si>
    <t>현금</t>
    <phoneticPr fontId="1" type="noConversion"/>
  </si>
  <si>
    <t>9월13일</t>
    <phoneticPr fontId="1" type="noConversion"/>
  </si>
  <si>
    <t>재료포장</t>
    <phoneticPr fontId="1" type="noConversion"/>
  </si>
  <si>
    <t>9월14일</t>
    <phoneticPr fontId="1" type="noConversion"/>
  </si>
  <si>
    <t>9월14일</t>
    <phoneticPr fontId="1" type="noConversion"/>
  </si>
  <si>
    <t>계산서 발행</t>
    <phoneticPr fontId="1" type="noConversion"/>
  </si>
  <si>
    <t>현금</t>
    <phoneticPr fontId="1" type="noConversion"/>
  </si>
  <si>
    <t>삼산동 1513-15 1층 백림</t>
    <phoneticPr fontId="1" type="noConversion"/>
  </si>
  <si>
    <t>010-9669-1314</t>
    <phoneticPr fontId="1" type="noConversion"/>
  </si>
  <si>
    <t>600*1900*2100 2열 5단 무.일
400*1400*1500 4단 무.일</t>
    <phoneticPr fontId="1" type="noConversion"/>
  </si>
  <si>
    <t>010-4107-5956</t>
    <phoneticPr fontId="1" type="noConversion"/>
  </si>
  <si>
    <t>500*1100*2100 3단 무.일
400*900*1500 3단 무.일
400*600*2000 3단 무.양</t>
    <phoneticPr fontId="1" type="noConversion"/>
  </si>
  <si>
    <t>010-3509-8161</t>
    <phoneticPr fontId="1" type="noConversion"/>
  </si>
  <si>
    <t>300*300*1900 5단 무.일
350*400*1800 5단 무.일</t>
    <phoneticPr fontId="1" type="noConversion"/>
  </si>
  <si>
    <t>400*700*2100 4단 무.양</t>
    <phoneticPr fontId="1" type="noConversion"/>
  </si>
  <si>
    <t>600*6000*1500 4열 4단
600*4800*1500 4열 4단</t>
    <phoneticPr fontId="1" type="noConversion"/>
  </si>
  <si>
    <t>계산서발행</t>
    <phoneticPr fontId="1" type="noConversion"/>
  </si>
  <si>
    <t>010-6606-0852</t>
    <phoneticPr fontId="1" type="noConversion"/>
  </si>
  <si>
    <t>010-9668-4015</t>
    <phoneticPr fontId="1" type="noConversion"/>
  </si>
  <si>
    <t>010-3639-7164</t>
    <phoneticPr fontId="1" type="noConversion"/>
  </si>
  <si>
    <t>재료판매(당근)</t>
    <phoneticPr fontId="1" type="noConversion"/>
  </si>
  <si>
    <t>9월15일</t>
    <phoneticPr fontId="1" type="noConversion"/>
  </si>
  <si>
    <t>재료판매</t>
    <phoneticPr fontId="1" type="noConversion"/>
  </si>
  <si>
    <t>현금</t>
    <phoneticPr fontId="1" type="noConversion"/>
  </si>
  <si>
    <t>재료판매</t>
    <phoneticPr fontId="1" type="noConversion"/>
  </si>
  <si>
    <t>9월16일</t>
    <phoneticPr fontId="1" type="noConversion"/>
  </si>
  <si>
    <t>현금</t>
    <phoneticPr fontId="1" type="noConversion"/>
  </si>
  <si>
    <t>3차전 1,390,000</t>
    <phoneticPr fontId="1" type="noConversion"/>
  </si>
  <si>
    <t>9월19일</t>
    <phoneticPr fontId="1" type="noConversion"/>
  </si>
  <si>
    <t>삼남읍 빌라</t>
    <phoneticPr fontId="1" type="noConversion"/>
  </si>
  <si>
    <t>성안동 빌라</t>
    <phoneticPr fontId="1" type="noConversion"/>
  </si>
  <si>
    <t>현금</t>
    <phoneticPr fontId="1" type="noConversion"/>
  </si>
  <si>
    <t>9월19일</t>
    <phoneticPr fontId="1" type="noConversion"/>
  </si>
  <si>
    <t>재료포장</t>
    <phoneticPr fontId="1" type="noConversion"/>
  </si>
  <si>
    <t>계좌이체</t>
    <phoneticPr fontId="1" type="noConversion"/>
  </si>
  <si>
    <t>9월20일</t>
    <phoneticPr fontId="1" type="noConversion"/>
  </si>
  <si>
    <t>재료포장</t>
    <phoneticPr fontId="1" type="noConversion"/>
  </si>
  <si>
    <t>계좌이체</t>
    <phoneticPr fontId="1" type="noConversion"/>
  </si>
  <si>
    <t>9월21일</t>
    <phoneticPr fontId="1" type="noConversion"/>
  </si>
  <si>
    <t>현금</t>
    <phoneticPr fontId="1" type="noConversion"/>
  </si>
  <si>
    <t>책장</t>
    <phoneticPr fontId="1" type="noConversion"/>
  </si>
  <si>
    <t>알프스</t>
    <phoneticPr fontId="1" type="noConversion"/>
  </si>
  <si>
    <t>블라인드 2창</t>
    <phoneticPr fontId="1" type="noConversion"/>
  </si>
  <si>
    <t>계좌이체</t>
    <phoneticPr fontId="1" type="noConversion"/>
  </si>
  <si>
    <t>9월22일</t>
    <phoneticPr fontId="1" type="noConversion"/>
  </si>
  <si>
    <t>9월22일</t>
    <phoneticPr fontId="1" type="noConversion"/>
  </si>
  <si>
    <t>9월22일</t>
    <phoneticPr fontId="1" type="noConversion"/>
  </si>
  <si>
    <t>차량안 앵글</t>
    <phoneticPr fontId="1" type="noConversion"/>
  </si>
  <si>
    <t>재료포장</t>
    <phoneticPr fontId="1" type="noConversion"/>
  </si>
  <si>
    <t>카드</t>
    <phoneticPr fontId="1" type="noConversion"/>
  </si>
  <si>
    <t>9월23일</t>
    <phoneticPr fontId="1" type="noConversion"/>
  </si>
  <si>
    <t>경주 외동 쪽</t>
    <phoneticPr fontId="1" type="noConversion"/>
  </si>
  <si>
    <t>재료포장</t>
    <phoneticPr fontId="1" type="noConversion"/>
  </si>
  <si>
    <t>9월23일</t>
    <phoneticPr fontId="1" type="noConversion"/>
  </si>
  <si>
    <t>계좌이체</t>
    <phoneticPr fontId="1" type="noConversion"/>
  </si>
  <si>
    <t>계좌이체</t>
    <phoneticPr fontId="1" type="noConversion"/>
  </si>
  <si>
    <t>동남아파트 중구</t>
    <phoneticPr fontId="1" type="noConversion"/>
  </si>
  <si>
    <t>작업다이 정육점</t>
    <phoneticPr fontId="1" type="noConversion"/>
  </si>
  <si>
    <t>600*2000*2000 2열 4단 무,양</t>
    <phoneticPr fontId="1" type="noConversion"/>
  </si>
  <si>
    <t>620 앵글 보수</t>
    <phoneticPr fontId="1" type="noConversion"/>
  </si>
  <si>
    <t>500*700*1800 5단 무.일</t>
    <phoneticPr fontId="1" type="noConversion"/>
  </si>
  <si>
    <t>620 1100 8개</t>
    <phoneticPr fontId="1" type="noConversion"/>
  </si>
  <si>
    <t>400*1100*1700 3단 무.양
500*700*2000 5단 무.양</t>
    <phoneticPr fontId="1" type="noConversion"/>
  </si>
  <si>
    <t>1000*2000*750 2열 2단 620,테 2조</t>
    <phoneticPr fontId="1" type="noConversion"/>
  </si>
  <si>
    <t>당근마켓 판매완료</t>
    <phoneticPr fontId="1" type="noConversion"/>
  </si>
  <si>
    <t>카드</t>
    <phoneticPr fontId="1" type="noConversion"/>
  </si>
  <si>
    <t>500*</t>
    <phoneticPr fontId="1" type="noConversion"/>
  </si>
  <si>
    <t>해오름 농약집</t>
    <phoneticPr fontId="1" type="noConversion"/>
  </si>
  <si>
    <t>300*900*900 4단 무.양</t>
    <phoneticPr fontId="1" type="noConversion"/>
  </si>
  <si>
    <t>4차전 1,885,000</t>
    <phoneticPr fontId="1" type="noConversion"/>
  </si>
  <si>
    <t>9월25일</t>
    <phoneticPr fontId="1" type="noConversion"/>
  </si>
  <si>
    <t>620 1100 4개</t>
    <phoneticPr fontId="1" type="noConversion"/>
  </si>
  <si>
    <t>9월25일</t>
    <phoneticPr fontId="1" type="noConversion"/>
  </si>
  <si>
    <t>9월26일</t>
    <phoneticPr fontId="1" type="noConversion"/>
  </si>
  <si>
    <t>라바 종합상사</t>
    <phoneticPr fontId="1" type="noConversion"/>
  </si>
  <si>
    <t>다슬기집</t>
    <phoneticPr fontId="1" type="noConversion"/>
  </si>
  <si>
    <t>재료포장</t>
    <phoneticPr fontId="1" type="noConversion"/>
  </si>
  <si>
    <t>동구 옷가게</t>
    <phoneticPr fontId="1" type="noConversion"/>
  </si>
  <si>
    <t>야음동 일동아파트</t>
    <phoneticPr fontId="1" type="noConversion"/>
  </si>
  <si>
    <t>400*2100*2100 2열 6단</t>
    <phoneticPr fontId="1" type="noConversion"/>
  </si>
  <si>
    <t>계좌이체</t>
    <phoneticPr fontId="1" type="noConversion"/>
  </si>
  <si>
    <t>카드</t>
    <phoneticPr fontId="1" type="noConversion"/>
  </si>
  <si>
    <t>계산서</t>
    <phoneticPr fontId="1" type="noConversion"/>
  </si>
  <si>
    <t>계산서</t>
    <phoneticPr fontId="1" type="noConversion"/>
  </si>
  <si>
    <t>현금</t>
    <phoneticPr fontId="1" type="noConversion"/>
  </si>
  <si>
    <t>계좌이체</t>
    <phoneticPr fontId="1" type="noConversion"/>
  </si>
  <si>
    <t>600*1300*2000 2열 5단,3단</t>
    <phoneticPr fontId="1" type="noConversion"/>
  </si>
  <si>
    <t>500*600*1800 5단 무.일 5조</t>
    <phoneticPr fontId="1" type="noConversion"/>
  </si>
  <si>
    <t>600*900*710 2단 무.양 2조</t>
    <phoneticPr fontId="1" type="noConversion"/>
  </si>
  <si>
    <t>600*5000*1250 3단 무.일</t>
    <phoneticPr fontId="1" type="noConversion"/>
  </si>
  <si>
    <t>9월27일</t>
    <phoneticPr fontId="1" type="noConversion"/>
  </si>
  <si>
    <t>010-6693-2645</t>
    <phoneticPr fontId="1" type="noConversion"/>
  </si>
  <si>
    <t>010-5874-7862</t>
    <phoneticPr fontId="1" type="noConversion"/>
  </si>
  <si>
    <t>010-6574-2098</t>
    <phoneticPr fontId="1" type="noConversion"/>
  </si>
  <si>
    <t>두서 납품(아즈택)</t>
    <phoneticPr fontId="1" type="noConversion"/>
  </si>
  <si>
    <t>010-6768-5832</t>
    <phoneticPr fontId="1" type="noConversion"/>
  </si>
  <si>
    <t>010-5359-6869</t>
    <phoneticPr fontId="1" type="noConversion"/>
  </si>
  <si>
    <t>010-4904-3732</t>
    <phoneticPr fontId="1" type="noConversion"/>
  </si>
  <si>
    <t>010-5331-9356</t>
    <phoneticPr fontId="1" type="noConversion"/>
  </si>
  <si>
    <t>010-9489-2206</t>
    <phoneticPr fontId="1" type="noConversion"/>
  </si>
  <si>
    <t>010-7573-5300</t>
    <phoneticPr fontId="1" type="noConversion"/>
  </si>
  <si>
    <t>10월3일</t>
    <phoneticPr fontId="1" type="noConversion"/>
  </si>
  <si>
    <t>재료포장</t>
    <phoneticPr fontId="1" type="noConversion"/>
  </si>
  <si>
    <t>620 앵글</t>
    <phoneticPr fontId="1" type="noConversion"/>
  </si>
  <si>
    <t>신한다솜</t>
    <phoneticPr fontId="1" type="noConversion"/>
  </si>
  <si>
    <t>10월4일</t>
    <phoneticPr fontId="1" type="noConversion"/>
  </si>
  <si>
    <t>10월4일</t>
    <phoneticPr fontId="1" type="noConversion"/>
  </si>
  <si>
    <t>계좌이체</t>
    <phoneticPr fontId="1" type="noConversion"/>
  </si>
  <si>
    <t>계산서</t>
    <phoneticPr fontId="1" type="noConversion"/>
  </si>
  <si>
    <t>10월5일</t>
    <phoneticPr fontId="1" type="noConversion"/>
  </si>
  <si>
    <t>10월5일</t>
    <phoneticPr fontId="1" type="noConversion"/>
  </si>
  <si>
    <t>삼산동 썬팅집</t>
    <phoneticPr fontId="1" type="noConversion"/>
  </si>
  <si>
    <t>썬덴코리아</t>
    <phoneticPr fontId="1" type="noConversion"/>
  </si>
  <si>
    <t>블라인드 2창</t>
    <phoneticPr fontId="1" type="noConversion"/>
  </si>
  <si>
    <t>번영로 센트리지 502동1401호</t>
    <phoneticPr fontId="1" type="noConversion"/>
  </si>
  <si>
    <t>600*1100*1800 4단 무.양
500*1200*2100 3단 무.양</t>
    <phoneticPr fontId="1" type="noConversion"/>
  </si>
  <si>
    <t>500*4400*2000 4열 4단 무.양
600*1500*2000 7단 무.일</t>
    <phoneticPr fontId="1" type="noConversion"/>
  </si>
  <si>
    <t>300*800*1100 3단 무.양
500*800*2000 3단 무.양</t>
    <phoneticPr fontId="1" type="noConversion"/>
  </si>
  <si>
    <t>경량렉 중고</t>
    <phoneticPr fontId="1" type="noConversion"/>
  </si>
  <si>
    <t>10월6일</t>
    <phoneticPr fontId="1" type="noConversion"/>
  </si>
  <si>
    <t>국도빌라 신정동</t>
    <phoneticPr fontId="1" type="noConversion"/>
  </si>
  <si>
    <t>010-2882-3208</t>
    <phoneticPr fontId="1" type="noConversion"/>
  </si>
  <si>
    <t xml:space="preserve">시스템선반 </t>
    <phoneticPr fontId="1" type="noConversion"/>
  </si>
  <si>
    <t>계좌이체</t>
    <phoneticPr fontId="1" type="noConversion"/>
  </si>
  <si>
    <t>계좌이체</t>
    <phoneticPr fontId="1" type="noConversion"/>
  </si>
  <si>
    <t>삼산동 도배집</t>
    <phoneticPr fontId="1" type="noConversion"/>
  </si>
  <si>
    <t>10월7일</t>
    <phoneticPr fontId="1" type="noConversion"/>
  </si>
  <si>
    <t>10월7일</t>
    <phoneticPr fontId="1" type="noConversion"/>
  </si>
  <si>
    <t>10월3일</t>
    <phoneticPr fontId="1" type="noConversion"/>
  </si>
  <si>
    <t>10월7일</t>
    <phoneticPr fontId="1" type="noConversion"/>
  </si>
  <si>
    <t>코코 클래식 삼산</t>
    <phoneticPr fontId="1" type="noConversion"/>
  </si>
  <si>
    <t xml:space="preserve">시스템선반 </t>
    <phoneticPr fontId="1" type="noConversion"/>
  </si>
  <si>
    <t>계좌이체</t>
    <phoneticPr fontId="1" type="noConversion"/>
  </si>
  <si>
    <t>10월9일</t>
    <phoneticPr fontId="1" type="noConversion"/>
  </si>
  <si>
    <t>국도빌라</t>
    <phoneticPr fontId="1" type="noConversion"/>
  </si>
  <si>
    <t>병영로 센트리지507동1202호</t>
    <phoneticPr fontId="1" type="noConversion"/>
  </si>
  <si>
    <t>010-8522-2023</t>
    <phoneticPr fontId="1" type="noConversion"/>
  </si>
  <si>
    <t>1차전 4,600,000</t>
    <phoneticPr fontId="1" type="noConversion"/>
  </si>
  <si>
    <t>경동태원</t>
    <phoneticPr fontId="1" type="noConversion"/>
  </si>
  <si>
    <t>400*2400*1800 2열 4단 무.양</t>
    <phoneticPr fontId="1" type="noConversion"/>
  </si>
  <si>
    <t>500*1000*1800 3단 무.양
400*700*2000 5단 무.양</t>
    <phoneticPr fontId="1" type="noConversion"/>
  </si>
  <si>
    <t>계좌이체</t>
    <phoneticPr fontId="1" type="noConversion"/>
  </si>
  <si>
    <t>10월10일</t>
    <phoneticPr fontId="1" type="noConversion"/>
  </si>
  <si>
    <t>재료포장</t>
    <phoneticPr fontId="1" type="noConversion"/>
  </si>
  <si>
    <t>500*900*1800 3단 무,.양
600*900*2000 3단 무.양</t>
    <phoneticPr fontId="1" type="noConversion"/>
  </si>
  <si>
    <t>계좌이체</t>
    <phoneticPr fontId="1" type="noConversion"/>
  </si>
  <si>
    <t>400*900*1200 3단 무.양</t>
    <phoneticPr fontId="1" type="noConversion"/>
  </si>
  <si>
    <t>동문 아파트102동1702호</t>
    <phoneticPr fontId="1" type="noConversion"/>
  </si>
  <si>
    <t>10월11일</t>
    <phoneticPr fontId="1" type="noConversion"/>
  </si>
  <si>
    <t>10월11일</t>
    <phoneticPr fontId="1" type="noConversion"/>
  </si>
  <si>
    <t>10월12일</t>
    <phoneticPr fontId="1" type="noConversion"/>
  </si>
  <si>
    <t>계좌이체</t>
    <phoneticPr fontId="1" type="noConversion"/>
  </si>
  <si>
    <t>계좌이체</t>
    <phoneticPr fontId="1" type="noConversion"/>
  </si>
  <si>
    <t>방기2길20-1 태양그린빌</t>
    <phoneticPr fontId="1" type="noConversion"/>
  </si>
  <si>
    <t xml:space="preserve">블라인드 2창 
500*3500*1800 3열 3단 
400*1200*1800 4단 </t>
    <phoneticPr fontId="1" type="noConversion"/>
  </si>
  <si>
    <t>010-4478-8531</t>
    <phoneticPr fontId="1" type="noConversion"/>
  </si>
  <si>
    <t>번영로 센트리지 203동1802호</t>
    <phoneticPr fontId="1" type="noConversion"/>
  </si>
  <si>
    <t>250*900*2000 4단 아이보리.양
300*900*2100 3단 무.양
500*1100*1800 4단 무.양
500*800*1100 2단 무.양</t>
    <phoneticPr fontId="1" type="noConversion"/>
  </si>
  <si>
    <t>010-3380-6672</t>
    <phoneticPr fontId="1" type="noConversion"/>
  </si>
  <si>
    <t>대겸이집</t>
    <phoneticPr fontId="1" type="noConversion"/>
  </si>
  <si>
    <t>커튼 2 블라인드 4창</t>
    <phoneticPr fontId="1" type="noConversion"/>
  </si>
  <si>
    <t>500*1100*2100 5단 무.양
400*1200*2100 3단 무,양</t>
    <phoneticPr fontId="1" type="noConversion"/>
  </si>
  <si>
    <t>번영로 센트리지 402동1105호</t>
    <phoneticPr fontId="1" type="noConversion"/>
  </si>
  <si>
    <t xml:space="preserve">시스템선반 </t>
    <phoneticPr fontId="1" type="noConversion"/>
  </si>
  <si>
    <t>서울주문화센터</t>
    <phoneticPr fontId="1" type="noConversion"/>
  </si>
  <si>
    <t>450*1200*2100 5단 3조</t>
    <phoneticPr fontId="1" type="noConversion"/>
  </si>
  <si>
    <t>010-8522-2023</t>
    <phoneticPr fontId="1" type="noConversion"/>
  </si>
  <si>
    <t>번영로 센트리지 507동1202호</t>
    <phoneticPr fontId="1" type="noConversion"/>
  </si>
  <si>
    <t>010-8836-0894</t>
    <phoneticPr fontId="1" type="noConversion"/>
  </si>
  <si>
    <t>카드 결제완료</t>
    <phoneticPr fontId="1" type="noConversion"/>
  </si>
  <si>
    <t>2차전 5,482,000</t>
    <phoneticPr fontId="1" type="noConversion"/>
  </si>
  <si>
    <t>계좌이체</t>
    <phoneticPr fontId="1" type="noConversion"/>
  </si>
  <si>
    <t>계좌이체</t>
    <phoneticPr fontId="1" type="noConversion"/>
  </si>
  <si>
    <t>윤겸이 누나집</t>
    <phoneticPr fontId="1" type="noConversion"/>
  </si>
  <si>
    <t>동부주공아파트103동802호</t>
    <phoneticPr fontId="1" type="noConversion"/>
  </si>
  <si>
    <t>10월14일</t>
    <phoneticPr fontId="1" type="noConversion"/>
  </si>
  <si>
    <t>웅촌면 곡천검단로242</t>
    <phoneticPr fontId="1" type="noConversion"/>
  </si>
  <si>
    <t>600*2400*1700 2단 무.일</t>
    <phoneticPr fontId="1" type="noConversion"/>
  </si>
  <si>
    <t>10월16일</t>
    <phoneticPr fontId="1" type="noConversion"/>
  </si>
  <si>
    <t>번영로센트리지507동1204호</t>
    <phoneticPr fontId="1" type="noConversion"/>
  </si>
  <si>
    <t>계좌이체</t>
    <phoneticPr fontId="1" type="noConversion"/>
  </si>
  <si>
    <t>경주 에일린의뜰</t>
    <phoneticPr fontId="1" type="noConversion"/>
  </si>
  <si>
    <t>10월16일</t>
    <phoneticPr fontId="1" type="noConversion"/>
  </si>
  <si>
    <t>현이 노래방</t>
    <phoneticPr fontId="1" type="noConversion"/>
  </si>
  <si>
    <t>현금</t>
    <phoneticPr fontId="1" type="noConversion"/>
  </si>
  <si>
    <t>계좌이체</t>
    <phoneticPr fontId="1" type="noConversion"/>
  </si>
  <si>
    <t>계좌이체</t>
    <phoneticPr fontId="1" type="noConversion"/>
  </si>
  <si>
    <t>10월17일</t>
    <phoneticPr fontId="1" type="noConversion"/>
  </si>
  <si>
    <t>중구 신기길</t>
    <phoneticPr fontId="1" type="noConversion"/>
  </si>
  <si>
    <t>계좌이체</t>
    <phoneticPr fontId="1" type="noConversion"/>
  </si>
  <si>
    <t>300*1400*2100 4단 무,일
300*2100*2100 4단 무,일</t>
    <phoneticPr fontId="1" type="noConversion"/>
  </si>
  <si>
    <t>계좌이체</t>
    <phoneticPr fontId="1" type="noConversion"/>
  </si>
  <si>
    <t>10월18일</t>
    <phoneticPr fontId="1" type="noConversion"/>
  </si>
  <si>
    <t>300*800*1800 4단</t>
    <phoneticPr fontId="1" type="noConversion"/>
  </si>
  <si>
    <t>500*900*2000 5단 무,양
400*800*2000 4단 무.양</t>
    <phoneticPr fontId="1" type="noConversion"/>
  </si>
  <si>
    <t>10월19일</t>
    <phoneticPr fontId="1" type="noConversion"/>
  </si>
  <si>
    <t>세금계산서</t>
    <phoneticPr fontId="1" type="noConversion"/>
  </si>
  <si>
    <t>10월20일</t>
    <phoneticPr fontId="1" type="noConversion"/>
  </si>
  <si>
    <t>10월21일</t>
    <phoneticPr fontId="1" type="noConversion"/>
  </si>
  <si>
    <t>계좌이체</t>
    <phoneticPr fontId="1" type="noConversion"/>
  </si>
  <si>
    <t>블라인드3창</t>
    <phoneticPr fontId="1" type="noConversion"/>
  </si>
  <si>
    <t>건강드드림약국</t>
    <phoneticPr fontId="1" type="noConversion"/>
  </si>
  <si>
    <t>덕신 무림피앤피</t>
    <phoneticPr fontId="1" type="noConversion"/>
  </si>
  <si>
    <t>센트리지 403동2001</t>
    <phoneticPr fontId="1" type="noConversion"/>
  </si>
  <si>
    <t>계좌이체</t>
    <phoneticPr fontId="1" type="noConversion"/>
  </si>
  <si>
    <t>통도사 주택</t>
    <phoneticPr fontId="1" type="noConversion"/>
  </si>
  <si>
    <t>열추가 기둥2 폭 3</t>
    <phoneticPr fontId="1" type="noConversion"/>
  </si>
  <si>
    <t>카드 결제완료</t>
    <phoneticPr fontId="1" type="noConversion"/>
  </si>
  <si>
    <t>10월23일</t>
    <phoneticPr fontId="1" type="noConversion"/>
  </si>
  <si>
    <t>서부청소년수련관</t>
    <phoneticPr fontId="1" type="noConversion"/>
  </si>
  <si>
    <t>10월23일</t>
    <phoneticPr fontId="1" type="noConversion"/>
  </si>
  <si>
    <t>시스템선반 가로1195 가로1850 가로195</t>
    <phoneticPr fontId="1" type="noConversion"/>
  </si>
  <si>
    <t>계좌이체</t>
    <phoneticPr fontId="1" type="noConversion"/>
  </si>
  <si>
    <t>10월23일</t>
    <phoneticPr fontId="1" type="noConversion"/>
  </si>
  <si>
    <t>현금영수증</t>
    <phoneticPr fontId="1" type="noConversion"/>
  </si>
  <si>
    <t>동천4길 31 두강팔레트 1006호</t>
    <phoneticPr fontId="1" type="noConversion"/>
  </si>
  <si>
    <t>010-9137-9178</t>
    <phoneticPr fontId="1" type="noConversion"/>
  </si>
  <si>
    <t>400*1200*2000 3단 무.양
400*800*1100 2단 무.양
400*1000*1800 4단 무.양</t>
    <phoneticPr fontId="1" type="noConversion"/>
  </si>
  <si>
    <t>에일린의뜰 302동1401호</t>
    <phoneticPr fontId="1" type="noConversion"/>
  </si>
  <si>
    <t>010-9922-2923</t>
    <phoneticPr fontId="1" type="noConversion"/>
  </si>
  <si>
    <t>010-9595-2382</t>
    <phoneticPr fontId="1" type="noConversion"/>
  </si>
  <si>
    <t>600*3000*1800 3단 무.일
600*2700*1800 3단 무,일</t>
    <phoneticPr fontId="1" type="noConversion"/>
  </si>
  <si>
    <t>블라인드 4창 
500*700*2000 4단 무.양</t>
    <phoneticPr fontId="1" type="noConversion"/>
  </si>
  <si>
    <t>010-6693-2645</t>
    <phoneticPr fontId="1" type="noConversion"/>
  </si>
  <si>
    <t>250*2000*1800 5단 무.일
250*1800*1100 3단 무.일</t>
    <phoneticPr fontId="1" type="noConversion"/>
  </si>
  <si>
    <t>010-2328-3076</t>
    <phoneticPr fontId="1" type="noConversion"/>
  </si>
  <si>
    <t>방기2길20-1 태양그린빌</t>
    <phoneticPr fontId="1" type="noConversion"/>
  </si>
  <si>
    <t>010-4478-8531</t>
    <phoneticPr fontId="1" type="noConversion"/>
  </si>
  <si>
    <t>500*1000*2000 3단 무.양</t>
    <phoneticPr fontId="1" type="noConversion"/>
  </si>
  <si>
    <t>010-4633-3883</t>
    <phoneticPr fontId="1" type="noConversion"/>
  </si>
  <si>
    <t>3차전 3,590,000</t>
    <phoneticPr fontId="1" type="noConversion"/>
  </si>
  <si>
    <t>10월24일</t>
    <phoneticPr fontId="1" type="noConversion"/>
  </si>
  <si>
    <t>10월24일</t>
    <phoneticPr fontId="1" type="noConversion"/>
  </si>
  <si>
    <t>LH주공아파트 2단지206동803호</t>
    <phoneticPr fontId="1" type="noConversion"/>
  </si>
  <si>
    <t>010-4852-8636</t>
    <phoneticPr fontId="1" type="noConversion"/>
  </si>
  <si>
    <t>600*2200*1800 3단 무.양</t>
    <phoneticPr fontId="1" type="noConversion"/>
  </si>
  <si>
    <t>농협위 주간보호센터</t>
    <phoneticPr fontId="1" type="noConversion"/>
  </si>
  <si>
    <t>바닥 수평</t>
    <phoneticPr fontId="1" type="noConversion"/>
  </si>
  <si>
    <t>10월25일</t>
    <phoneticPr fontId="1" type="noConversion"/>
  </si>
  <si>
    <t>10월25일</t>
    <phoneticPr fontId="1" type="noConversion"/>
  </si>
  <si>
    <t>커튼
600*700*2000 3단 무.양</t>
    <phoneticPr fontId="1" type="noConversion"/>
  </si>
  <si>
    <t>계좌이체</t>
    <phoneticPr fontId="1" type="noConversion"/>
  </si>
  <si>
    <t xml:space="preserve">600*8200*1800 7열 3단 무.일 4조
600*4900*1800 3단 5열 무.일 </t>
    <phoneticPr fontId="1" type="noConversion"/>
  </si>
  <si>
    <t>계산서발행</t>
    <phoneticPr fontId="1" type="noConversion"/>
  </si>
  <si>
    <t>대학로131번길22 1층</t>
    <phoneticPr fontId="1" type="noConversion"/>
  </si>
  <si>
    <t>010-3359-9891</t>
    <phoneticPr fontId="1" type="noConversion"/>
  </si>
  <si>
    <t>일동 미라주</t>
    <phoneticPr fontId="1" type="noConversion"/>
  </si>
  <si>
    <t>계좌이체</t>
    <phoneticPr fontId="1" type="noConversion"/>
  </si>
  <si>
    <t>계좌이체</t>
    <phoneticPr fontId="1" type="noConversion"/>
  </si>
  <si>
    <t>10월25일</t>
    <phoneticPr fontId="1" type="noConversion"/>
  </si>
  <si>
    <t>재료포장</t>
    <phoneticPr fontId="1" type="noConversion"/>
  </si>
  <si>
    <t>재료포장</t>
    <phoneticPr fontId="1" type="noConversion"/>
  </si>
  <si>
    <t>현금</t>
    <phoneticPr fontId="1" type="noConversion"/>
  </si>
  <si>
    <t>시스템선반</t>
    <phoneticPr fontId="1" type="noConversion"/>
  </si>
  <si>
    <t>10월26일</t>
    <phoneticPr fontId="1" type="noConversion"/>
  </si>
  <si>
    <t>400*1200*900 2단 무.일</t>
    <phoneticPr fontId="1" type="noConversion"/>
  </si>
  <si>
    <t>450*450*1000 5단 416 .일</t>
    <phoneticPr fontId="1" type="noConversion"/>
  </si>
  <si>
    <t>계좌이체</t>
    <phoneticPr fontId="1" type="noConversion"/>
  </si>
  <si>
    <t>아즈택 두서면 전읍농공길33 에스아이씨</t>
    <phoneticPr fontId="1" type="noConversion"/>
  </si>
  <si>
    <t>010-6768-5832</t>
    <phoneticPr fontId="1" type="noConversion"/>
  </si>
  <si>
    <t>500*600*1800 5단 무.양</t>
    <phoneticPr fontId="1" type="noConversion"/>
  </si>
  <si>
    <t>계산서</t>
    <phoneticPr fontId="1" type="noConversion"/>
  </si>
  <si>
    <t>두서면 미호리 57-3번지</t>
    <phoneticPr fontId="1" type="noConversion"/>
  </si>
  <si>
    <t>010-8506-1119</t>
    <phoneticPr fontId="1" type="noConversion"/>
  </si>
  <si>
    <t>500*1500*1800 5단 무.일 보강대</t>
    <phoneticPr fontId="1" type="noConversion"/>
  </si>
  <si>
    <t>계좌이체</t>
    <phoneticPr fontId="1" type="noConversion"/>
  </si>
  <si>
    <t>신정현대홈타운201동1411호</t>
    <phoneticPr fontId="1" type="noConversion"/>
  </si>
  <si>
    <t>010-5648-7333</t>
    <phoneticPr fontId="1" type="noConversion"/>
  </si>
  <si>
    <t>500*1000*2000 5단 무,양</t>
    <phoneticPr fontId="1" type="noConversion"/>
  </si>
  <si>
    <t>10월28일</t>
    <phoneticPr fontId="1" type="noConversion"/>
  </si>
  <si>
    <t>센트리지302동2004호</t>
    <phoneticPr fontId="1" type="noConversion"/>
  </si>
  <si>
    <t>010-9773-3142</t>
    <phoneticPr fontId="1" type="noConversion"/>
  </si>
  <si>
    <t>10월28일</t>
    <phoneticPr fontId="1" type="noConversion"/>
  </si>
  <si>
    <t>10월28일</t>
    <phoneticPr fontId="1" type="noConversion"/>
  </si>
  <si>
    <t>계좌이체</t>
    <phoneticPr fontId="1" type="noConversion"/>
  </si>
  <si>
    <t>계좌이체</t>
    <phoneticPr fontId="1" type="noConversion"/>
  </si>
  <si>
    <t>2022년 10월  매출현황</t>
    <phoneticPr fontId="1" type="noConversion"/>
  </si>
  <si>
    <t>10월30일</t>
    <phoneticPr fontId="1" type="noConversion"/>
  </si>
  <si>
    <t>4차전 6,850,000원</t>
    <phoneticPr fontId="1" type="noConversion"/>
  </si>
  <si>
    <t>재료포장</t>
    <phoneticPr fontId="1" type="noConversion"/>
  </si>
  <si>
    <t>10월30일</t>
    <phoneticPr fontId="1" type="noConversion"/>
  </si>
  <si>
    <t>계좌이체</t>
    <phoneticPr fontId="1" type="noConversion"/>
  </si>
  <si>
    <t>계좌이체</t>
    <phoneticPr fontId="1" type="noConversion"/>
  </si>
  <si>
    <t>평창 리비에르 2차 210동1402호</t>
    <phoneticPr fontId="1" type="noConversion"/>
  </si>
  <si>
    <t>010-8269-7501</t>
    <phoneticPr fontId="1" type="noConversion"/>
  </si>
  <si>
    <t>시스템선반 앵글 2조</t>
    <phoneticPr fontId="1" type="noConversion"/>
  </si>
  <si>
    <t>시스템선반 커튼3창</t>
    <phoneticPr fontId="1" type="noConversion"/>
  </si>
  <si>
    <t>400*600*2000 5단 무.테</t>
    <phoneticPr fontId="1" type="noConversion"/>
  </si>
  <si>
    <t>주간보호센터</t>
    <phoneticPr fontId="1" type="noConversion"/>
  </si>
  <si>
    <t>성훈이집</t>
    <phoneticPr fontId="1" type="noConversion"/>
  </si>
  <si>
    <t>10월31일</t>
    <phoneticPr fontId="1" type="noConversion"/>
  </si>
  <si>
    <t>10월31일</t>
    <phoneticPr fontId="1" type="noConversion"/>
  </si>
  <si>
    <t>센트리지 305동602호</t>
    <phoneticPr fontId="1" type="noConversion"/>
  </si>
  <si>
    <t>센트리지306동1104호</t>
    <phoneticPr fontId="1" type="noConversion"/>
  </si>
  <si>
    <t>10월31일</t>
    <phoneticPr fontId="1" type="noConversion"/>
  </si>
  <si>
    <t>500*900*1800 3단 무,양
400*1100*1800 2단 무.양
300*700*1200 3단 무.양</t>
    <phoneticPr fontId="1" type="noConversion"/>
  </si>
  <si>
    <t>500*900*1800 4단 무.양
400*800*2000 5단 무.양</t>
    <phoneticPr fontId="1" type="noConversion"/>
  </si>
  <si>
    <t>계좌이체</t>
    <phoneticPr fontId="1" type="noConversion"/>
  </si>
  <si>
    <t>10월31일</t>
    <phoneticPr fontId="1" type="noConversion"/>
  </si>
  <si>
    <t>재료포장</t>
    <phoneticPr fontId="1" type="noConversion"/>
  </si>
  <si>
    <t>400*800*1800 4단 무.양 
400*800*1800 5단 무.양</t>
    <phoneticPr fontId="1" type="noConversion"/>
  </si>
  <si>
    <t>10월31일</t>
    <phoneticPr fontId="1" type="noConversion"/>
  </si>
  <si>
    <t>재료포장</t>
    <phoneticPr fontId="1" type="noConversion"/>
  </si>
  <si>
    <t>현금</t>
    <phoneticPr fontId="1" type="noConversion"/>
  </si>
  <si>
    <t>블로그선생님</t>
    <phoneticPr fontId="1" type="noConversion"/>
  </si>
  <si>
    <t>재료포장</t>
    <phoneticPr fontId="1" type="noConversion"/>
  </si>
  <si>
    <t>현금</t>
    <phoneticPr fontId="1" type="noConversion"/>
  </si>
  <si>
    <t>11월1일</t>
    <phoneticPr fontId="1" type="noConversion"/>
  </si>
  <si>
    <t>리슈빌 101동301호</t>
    <phoneticPr fontId="1" type="noConversion"/>
  </si>
  <si>
    <t>시스템선반 가로 1600</t>
    <phoneticPr fontId="1" type="noConversion"/>
  </si>
  <si>
    <t>계좌이체</t>
    <phoneticPr fontId="1" type="noConversion"/>
  </si>
  <si>
    <t>11월1일</t>
    <phoneticPr fontId="1" type="noConversion"/>
  </si>
  <si>
    <t>리치빌 402호</t>
    <phoneticPr fontId="1" type="noConversion"/>
  </si>
  <si>
    <t>5차전 3,523,000</t>
    <phoneticPr fontId="1" type="noConversion"/>
  </si>
  <si>
    <t>현금</t>
    <phoneticPr fontId="1" type="noConversion"/>
  </si>
  <si>
    <t>11월2일</t>
    <phoneticPr fontId="1" type="noConversion"/>
  </si>
  <si>
    <t>시스템선반 가로1300 2600</t>
    <phoneticPr fontId="1" type="noConversion"/>
  </si>
  <si>
    <t>삼천리162-1 리치빌402호</t>
    <phoneticPr fontId="1" type="noConversion"/>
  </si>
  <si>
    <t>010-4695-0444</t>
    <phoneticPr fontId="1" type="noConversion"/>
  </si>
  <si>
    <t>11월2일</t>
    <phoneticPr fontId="1" type="noConversion"/>
  </si>
  <si>
    <t>11월2일</t>
    <phoneticPr fontId="1" type="noConversion"/>
  </si>
  <si>
    <t>청구제네스101동209호</t>
    <phoneticPr fontId="1" type="noConversion"/>
  </si>
  <si>
    <t>시스템 선반 1500 2개</t>
    <phoneticPr fontId="1" type="noConversion"/>
  </si>
  <si>
    <t>계좌이체</t>
    <phoneticPr fontId="1" type="noConversion"/>
  </si>
  <si>
    <t>계좌이체</t>
    <phoneticPr fontId="1" type="noConversion"/>
  </si>
  <si>
    <t>주공아파트 2차</t>
    <phoneticPr fontId="1" type="noConversion"/>
  </si>
  <si>
    <t>500*600*1000 3단 무.양</t>
    <phoneticPr fontId="1" type="noConversion"/>
  </si>
  <si>
    <t>11월3일</t>
    <phoneticPr fontId="1" type="noConversion"/>
  </si>
  <si>
    <t>11월3일</t>
    <phoneticPr fontId="1" type="noConversion"/>
  </si>
  <si>
    <t>11월3일</t>
    <phoneticPr fontId="1" type="noConversion"/>
  </si>
  <si>
    <t>주공아파트 2차</t>
    <phoneticPr fontId="1" type="noConversion"/>
  </si>
  <si>
    <t>합판배달</t>
    <phoneticPr fontId="1" type="noConversion"/>
  </si>
  <si>
    <t>중구 약사 아이파크105동1104호</t>
    <phoneticPr fontId="1" type="noConversion"/>
  </si>
  <si>
    <t>010-9493-6471</t>
    <phoneticPr fontId="1" type="noConversion"/>
  </si>
  <si>
    <t>사랑보호주간센터</t>
    <phoneticPr fontId="1" type="noConversion"/>
  </si>
  <si>
    <t>11월3일</t>
    <phoneticPr fontId="1" type="noConversion"/>
  </si>
  <si>
    <t>11월3일</t>
    <phoneticPr fontId="1" type="noConversion"/>
  </si>
  <si>
    <t>11월4일</t>
    <phoneticPr fontId="1" type="noConversion"/>
  </si>
  <si>
    <t>11월4일</t>
    <phoneticPr fontId="1" type="noConversion"/>
  </si>
  <si>
    <t>시스템 선반 가로 1600</t>
    <phoneticPr fontId="1" type="noConversion"/>
  </si>
  <si>
    <t>계좌이체</t>
    <phoneticPr fontId="1" type="noConversion"/>
  </si>
  <si>
    <t>010-4695-0444</t>
    <phoneticPr fontId="1" type="noConversion"/>
  </si>
  <si>
    <t>온창읍 남창리40-9</t>
    <phoneticPr fontId="1" type="noConversion"/>
  </si>
  <si>
    <t>010-5541-5503</t>
    <phoneticPr fontId="1" type="noConversion"/>
  </si>
  <si>
    <t xml:space="preserve">600*1600*1800 3단 4단 
300*2400*900 3단 </t>
    <phoneticPr fontId="1" type="noConversion"/>
  </si>
  <si>
    <t>계좌이체</t>
    <phoneticPr fontId="1" type="noConversion"/>
  </si>
  <si>
    <t>구영프라자</t>
    <phoneticPr fontId="1" type="noConversion"/>
  </si>
  <si>
    <t>번영로 센트리지 505동1602호</t>
    <phoneticPr fontId="1" type="noConversion"/>
  </si>
  <si>
    <t>010-8535-3610</t>
    <phoneticPr fontId="1" type="noConversion"/>
  </si>
  <si>
    <t>830 시스템선반</t>
    <phoneticPr fontId="1" type="noConversion"/>
  </si>
  <si>
    <t>시스템 선반 커튼 블라인드</t>
    <phoneticPr fontId="1" type="noConversion"/>
  </si>
  <si>
    <t/>
  </si>
  <si>
    <t>계좌이체</t>
    <phoneticPr fontId="1" type="noConversion"/>
  </si>
  <si>
    <t>500*1200*1800 3단 무.양</t>
    <phoneticPr fontId="1" type="noConversion"/>
  </si>
  <si>
    <t>010-3811-7461</t>
    <phoneticPr fontId="1" type="noConversion"/>
  </si>
  <si>
    <t xml:space="preserve">구영 한신아파트 202동702호 </t>
    <phoneticPr fontId="1" type="noConversion"/>
  </si>
  <si>
    <t>1차전  6,250,000</t>
    <phoneticPr fontId="1" type="noConversion"/>
  </si>
  <si>
    <t>11월6일</t>
    <phoneticPr fontId="1" type="noConversion"/>
  </si>
  <si>
    <t>300*2700*2000 3열 5단 무.양</t>
    <phoneticPr fontId="1" type="noConversion"/>
  </si>
  <si>
    <t>2000/</t>
    <phoneticPr fontId="1" type="noConversion"/>
  </si>
  <si>
    <t>11월6일</t>
    <phoneticPr fontId="1" type="noConversion"/>
  </si>
  <si>
    <t>재료포장</t>
    <phoneticPr fontId="1" type="noConversion"/>
  </si>
  <si>
    <t>계좌이체</t>
    <phoneticPr fontId="1" type="noConversion"/>
  </si>
  <si>
    <t>11월6일</t>
    <phoneticPr fontId="1" type="noConversion"/>
  </si>
  <si>
    <t>시스템 봉 달기</t>
    <phoneticPr fontId="1" type="noConversion"/>
  </si>
  <si>
    <t>11월7일</t>
    <phoneticPr fontId="1" type="noConversion"/>
  </si>
  <si>
    <t>청암건축 인테리어</t>
    <phoneticPr fontId="1" type="noConversion"/>
  </si>
  <si>
    <t>11월7일</t>
    <phoneticPr fontId="1" type="noConversion"/>
  </si>
  <si>
    <t>11월7일</t>
    <phoneticPr fontId="1" type="noConversion"/>
  </si>
  <si>
    <t>재료포장</t>
    <phoneticPr fontId="1" type="noConversion"/>
  </si>
  <si>
    <t>11월7일</t>
    <phoneticPr fontId="1" type="noConversion"/>
  </si>
  <si>
    <t>미입</t>
    <phoneticPr fontId="1" type="noConversion"/>
  </si>
  <si>
    <t>현금</t>
    <phoneticPr fontId="1" type="noConversion"/>
  </si>
  <si>
    <t>현금</t>
    <phoneticPr fontId="1" type="noConversion"/>
  </si>
  <si>
    <t>620 앵글</t>
    <phoneticPr fontId="1" type="noConversion"/>
  </si>
  <si>
    <t xml:space="preserve">620앵글 </t>
    <phoneticPr fontId="1" type="noConversion"/>
  </si>
  <si>
    <t>시스템 봉 3개 달아주기</t>
    <phoneticPr fontId="1" type="noConversion"/>
  </si>
  <si>
    <t>1705 4개</t>
    <phoneticPr fontId="1" type="noConversion"/>
  </si>
  <si>
    <t>600*1800*1500 2열 2단 무.일</t>
    <phoneticPr fontId="1" type="noConversion"/>
  </si>
  <si>
    <t>주간보호센터 언양</t>
    <phoneticPr fontId="1" type="noConversion"/>
  </si>
  <si>
    <t>누렁소</t>
    <phoneticPr fontId="1" type="noConversion"/>
  </si>
  <si>
    <t>무볼트 800 앵글</t>
    <phoneticPr fontId="1" type="noConversion"/>
  </si>
  <si>
    <t>11월8일</t>
    <phoneticPr fontId="1" type="noConversion"/>
  </si>
  <si>
    <t>반천현대아파트</t>
    <phoneticPr fontId="1" type="noConversion"/>
  </si>
  <si>
    <t>현금</t>
    <phoneticPr fontId="1" type="noConversion"/>
  </si>
  <si>
    <t>계좌이체</t>
    <phoneticPr fontId="1" type="noConversion"/>
  </si>
  <si>
    <t>밥풀릭스</t>
    <phoneticPr fontId="1" type="noConversion"/>
  </si>
  <si>
    <t>400*800 코팅 합판 2개</t>
    <phoneticPr fontId="1" type="noConversion"/>
  </si>
  <si>
    <t>400*1000*1700 3단 무.양</t>
    <phoneticPr fontId="1" type="noConversion"/>
  </si>
  <si>
    <t>11월9일</t>
    <phoneticPr fontId="1" type="noConversion"/>
  </si>
  <si>
    <t>11월9일</t>
    <phoneticPr fontId="1" type="noConversion"/>
  </si>
  <si>
    <t>시스템선반</t>
    <phoneticPr fontId="1" type="noConversion"/>
  </si>
  <si>
    <t>계산서</t>
    <phoneticPr fontId="1" type="noConversion"/>
  </si>
  <si>
    <t>600*1200*2000 4단 무.양 2조
600*1000*2000 4단 무.일 3조
600*1200*2000 4단 무.양 1조
400*1200*2400 5단 무.일 1조
500*1200*2400 5단 무.일 1조</t>
    <phoneticPr fontId="1" type="noConversion"/>
  </si>
  <si>
    <t>온양읍 프롬스토리</t>
    <phoneticPr fontId="1" type="noConversion"/>
  </si>
  <si>
    <t>11월10일</t>
    <phoneticPr fontId="1" type="noConversion"/>
  </si>
  <si>
    <t>11월10일</t>
    <phoneticPr fontId="1" type="noConversion"/>
  </si>
  <si>
    <t>상북 다슬기집</t>
    <phoneticPr fontId="1" type="noConversion"/>
  </si>
  <si>
    <t>번영로 센트리지 401동501호</t>
    <phoneticPr fontId="1" type="noConversion"/>
  </si>
  <si>
    <t>약사로 레미안아파트 108동402호</t>
    <phoneticPr fontId="1" type="noConversion"/>
  </si>
  <si>
    <t>계좌이체</t>
    <phoneticPr fontId="1" type="noConversion"/>
  </si>
  <si>
    <t>010-8516-6710</t>
    <phoneticPr fontId="1" type="noConversion"/>
  </si>
  <si>
    <t>400*600*2000 4단 무.양
500*1000*2000 4단 무.양</t>
    <phoneticPr fontId="1" type="noConversion"/>
  </si>
  <si>
    <t>계좌이체</t>
    <phoneticPr fontId="1" type="noConversion"/>
  </si>
  <si>
    <t>11월11일</t>
    <phoneticPr fontId="1" type="noConversion"/>
  </si>
  <si>
    <t>우태집</t>
    <phoneticPr fontId="1" type="noConversion"/>
  </si>
  <si>
    <t>닭갈비 교동</t>
    <phoneticPr fontId="1" type="noConversion"/>
  </si>
  <si>
    <t>계좌이체</t>
    <phoneticPr fontId="1" type="noConversion"/>
  </si>
  <si>
    <t>현금</t>
    <phoneticPr fontId="1" type="noConversion"/>
  </si>
  <si>
    <t>재료포장</t>
    <phoneticPr fontId="1" type="noConversion"/>
  </si>
  <si>
    <t>11월11일</t>
    <phoneticPr fontId="1" type="noConversion"/>
  </si>
  <si>
    <t>재료포장</t>
    <phoneticPr fontId="1" type="noConversion"/>
  </si>
  <si>
    <t>시스템 선반 블라인드 커튼</t>
    <phoneticPr fontId="1" type="noConversion"/>
  </si>
  <si>
    <t>300*1700*650 2단 무.양</t>
    <phoneticPr fontId="1" type="noConversion"/>
  </si>
  <si>
    <t>300*1500*1800 4단 무.양</t>
    <phoneticPr fontId="1" type="noConversion"/>
  </si>
  <si>
    <t>500*1800*2000 4단 무.일
500*1200*2000 4단 무.일</t>
    <phoneticPr fontId="1" type="noConversion"/>
  </si>
  <si>
    <t>400*600*600 2단 무.테,무</t>
    <phoneticPr fontId="1" type="noConversion"/>
  </si>
  <si>
    <t>500*1000*1800 4단 무.양</t>
    <phoneticPr fontId="1" type="noConversion"/>
  </si>
  <si>
    <t>500*1000*1200 3단 무.양</t>
    <phoneticPr fontId="1" type="noConversion"/>
  </si>
  <si>
    <t>재료포장</t>
    <phoneticPr fontId="1" type="noConversion"/>
  </si>
  <si>
    <t>11월11일</t>
    <phoneticPr fontId="1" type="noConversion"/>
  </si>
  <si>
    <t>11월11일</t>
    <phoneticPr fontId="1" type="noConversion"/>
  </si>
  <si>
    <t xml:space="preserve">구영 프라자 단추가 </t>
    <phoneticPr fontId="1" type="noConversion"/>
  </si>
  <si>
    <t>계좌이체</t>
    <phoneticPr fontId="1" type="noConversion"/>
  </si>
  <si>
    <t>2차전 5,030,000원</t>
    <phoneticPr fontId="1" type="noConversion"/>
  </si>
  <si>
    <t>11월13일</t>
    <phoneticPr fontId="1" type="noConversion"/>
  </si>
  <si>
    <t>11월13일</t>
    <phoneticPr fontId="1" type="noConversion"/>
  </si>
  <si>
    <t>계좌이체</t>
    <phoneticPr fontId="1" type="noConversion"/>
  </si>
  <si>
    <t>베이프런트10층 14층</t>
    <phoneticPr fontId="1" type="noConversion"/>
  </si>
  <si>
    <t>방어진 순환도로733 
101동1508호</t>
    <phoneticPr fontId="1" type="noConversion"/>
  </si>
  <si>
    <t>계좌이체</t>
    <phoneticPr fontId="1" type="noConversion"/>
  </si>
  <si>
    <t>010-4135-8587</t>
    <phoneticPr fontId="1" type="noConversion"/>
  </si>
  <si>
    <t>010-3131-6598</t>
    <phoneticPr fontId="1" type="noConversion"/>
  </si>
  <si>
    <t>시스템선반 1600 / 2000</t>
    <phoneticPr fontId="1" type="noConversion"/>
  </si>
  <si>
    <t>300*900 3열 1단 추가</t>
    <phoneticPr fontId="1" type="noConversion"/>
  </si>
  <si>
    <t>620 앵글</t>
    <phoneticPr fontId="1" type="noConversion"/>
  </si>
  <si>
    <t>010-5405-0457</t>
    <phoneticPr fontId="1" type="noConversion"/>
  </si>
  <si>
    <t>010-8546-3654</t>
    <phoneticPr fontId="1" type="noConversion"/>
  </si>
  <si>
    <t>010-7355-7779</t>
    <phoneticPr fontId="1" type="noConversion"/>
  </si>
  <si>
    <t>010-5516-3826</t>
    <phoneticPr fontId="1" type="noConversion"/>
  </si>
  <si>
    <t>동구 지웰자이시티203동
3601호</t>
    <phoneticPr fontId="1" type="noConversion"/>
  </si>
  <si>
    <t>010-3728-1611</t>
    <phoneticPr fontId="1" type="noConversion"/>
  </si>
  <si>
    <t>11월14일</t>
    <phoneticPr fontId="1" type="noConversion"/>
  </si>
  <si>
    <t>영남알프스타운 112동801호</t>
    <phoneticPr fontId="1" type="noConversion"/>
  </si>
  <si>
    <t>계좌이체</t>
    <phoneticPr fontId="1" type="noConversion"/>
  </si>
  <si>
    <t>재료포장</t>
    <phoneticPr fontId="1" type="noConversion"/>
  </si>
  <si>
    <t>11월14일</t>
    <phoneticPr fontId="1" type="noConversion"/>
  </si>
  <si>
    <t>400 600 800</t>
    <phoneticPr fontId="1" type="noConversion"/>
  </si>
  <si>
    <t>11월14일</t>
    <phoneticPr fontId="1" type="noConversion"/>
  </si>
  <si>
    <t>밥풀릭스</t>
    <phoneticPr fontId="1" type="noConversion"/>
  </si>
  <si>
    <t>합판</t>
    <phoneticPr fontId="1" type="noConversion"/>
  </si>
  <si>
    <t>재료포장</t>
    <phoneticPr fontId="1" type="noConversion"/>
  </si>
  <si>
    <t>11월15일</t>
    <phoneticPr fontId="1" type="noConversion"/>
  </si>
  <si>
    <t>온양읍 남창리</t>
    <phoneticPr fontId="1" type="noConversion"/>
  </si>
  <si>
    <t>현금</t>
    <phoneticPr fontId="1" type="noConversion"/>
  </si>
  <si>
    <t>11월15일</t>
    <phoneticPr fontId="1" type="noConversion"/>
  </si>
  <si>
    <t>리슈빌 109동</t>
    <phoneticPr fontId="1" type="noConversion"/>
  </si>
  <si>
    <t>계좌이체</t>
    <phoneticPr fontId="1" type="noConversion"/>
  </si>
  <si>
    <t>계좌이체</t>
    <phoneticPr fontId="1" type="noConversion"/>
  </si>
  <si>
    <t>11월15일</t>
    <phoneticPr fontId="1" type="noConversion"/>
  </si>
  <si>
    <t>택배</t>
    <phoneticPr fontId="1" type="noConversion"/>
  </si>
  <si>
    <t>계좌이체</t>
    <phoneticPr fontId="1" type="noConversion"/>
  </si>
  <si>
    <t>11월15일</t>
    <phoneticPr fontId="1" type="noConversion"/>
  </si>
  <si>
    <t>재료포장</t>
    <phoneticPr fontId="1" type="noConversion"/>
  </si>
  <si>
    <t>500*1700*800 2단 합판 1장</t>
    <phoneticPr fontId="1" type="noConversion"/>
  </si>
  <si>
    <t>400보강대 3개</t>
    <phoneticPr fontId="1" type="noConversion"/>
  </si>
  <si>
    <t>블라인드 3창</t>
    <phoneticPr fontId="1" type="noConversion"/>
  </si>
  <si>
    <t>500*1600*1900 3단 무.양</t>
    <phoneticPr fontId="1" type="noConversion"/>
  </si>
  <si>
    <t>시스템선반 ㄷ 자 형태</t>
    <phoneticPr fontId="1" type="noConversion"/>
  </si>
  <si>
    <t>해링턴104동1102호</t>
    <phoneticPr fontId="1" type="noConversion"/>
  </si>
  <si>
    <t>계좌이체</t>
    <phoneticPr fontId="1" type="noConversion"/>
  </si>
  <si>
    <t>커튼 3창 블라인드 3창</t>
    <phoneticPr fontId="1" type="noConversion"/>
  </si>
  <si>
    <t>계좌이체</t>
    <phoneticPr fontId="1" type="noConversion"/>
  </si>
  <si>
    <t>삼성아파트 102동603호</t>
    <phoneticPr fontId="1" type="noConversion"/>
  </si>
  <si>
    <t>500*1000*2000 5단 무.양
400*1000*2000 4단 무.양
400*600*1200 3단 무.양</t>
    <phoneticPr fontId="1" type="noConversion"/>
  </si>
  <si>
    <t>3차전 5,849,000</t>
    <phoneticPr fontId="1" type="noConversion"/>
  </si>
  <si>
    <t>11월17일</t>
    <phoneticPr fontId="1" type="noConversion"/>
  </si>
  <si>
    <t>11월18일</t>
    <phoneticPr fontId="1" type="noConversion"/>
  </si>
  <si>
    <t>11월18일</t>
    <phoneticPr fontId="1" type="noConversion"/>
  </si>
  <si>
    <t xml:space="preserve">센트리지 </t>
    <phoneticPr fontId="1" type="noConversion"/>
  </si>
  <si>
    <t>11월20일</t>
    <phoneticPr fontId="1" type="noConversion"/>
  </si>
  <si>
    <t>11월20일</t>
    <phoneticPr fontId="1" type="noConversion"/>
  </si>
  <si>
    <t>현금</t>
    <phoneticPr fontId="1" type="noConversion"/>
  </si>
  <si>
    <t>계좌이체</t>
    <phoneticPr fontId="1" type="noConversion"/>
  </si>
  <si>
    <t>우성스마트 202동601호</t>
    <phoneticPr fontId="1" type="noConversion"/>
  </si>
  <si>
    <t xml:space="preserve">시스템선반 </t>
    <phoneticPr fontId="1" type="noConversion"/>
  </si>
  <si>
    <t>태봉아파트 101동106호</t>
    <phoneticPr fontId="1" type="noConversion"/>
  </si>
  <si>
    <t>500*1000*1500 3단 무.양
500*1100*1800 4단 무.양</t>
    <phoneticPr fontId="1" type="noConversion"/>
  </si>
  <si>
    <t>시스템선반</t>
    <phoneticPr fontId="1" type="noConversion"/>
  </si>
  <si>
    <t>11월21일</t>
    <phoneticPr fontId="1" type="noConversion"/>
  </si>
  <si>
    <t>명문산업(산악영화제)</t>
    <phoneticPr fontId="1" type="noConversion"/>
  </si>
  <si>
    <t>450*1000*1800 4단 경량렉</t>
    <phoneticPr fontId="1" type="noConversion"/>
  </si>
  <si>
    <t>삼산</t>
    <phoneticPr fontId="1" type="noConversion"/>
  </si>
  <si>
    <t>400*1000*1800 4단 무.양
600*900*1800 4단 무.양
400*800*1800 4단 무.양</t>
    <phoneticPr fontId="1" type="noConversion"/>
  </si>
  <si>
    <t>11월21일</t>
    <phoneticPr fontId="1" type="noConversion"/>
  </si>
  <si>
    <t>이편한세상</t>
    <phoneticPr fontId="1" type="noConversion"/>
  </si>
  <si>
    <t>계좌이체</t>
    <phoneticPr fontId="1" type="noConversion"/>
  </si>
  <si>
    <t>커튼 3창</t>
    <phoneticPr fontId="1" type="noConversion"/>
  </si>
  <si>
    <t>시스템 선반 가로2000 /2600</t>
    <phoneticPr fontId="1" type="noConversion"/>
  </si>
  <si>
    <t>11월22일</t>
    <phoneticPr fontId="1" type="noConversion"/>
  </si>
  <si>
    <t>옥동 디아채 402호</t>
    <phoneticPr fontId="1" type="noConversion"/>
  </si>
  <si>
    <t>계좌이체</t>
    <phoneticPr fontId="1" type="noConversion"/>
  </si>
  <si>
    <t>11월22일</t>
    <phoneticPr fontId="1" type="noConversion"/>
  </si>
  <si>
    <t>블라인드 3창</t>
    <phoneticPr fontId="1" type="noConversion"/>
  </si>
  <si>
    <t>500*900*2000 3단 무.양
시스템선반</t>
    <phoneticPr fontId="1" type="noConversion"/>
  </si>
  <si>
    <t>11월22일</t>
    <phoneticPr fontId="1" type="noConversion"/>
  </si>
  <si>
    <t>태봉아파트 102동305호</t>
    <phoneticPr fontId="1" type="noConversion"/>
  </si>
  <si>
    <t>계좌이체</t>
    <phoneticPr fontId="1" type="noConversion"/>
  </si>
  <si>
    <t>계산서발행</t>
    <phoneticPr fontId="1" type="noConversion"/>
  </si>
  <si>
    <t>11월23일</t>
    <phoneticPr fontId="1" type="noConversion"/>
  </si>
  <si>
    <t>닭갈비 교동</t>
    <phoneticPr fontId="1" type="noConversion"/>
  </si>
  <si>
    <t>우성스마트 202동601호</t>
    <phoneticPr fontId="1" type="noConversion"/>
  </si>
  <si>
    <t>계좌이체</t>
    <phoneticPr fontId="1" type="noConversion"/>
  </si>
  <si>
    <t>11월23일</t>
    <phoneticPr fontId="1" type="noConversion"/>
  </si>
  <si>
    <t>계좌이체</t>
    <phoneticPr fontId="1" type="noConversion"/>
  </si>
  <si>
    <t>엑슬루트타워 a 4001호</t>
    <phoneticPr fontId="1" type="noConversion"/>
  </si>
  <si>
    <t>11월24일</t>
    <phoneticPr fontId="1" type="noConversion"/>
  </si>
  <si>
    <t>시스템선반</t>
    <phoneticPr fontId="1" type="noConversion"/>
  </si>
  <si>
    <t>500*900*1600 2단 무.양</t>
    <phoneticPr fontId="1" type="noConversion"/>
  </si>
  <si>
    <t>500*1200*900 3단 무.양</t>
    <phoneticPr fontId="1" type="noConversion"/>
  </si>
  <si>
    <t>동륜물류</t>
    <phoneticPr fontId="1" type="noConversion"/>
  </si>
  <si>
    <t>33컨테이너</t>
    <phoneticPr fontId="1" type="noConversion"/>
  </si>
  <si>
    <t>11월24일</t>
    <phoneticPr fontId="1" type="noConversion"/>
  </si>
  <si>
    <t xml:space="preserve">온양읍 </t>
    <phoneticPr fontId="1" type="noConversion"/>
  </si>
  <si>
    <t>구영리 교동김밥</t>
    <phoneticPr fontId="1" type="noConversion"/>
  </si>
  <si>
    <t>11월24일</t>
    <phoneticPr fontId="1" type="noConversion"/>
  </si>
  <si>
    <t>조은자재상사</t>
    <phoneticPr fontId="1" type="noConversion"/>
  </si>
  <si>
    <t>700*1100*900 2단 무</t>
    <phoneticPr fontId="1" type="noConversion"/>
  </si>
  <si>
    <t>계산서입금완료</t>
    <phoneticPr fontId="1" type="noConversion"/>
  </si>
  <si>
    <t>11월25일</t>
    <phoneticPr fontId="1" type="noConversion"/>
  </si>
  <si>
    <t>동부주공아파트</t>
    <phoneticPr fontId="1" type="noConversion"/>
  </si>
  <si>
    <t>커튼</t>
    <phoneticPr fontId="1" type="noConversion"/>
  </si>
  <si>
    <t>계좌이체</t>
    <phoneticPr fontId="1" type="noConversion"/>
  </si>
  <si>
    <t>11월25일</t>
    <phoneticPr fontId="1" type="noConversion"/>
  </si>
  <si>
    <t xml:space="preserve">울대 후문 </t>
    <phoneticPr fontId="1" type="noConversion"/>
  </si>
  <si>
    <t>계산서</t>
    <phoneticPr fontId="1" type="noConversion"/>
  </si>
  <si>
    <t>11월27일</t>
    <phoneticPr fontId="1" type="noConversion"/>
  </si>
  <si>
    <t>22년 11월</t>
    <phoneticPr fontId="1" type="noConversion"/>
  </si>
  <si>
    <t>22년 12월</t>
    <phoneticPr fontId="1" type="noConversion"/>
  </si>
  <si>
    <t>23년 1월</t>
    <phoneticPr fontId="1" type="noConversion"/>
  </si>
  <si>
    <t>23년 2월</t>
    <phoneticPr fontId="1" type="noConversion"/>
  </si>
  <si>
    <t>23년 3월</t>
    <phoneticPr fontId="1" type="noConversion"/>
  </si>
  <si>
    <t>23년 4월</t>
    <phoneticPr fontId="1" type="noConversion"/>
  </si>
  <si>
    <t>23년 5월</t>
    <phoneticPr fontId="1" type="noConversion"/>
  </si>
  <si>
    <t>23년 6월</t>
    <phoneticPr fontId="1" type="noConversion"/>
  </si>
  <si>
    <t>23년7월</t>
    <phoneticPr fontId="1" type="noConversion"/>
  </si>
  <si>
    <t>23년 8월</t>
    <phoneticPr fontId="1" type="noConversion"/>
  </si>
  <si>
    <t>23년 9월</t>
    <phoneticPr fontId="1" type="noConversion"/>
  </si>
  <si>
    <t>23년10월</t>
    <phoneticPr fontId="1" type="noConversion"/>
  </si>
  <si>
    <t>23년11월</t>
    <phoneticPr fontId="1" type="noConversion"/>
  </si>
  <si>
    <t>23년12월</t>
    <phoneticPr fontId="1" type="noConversion"/>
  </si>
  <si>
    <t>11월27일</t>
    <phoneticPr fontId="1" type="noConversion"/>
  </si>
  <si>
    <t>4차전 6,744,000</t>
    <phoneticPr fontId="1" type="noConversion"/>
  </si>
  <si>
    <t>11월28일</t>
    <phoneticPr fontId="1" type="noConversion"/>
  </si>
  <si>
    <t>11월29일</t>
    <phoneticPr fontId="1" type="noConversion"/>
  </si>
  <si>
    <t>시스템 선반 3단서랍장</t>
    <phoneticPr fontId="1" type="noConversion"/>
  </si>
  <si>
    <t>시스템행거 앵글 2조</t>
    <phoneticPr fontId="1" type="noConversion"/>
  </si>
  <si>
    <t>유니스트 교수아파트402동104</t>
    <phoneticPr fontId="1" type="noConversion"/>
  </si>
  <si>
    <t>500*1100*2000 3단 무.양
400*600*2100 4단 무.양 1행거</t>
    <phoneticPr fontId="1" type="noConversion"/>
  </si>
  <si>
    <t>계좌이체</t>
    <phoneticPr fontId="1" type="noConversion"/>
  </si>
  <si>
    <t>카드</t>
    <phoneticPr fontId="1" type="noConversion"/>
  </si>
  <si>
    <t>500*2000*2000 2열 3단 
500*1900*2000 2열 3단</t>
    <phoneticPr fontId="1" type="noConversion"/>
  </si>
  <si>
    <t>반천 로하스타워106동</t>
    <phoneticPr fontId="1" type="noConversion"/>
  </si>
  <si>
    <t>달동현대100동604호</t>
    <phoneticPr fontId="1" type="noConversion"/>
  </si>
  <si>
    <t>한영아트빌402호</t>
    <phoneticPr fontId="1" type="noConversion"/>
  </si>
  <si>
    <t>11월29일</t>
    <phoneticPr fontId="1" type="noConversion"/>
  </si>
  <si>
    <t>국도아파트</t>
    <phoneticPr fontId="1" type="noConversion"/>
  </si>
  <si>
    <t>010-3569-0357</t>
    <phoneticPr fontId="1" type="noConversion"/>
  </si>
  <si>
    <t>010-5614-2277</t>
    <phoneticPr fontId="1" type="noConversion"/>
  </si>
  <si>
    <t>010-9460-1457</t>
    <phoneticPr fontId="1" type="noConversion"/>
  </si>
  <si>
    <t>010-2570-7668</t>
    <phoneticPr fontId="1" type="noConversion"/>
  </si>
  <si>
    <t>11월30일</t>
    <phoneticPr fontId="1" type="noConversion"/>
  </si>
  <si>
    <t>한영아트빌402호</t>
    <phoneticPr fontId="1" type="noConversion"/>
  </si>
  <si>
    <t>500*800*2000 3단 무.양</t>
    <phoneticPr fontId="1" type="noConversion"/>
  </si>
  <si>
    <t>태봉아파트101동104호</t>
    <phoneticPr fontId="1" type="noConversion"/>
  </si>
  <si>
    <t>400*800*1500 4단 무.양</t>
    <phoneticPr fontId="1" type="noConversion"/>
  </si>
  <si>
    <t>11월30일</t>
    <phoneticPr fontId="1" type="noConversion"/>
  </si>
  <si>
    <t>11월30일</t>
    <phoneticPr fontId="1" type="noConversion"/>
  </si>
  <si>
    <t>삼남읍 요양병원뒤쪽 주택</t>
    <phoneticPr fontId="1" type="noConversion"/>
  </si>
  <si>
    <t>시스템선반</t>
    <phoneticPr fontId="1" type="noConversion"/>
  </si>
  <si>
    <t>계좌이체</t>
    <phoneticPr fontId="1" type="noConversion"/>
  </si>
  <si>
    <t>센트리지301동1501</t>
    <phoneticPr fontId="1" type="noConversion"/>
  </si>
  <si>
    <t>500*2000*1800 4단 무.양
500*1000*1800 4단 무.양
400*1200*2000 3단 무.양</t>
    <phoneticPr fontId="1" type="noConversion"/>
  </si>
  <si>
    <t>11월30일</t>
    <phoneticPr fontId="1" type="noConversion"/>
  </si>
  <si>
    <t>센트리지</t>
    <phoneticPr fontId="1" type="noConversion"/>
  </si>
  <si>
    <t>벽선반</t>
    <phoneticPr fontId="1" type="noConversion"/>
  </si>
  <si>
    <t>재료포장</t>
    <phoneticPr fontId="1" type="noConversion"/>
  </si>
  <si>
    <t>11월30일</t>
    <phoneticPr fontId="1" type="noConversion"/>
  </si>
  <si>
    <t>계좌이체</t>
    <phoneticPr fontId="1" type="noConversion"/>
  </si>
  <si>
    <t>계쫘이체</t>
    <phoneticPr fontId="1" type="noConversion"/>
  </si>
  <si>
    <t>12월1일</t>
    <phoneticPr fontId="1" type="noConversion"/>
  </si>
  <si>
    <t>12월2일</t>
    <phoneticPr fontId="1" type="noConversion"/>
  </si>
  <si>
    <t>재료포장</t>
    <phoneticPr fontId="1" type="noConversion"/>
  </si>
  <si>
    <t>재료포장</t>
    <phoneticPr fontId="1" type="noConversion"/>
  </si>
  <si>
    <t>계좌이체</t>
    <phoneticPr fontId="1" type="noConversion"/>
  </si>
  <si>
    <t>계좌이체</t>
    <phoneticPr fontId="1" type="noConversion"/>
  </si>
  <si>
    <t>삼남읍 요양병원</t>
    <phoneticPr fontId="1" type="noConversion"/>
  </si>
  <si>
    <t xml:space="preserve">시스템선반 </t>
    <phoneticPr fontId="1" type="noConversion"/>
  </si>
  <si>
    <t>동구 힐스테이트</t>
    <phoneticPr fontId="1" type="noConversion"/>
  </si>
  <si>
    <t>시스템 선반</t>
    <phoneticPr fontId="1" type="noConversion"/>
  </si>
  <si>
    <t>시스템 선반 앵글</t>
    <phoneticPr fontId="1" type="noConversion"/>
  </si>
  <si>
    <t>야음동 카페</t>
    <phoneticPr fontId="1" type="noConversion"/>
  </si>
  <si>
    <t>300*1500*1100 2단 무.양</t>
    <phoneticPr fontId="1" type="noConversion"/>
  </si>
  <si>
    <t>빌리브101동1501호</t>
    <phoneticPr fontId="1" type="noConversion"/>
  </si>
  <si>
    <t>북구애뜰102동401호</t>
    <phoneticPr fontId="1" type="noConversion"/>
  </si>
  <si>
    <t>500*1100*2000 4단 무.양
400*900*1900 3단 무.양</t>
    <phoneticPr fontId="1" type="noConversion"/>
  </si>
  <si>
    <t>5차전  4,125,000</t>
    <phoneticPr fontId="1" type="noConversion"/>
  </si>
  <si>
    <t>진하 33컨테이너</t>
    <phoneticPr fontId="1" type="noConversion"/>
  </si>
  <si>
    <t>500*2700*1800 3단 무.일
500*2200*1800 3단 무.일</t>
    <phoneticPr fontId="1" type="noConversion"/>
  </si>
  <si>
    <t>아드리아 야음동</t>
    <phoneticPr fontId="1" type="noConversion"/>
  </si>
  <si>
    <t>500*1100*1800 5단 무.일</t>
    <phoneticPr fontId="1" type="noConversion"/>
  </si>
  <si>
    <t>한영아트빌 402호</t>
    <phoneticPr fontId="1" type="noConversion"/>
  </si>
  <si>
    <t>카드</t>
    <phoneticPr fontId="1" type="noConversion"/>
  </si>
  <si>
    <t>12월4일</t>
    <phoneticPr fontId="1" type="noConversion"/>
  </si>
  <si>
    <t>상북 주택 3조</t>
    <phoneticPr fontId="1" type="noConversion"/>
  </si>
  <si>
    <t>500*900*1600 3단 무.양</t>
    <phoneticPr fontId="1" type="noConversion"/>
  </si>
  <si>
    <t>12월5일</t>
    <phoneticPr fontId="1" type="noConversion"/>
  </si>
  <si>
    <t>12월5일</t>
    <phoneticPr fontId="1" type="noConversion"/>
  </si>
  <si>
    <t>12월6일</t>
    <phoneticPr fontId="1" type="noConversion"/>
  </si>
  <si>
    <t>12월6일</t>
    <phoneticPr fontId="1" type="noConversion"/>
  </si>
  <si>
    <t>시스템 선반 
앵글 500*1200*2000 5단 무.양</t>
    <phoneticPr fontId="1" type="noConversion"/>
  </si>
  <si>
    <t>프리모피아901호</t>
    <phoneticPr fontId="1" type="noConversion"/>
  </si>
  <si>
    <t>400*1000*1500 4단 무.양</t>
    <phoneticPr fontId="1" type="noConversion"/>
  </si>
  <si>
    <t>계좌이체</t>
    <phoneticPr fontId="1" type="noConversion"/>
  </si>
  <si>
    <t>1차전 4,520,000</t>
    <phoneticPr fontId="1" type="noConversion"/>
  </si>
  <si>
    <t>냠냠치킨</t>
    <phoneticPr fontId="1" type="noConversion"/>
  </si>
  <si>
    <t>청구 102동 202호</t>
    <phoneticPr fontId="1" type="noConversion"/>
  </si>
  <si>
    <t>12월7일</t>
    <phoneticPr fontId="1" type="noConversion"/>
  </si>
  <si>
    <t>12월7일</t>
    <phoneticPr fontId="1" type="noConversion"/>
  </si>
  <si>
    <t>12월7일</t>
    <phoneticPr fontId="1" type="noConversion"/>
  </si>
  <si>
    <t>청구 102동 202호</t>
    <phoneticPr fontId="1" type="noConversion"/>
  </si>
  <si>
    <t>계좌이체</t>
    <phoneticPr fontId="1" type="noConversion"/>
  </si>
  <si>
    <t>온양읍 프리머리901호</t>
    <phoneticPr fontId="1" type="noConversion"/>
  </si>
  <si>
    <t>우드블라인드 2창</t>
    <phoneticPr fontId="1" type="noConversion"/>
  </si>
  <si>
    <t>계좌이체</t>
    <phoneticPr fontId="1" type="noConversion"/>
  </si>
  <si>
    <t>두산위브101동1405호</t>
    <phoneticPr fontId="1" type="noConversion"/>
  </si>
  <si>
    <t>400*1100*2100 2단 무.양 행거2 2조
400*900*1700 무.양 행거 1 1조</t>
    <phoneticPr fontId="1" type="noConversion"/>
  </si>
  <si>
    <t>계좌이체</t>
    <phoneticPr fontId="1" type="noConversion"/>
  </si>
  <si>
    <t>현금</t>
    <phoneticPr fontId="1" type="noConversion"/>
  </si>
  <si>
    <t>재료포장</t>
    <phoneticPr fontId="1" type="noConversion"/>
  </si>
  <si>
    <t>현금</t>
    <phoneticPr fontId="1" type="noConversion"/>
  </si>
  <si>
    <t>현금</t>
    <phoneticPr fontId="1" type="noConversion"/>
  </si>
  <si>
    <t>한팝 2장 400*1500</t>
    <phoneticPr fontId="1" type="noConversion"/>
  </si>
  <si>
    <t xml:space="preserve">300*500*700 2단 </t>
    <phoneticPr fontId="1" type="noConversion"/>
  </si>
  <si>
    <t>12월8일</t>
    <phoneticPr fontId="1" type="noConversion"/>
  </si>
  <si>
    <t>센트리지 502동701호</t>
    <phoneticPr fontId="1" type="noConversion"/>
  </si>
  <si>
    <t>계좌이체</t>
  </si>
  <si>
    <t>계좌이체</t>
    <phoneticPr fontId="1" type="noConversion"/>
  </si>
  <si>
    <t>계좌이체</t>
    <phoneticPr fontId="1" type="noConversion"/>
  </si>
  <si>
    <t>개미집</t>
    <phoneticPr fontId="1" type="noConversion"/>
  </si>
  <si>
    <t>커튼 3창 블라인드 3창</t>
    <phoneticPr fontId="1" type="noConversion"/>
  </si>
  <si>
    <t>마제스타워104동4153호</t>
    <phoneticPr fontId="1" type="noConversion"/>
  </si>
  <si>
    <t>500*600*1800 2단 무.양 1행ㄱ</t>
    <phoneticPr fontId="1" type="noConversion"/>
  </si>
  <si>
    <t>12월9일</t>
    <phoneticPr fontId="1" type="noConversion"/>
  </si>
  <si>
    <t>12월9일</t>
    <phoneticPr fontId="1" type="noConversion"/>
  </si>
  <si>
    <t>시스템선반</t>
    <phoneticPr fontId="1" type="noConversion"/>
  </si>
  <si>
    <t>시스템선반</t>
    <phoneticPr fontId="1" type="noConversion"/>
  </si>
  <si>
    <t xml:space="preserve">앵글선반 </t>
    <phoneticPr fontId="1" type="noConversion"/>
  </si>
  <si>
    <t>아파트</t>
    <phoneticPr fontId="1" type="noConversion"/>
  </si>
  <si>
    <t>76건  시스템 16건</t>
    <phoneticPr fontId="1" type="noConversion"/>
  </si>
  <si>
    <t>계좌이체</t>
    <phoneticPr fontId="1" type="noConversion"/>
  </si>
  <si>
    <t xml:space="preserve">시스템 선반 </t>
    <phoneticPr fontId="1" type="noConversion"/>
  </si>
  <si>
    <t>2차전 6,085,000</t>
    <phoneticPr fontId="1" type="noConversion"/>
  </si>
  <si>
    <t>동부아파트 3차 303동603호</t>
    <phoneticPr fontId="1" type="noConversion"/>
  </si>
  <si>
    <t>이한빌303호</t>
    <phoneticPr fontId="1" type="noConversion"/>
  </si>
  <si>
    <t>신선산아드리아803호</t>
    <phoneticPr fontId="1" type="noConversion"/>
  </si>
  <si>
    <t>블라인드 3창</t>
    <phoneticPr fontId="1" type="noConversion"/>
  </si>
  <si>
    <t>57건 시스템 8건</t>
    <phoneticPr fontId="1" type="noConversion"/>
  </si>
  <si>
    <t>12월12일</t>
    <phoneticPr fontId="1" type="noConversion"/>
  </si>
  <si>
    <t>경동태원103동 604호</t>
    <phoneticPr fontId="1" type="noConversion"/>
  </si>
  <si>
    <t>계좌이체</t>
    <phoneticPr fontId="1" type="noConversion"/>
  </si>
  <si>
    <t>시스템선반 거울장,3단서랍장</t>
    <phoneticPr fontId="1" type="noConversion"/>
  </si>
  <si>
    <t>12월12일</t>
    <phoneticPr fontId="1" type="noConversion"/>
  </si>
  <si>
    <t xml:space="preserve">한신102동2001호 </t>
    <phoneticPr fontId="1" type="noConversion"/>
  </si>
  <si>
    <t>계좌이체</t>
    <phoneticPr fontId="1" type="noConversion"/>
  </si>
  <si>
    <t>500*1000*1800 4단 무.양 
400*900*1200 3단 무.양</t>
    <phoneticPr fontId="1" type="noConversion"/>
  </si>
  <si>
    <t>010-8918-1896</t>
    <phoneticPr fontId="1" type="noConversion"/>
  </si>
  <si>
    <t>010-2336-4689</t>
    <phoneticPr fontId="1" type="noConversion"/>
  </si>
  <si>
    <t>010-9372-0767</t>
    <phoneticPr fontId="1" type="noConversion"/>
  </si>
  <si>
    <t>010-5033-7668</t>
    <phoneticPr fontId="1" type="noConversion"/>
  </si>
  <si>
    <t>010-3877-7728</t>
    <phoneticPr fontId="1" type="noConversion"/>
  </si>
  <si>
    <t>010-8638-6925</t>
    <phoneticPr fontId="1" type="noConversion"/>
  </si>
  <si>
    <t>010-7600-3325</t>
    <phoneticPr fontId="1" type="noConversion"/>
  </si>
  <si>
    <t>010-8491-8884</t>
    <phoneticPr fontId="1" type="noConversion"/>
  </si>
  <si>
    <t>010-8638-6925</t>
    <phoneticPr fontId="1" type="noConversion"/>
  </si>
  <si>
    <t>010-4873-7900</t>
    <phoneticPr fontId="1" type="noConversion"/>
  </si>
  <si>
    <t>010-5463-8590</t>
    <phoneticPr fontId="1" type="noConversion"/>
  </si>
  <si>
    <t>010-5772-7203</t>
    <phoneticPr fontId="1" type="noConversion"/>
  </si>
  <si>
    <t>010-6636-1462</t>
    <phoneticPr fontId="1" type="noConversion"/>
  </si>
  <si>
    <t>010-4017-5868</t>
    <phoneticPr fontId="1" type="noConversion"/>
  </si>
  <si>
    <t>010-3869-4458</t>
    <phoneticPr fontId="1" type="noConversion"/>
  </si>
  <si>
    <t xml:space="preserve">율리 </t>
    <phoneticPr fontId="1" type="noConversion"/>
  </si>
  <si>
    <t>12월13일</t>
    <phoneticPr fontId="1" type="noConversion"/>
  </si>
  <si>
    <t>12월13일</t>
    <phoneticPr fontId="1" type="noConversion"/>
  </si>
  <si>
    <t>한영아트빌 402호</t>
    <phoneticPr fontId="1" type="noConversion"/>
  </si>
  <si>
    <t>계좌이체</t>
    <phoneticPr fontId="1" type="noConversion"/>
  </si>
  <si>
    <t>400*700*2100 3단 무,양 
400*800*2100 3단 무.양</t>
    <phoneticPr fontId="1" type="noConversion"/>
  </si>
  <si>
    <t>1900 가로</t>
    <phoneticPr fontId="1" type="noConversion"/>
  </si>
  <si>
    <t>현금</t>
    <phoneticPr fontId="1" type="noConversion"/>
  </si>
  <si>
    <t>12월13일</t>
    <phoneticPr fontId="1" type="noConversion"/>
  </si>
  <si>
    <t>재료포장</t>
    <phoneticPr fontId="1" type="noConversion"/>
  </si>
  <si>
    <t>현금</t>
    <phoneticPr fontId="1" type="noConversion"/>
  </si>
  <si>
    <t>12월14일</t>
    <phoneticPr fontId="1" type="noConversion"/>
  </si>
  <si>
    <t xml:space="preserve">400*1200*2100 5단 무.양 2조
300*900*2100 5단 무.양 2조
400*1100*2100 4단 무.양 
400*900*2100 4단 무.양
600*900*2100 5단 무.양 </t>
    <phoneticPr fontId="1" type="noConversion"/>
  </si>
  <si>
    <t>12월15일</t>
    <phoneticPr fontId="1" type="noConversion"/>
  </si>
  <si>
    <t>성주집</t>
    <phoneticPr fontId="1" type="noConversion"/>
  </si>
  <si>
    <t>커튼 3창 블라인드 4창</t>
    <phoneticPr fontId="1" type="noConversion"/>
  </si>
  <si>
    <t>소금포 역사관</t>
    <phoneticPr fontId="1" type="noConversion"/>
  </si>
  <si>
    <t xml:space="preserve">해링턴 </t>
    <phoneticPr fontId="1" type="noConversion"/>
  </si>
  <si>
    <t>계좌이체</t>
    <phoneticPr fontId="1" type="noConversion"/>
  </si>
  <si>
    <t>카드</t>
    <phoneticPr fontId="1" type="noConversion"/>
  </si>
  <si>
    <t>현금</t>
    <phoneticPr fontId="1" type="noConversion"/>
  </si>
  <si>
    <t>12월16일</t>
    <phoneticPr fontId="1" type="noConversion"/>
  </si>
  <si>
    <t>시스템선반</t>
    <phoneticPr fontId="1" type="noConversion"/>
  </si>
  <si>
    <t>시스템선반</t>
    <phoneticPr fontId="1" type="noConversion"/>
  </si>
  <si>
    <t>모델하우스</t>
    <phoneticPr fontId="1" type="noConversion"/>
  </si>
  <si>
    <t>북구 극동스타101동201호</t>
    <phoneticPr fontId="1" type="noConversion"/>
  </si>
  <si>
    <t>계좌이체</t>
    <phoneticPr fontId="1" type="noConversion"/>
  </si>
  <si>
    <t>계좌이체</t>
    <phoneticPr fontId="1" type="noConversion"/>
  </si>
  <si>
    <t>3차전 7,237,000</t>
    <phoneticPr fontId="1" type="noConversion"/>
  </si>
  <si>
    <t>12월18일</t>
    <phoneticPr fontId="1" type="noConversion"/>
  </si>
  <si>
    <t>브리트니오피스텔301호</t>
    <phoneticPr fontId="1" type="noConversion"/>
  </si>
  <si>
    <t>센트리지306동1104호</t>
    <phoneticPr fontId="1" type="noConversion"/>
  </si>
  <si>
    <t>한신 102동2001호</t>
    <phoneticPr fontId="1" type="noConversion"/>
  </si>
  <si>
    <t>11월19일</t>
    <phoneticPr fontId="1" type="noConversion"/>
  </si>
  <si>
    <t>재료포장</t>
    <phoneticPr fontId="1" type="noConversion"/>
  </si>
  <si>
    <t>600*900*500 1단 무.양
600*1000*2000 4단 무.양</t>
    <phoneticPr fontId="1" type="noConversion"/>
  </si>
  <si>
    <t>600*1200*2300 3단 무,양</t>
    <phoneticPr fontId="1" type="noConversion"/>
  </si>
  <si>
    <t>시스템선반</t>
    <phoneticPr fontId="1" type="noConversion"/>
  </si>
  <si>
    <t>11월19일</t>
    <phoneticPr fontId="1" type="noConversion"/>
  </si>
  <si>
    <t>카드</t>
    <phoneticPr fontId="1" type="noConversion"/>
  </si>
  <si>
    <t>북구 월드메르디앙</t>
    <phoneticPr fontId="1" type="noConversion"/>
  </si>
  <si>
    <t>400*1600*1500 4단 무.양</t>
    <phoneticPr fontId="1" type="noConversion"/>
  </si>
  <si>
    <t>12월20일</t>
    <phoneticPr fontId="1" type="noConversion"/>
  </si>
  <si>
    <t>모델하우스</t>
    <phoneticPr fontId="1" type="noConversion"/>
  </si>
  <si>
    <t>계좌이체</t>
    <phoneticPr fontId="1" type="noConversion"/>
  </si>
  <si>
    <t>12월20일</t>
    <phoneticPr fontId="1" type="noConversion"/>
  </si>
  <si>
    <t xml:space="preserve">재료포장 </t>
    <phoneticPr fontId="1" type="noConversion"/>
  </si>
  <si>
    <t>계좌이체</t>
    <phoneticPr fontId="1" type="noConversion"/>
  </si>
  <si>
    <t>12월21일</t>
    <phoneticPr fontId="1" type="noConversion"/>
  </si>
  <si>
    <t>시스템 선반</t>
    <phoneticPr fontId="1" type="noConversion"/>
  </si>
  <si>
    <t>시스템선반</t>
    <phoneticPr fontId="1" type="noConversion"/>
  </si>
  <si>
    <t>에스티엠</t>
    <phoneticPr fontId="1" type="noConversion"/>
  </si>
  <si>
    <t>계좌이체</t>
    <phoneticPr fontId="1" type="noConversion"/>
  </si>
  <si>
    <t>12월23일</t>
    <phoneticPr fontId="1" type="noConversion"/>
  </si>
  <si>
    <t>시스템선반</t>
    <phoneticPr fontId="1" type="noConversion"/>
  </si>
  <si>
    <t>현금</t>
    <phoneticPr fontId="1" type="noConversion"/>
  </si>
  <si>
    <t>4차전 7,058,400원</t>
    <phoneticPr fontId="1" type="noConversion"/>
  </si>
  <si>
    <t>12월26일</t>
    <phoneticPr fontId="1" type="noConversion"/>
  </si>
  <si>
    <t>재료포장</t>
    <phoneticPr fontId="1" type="noConversion"/>
  </si>
  <si>
    <t>계좌이체</t>
    <phoneticPr fontId="1" type="noConversion"/>
  </si>
  <si>
    <t>400*500*800 2단 무,양</t>
    <phoneticPr fontId="1" type="noConversion"/>
  </si>
  <si>
    <t>12월27일</t>
    <phoneticPr fontId="1" type="noConversion"/>
  </si>
  <si>
    <t>재료포장</t>
    <phoneticPr fontId="1" type="noConversion"/>
  </si>
  <si>
    <t>남산로332</t>
    <phoneticPr fontId="1" type="noConversion"/>
  </si>
  <si>
    <t>12월28일</t>
    <phoneticPr fontId="1" type="noConversion"/>
  </si>
  <si>
    <t>센트리지505동903호</t>
    <phoneticPr fontId="1" type="noConversion"/>
  </si>
  <si>
    <t>현금</t>
    <phoneticPr fontId="1" type="noConversion"/>
  </si>
  <si>
    <t>카드</t>
    <phoneticPr fontId="1" type="noConversion"/>
  </si>
  <si>
    <t>미용실</t>
    <phoneticPr fontId="1" type="noConversion"/>
  </si>
  <si>
    <t>미입</t>
    <phoneticPr fontId="1" type="noConversion"/>
  </si>
  <si>
    <t>계좌이체</t>
    <phoneticPr fontId="1" type="noConversion"/>
  </si>
  <si>
    <t xml:space="preserve">두산위브 </t>
    <phoneticPr fontId="1" type="noConversion"/>
  </si>
  <si>
    <t>시스템 재설치</t>
    <phoneticPr fontId="1" type="noConversion"/>
  </si>
  <si>
    <t>삼산 달동현대</t>
    <phoneticPr fontId="1" type="noConversion"/>
  </si>
  <si>
    <t>현금</t>
    <phoneticPr fontId="1" type="noConversion"/>
  </si>
  <si>
    <t>12월28일</t>
    <phoneticPr fontId="1" type="noConversion"/>
  </si>
  <si>
    <t xml:space="preserve">번영로 골프존 </t>
    <phoneticPr fontId="1" type="noConversion"/>
  </si>
  <si>
    <t>12월29일</t>
    <phoneticPr fontId="1" type="noConversion"/>
  </si>
  <si>
    <t>카드</t>
    <phoneticPr fontId="1" type="noConversion"/>
  </si>
  <si>
    <t>시스템 선반</t>
    <phoneticPr fontId="1" type="noConversion"/>
  </si>
  <si>
    <t>12월29일</t>
    <phoneticPr fontId="1" type="noConversion"/>
  </si>
  <si>
    <t>재료포장</t>
    <phoneticPr fontId="1" type="noConversion"/>
  </si>
  <si>
    <t xml:space="preserve">516 2000 4개 </t>
    <phoneticPr fontId="1" type="noConversion"/>
  </si>
  <si>
    <t>현금</t>
    <phoneticPr fontId="1" type="noConversion"/>
  </si>
  <si>
    <t>12월30일</t>
    <phoneticPr fontId="1" type="noConversion"/>
  </si>
  <si>
    <t>시스템선반</t>
    <phoneticPr fontId="1" type="noConversion"/>
  </si>
  <si>
    <t>망양 이편한세상109동</t>
    <phoneticPr fontId="1" type="noConversion"/>
  </si>
  <si>
    <t>청량 해피트리 어린이집</t>
    <phoneticPr fontId="1" type="noConversion"/>
  </si>
  <si>
    <t>500*700*1500 3단 무.일
500*1900*1500 3단 무.일</t>
    <phoneticPr fontId="1" type="noConversion"/>
  </si>
  <si>
    <t>500*900*2000 4단 무.양
400*1100*2100 3단 무.양
500*500*2100 2단 무.양
500*900*2100 3단 무.양</t>
    <phoneticPr fontId="1" type="noConversion"/>
  </si>
  <si>
    <t>500*2000*1800 4단 무.양</t>
    <phoneticPr fontId="1" type="noConversion"/>
  </si>
  <si>
    <t>500*600*1800 3단 무.양</t>
    <phoneticPr fontId="1" type="noConversion"/>
  </si>
  <si>
    <t>시스템선반</t>
    <phoneticPr fontId="1" type="noConversion"/>
  </si>
  <si>
    <t>500*2300*1800 2열 3단 무.양
500*3200*1800 3열 3단 무.양</t>
    <phoneticPr fontId="1" type="noConversion"/>
  </si>
  <si>
    <t>계좌이체</t>
    <phoneticPr fontId="1" type="noConversion"/>
  </si>
  <si>
    <t>12월31일</t>
    <phoneticPr fontId="1" type="noConversion"/>
  </si>
  <si>
    <t>재료포장</t>
    <phoneticPr fontId="1" type="noConversion"/>
  </si>
  <si>
    <t>현금</t>
    <phoneticPr fontId="1" type="noConversion"/>
  </si>
  <si>
    <t>1월2일</t>
    <phoneticPr fontId="1" type="noConversion"/>
  </si>
  <si>
    <t>두산위브104동301호</t>
    <phoneticPr fontId="1" type="noConversion"/>
  </si>
  <si>
    <t>400*1000*1500 5단 무.양</t>
    <phoneticPr fontId="1" type="noConversion"/>
  </si>
  <si>
    <t>1월3일</t>
    <phoneticPr fontId="1" type="noConversion"/>
  </si>
  <si>
    <t>계좌이체</t>
    <phoneticPr fontId="1" type="noConversion"/>
  </si>
  <si>
    <t>카드</t>
    <phoneticPr fontId="1" type="noConversion"/>
  </si>
  <si>
    <t>카드</t>
    <phoneticPr fontId="1" type="noConversion"/>
  </si>
  <si>
    <t>1월3일</t>
    <phoneticPr fontId="1" type="noConversion"/>
  </si>
  <si>
    <t>1월4일</t>
    <phoneticPr fontId="1" type="noConversion"/>
  </si>
  <si>
    <t>1월5일</t>
    <phoneticPr fontId="1" type="noConversion"/>
  </si>
  <si>
    <t>신천지한라아파트 북구</t>
    <phoneticPr fontId="1" type="noConversion"/>
  </si>
  <si>
    <t>시스템선반</t>
    <phoneticPr fontId="1" type="noConversion"/>
  </si>
  <si>
    <t>현금</t>
    <phoneticPr fontId="1" type="noConversion"/>
  </si>
  <si>
    <t>삼남 과수원농장쪽</t>
    <phoneticPr fontId="1" type="noConversion"/>
  </si>
  <si>
    <t>계산서발행</t>
    <phoneticPr fontId="1" type="noConversion"/>
  </si>
  <si>
    <t>탑차안쪽설치</t>
    <phoneticPr fontId="1" type="noConversion"/>
  </si>
  <si>
    <t>재료포장</t>
    <phoneticPr fontId="1" type="noConversion"/>
  </si>
  <si>
    <t>500 4개 500*5001장</t>
    <phoneticPr fontId="1" type="noConversion"/>
  </si>
  <si>
    <t>700*900*900 4조</t>
    <phoneticPr fontId="1" type="noConversion"/>
  </si>
  <si>
    <t>2024년 1월  매출현황</t>
    <phoneticPr fontId="1" type="noConversion"/>
  </si>
  <si>
    <t>현금</t>
    <phoneticPr fontId="1" type="noConversion"/>
  </si>
  <si>
    <t>1차전 1,818,000</t>
    <phoneticPr fontId="1" type="noConversion"/>
  </si>
  <si>
    <t>1월8일</t>
    <phoneticPr fontId="1" type="noConversion"/>
  </si>
  <si>
    <t>옥교동 2층</t>
    <phoneticPr fontId="1" type="noConversion"/>
  </si>
  <si>
    <t>1월9일</t>
    <phoneticPr fontId="1" type="noConversion"/>
  </si>
  <si>
    <t>번영로센트리지 501동2301호</t>
    <phoneticPr fontId="1" type="noConversion"/>
  </si>
  <si>
    <t>1월9일</t>
    <phoneticPr fontId="1" type="noConversion"/>
  </si>
  <si>
    <t>달동현대아파트100동1406호</t>
    <phoneticPr fontId="1" type="noConversion"/>
  </si>
  <si>
    <t>북구 진장16길7</t>
    <phoneticPr fontId="1" type="noConversion"/>
  </si>
  <si>
    <t>이서한다음 1단지104동1101호</t>
    <phoneticPr fontId="1" type="noConversion"/>
  </si>
  <si>
    <t>에듀포레205동601호</t>
    <phoneticPr fontId="1" type="noConversion"/>
  </si>
  <si>
    <t>600*1100*2000 5단 무.양</t>
    <phoneticPr fontId="1" type="noConversion"/>
  </si>
  <si>
    <t xml:space="preserve"> 1500 시스템선반</t>
    <phoneticPr fontId="1" type="noConversion"/>
  </si>
  <si>
    <t>500*1200*1800 3단 무.양
600*900*1200 3단 무.양</t>
    <phoneticPr fontId="1" type="noConversion"/>
  </si>
  <si>
    <t>800*1100*1700 2단 무.일 3조
600*3300*2400 3단 무.일</t>
    <phoneticPr fontId="1" type="noConversion"/>
  </si>
  <si>
    <t xml:space="preserve">시스템 벽선반 2개 </t>
    <phoneticPr fontId="1" type="noConversion"/>
  </si>
  <si>
    <t>계산서발행</t>
    <phoneticPr fontId="1" type="noConversion"/>
  </si>
  <si>
    <t>1월9일</t>
    <phoneticPr fontId="1" type="noConversion"/>
  </si>
  <si>
    <t>현금</t>
    <phoneticPr fontId="1" type="noConversion"/>
  </si>
  <si>
    <t>계좌이체</t>
    <phoneticPr fontId="1" type="noConversion"/>
  </si>
  <si>
    <t>계좌이체</t>
    <phoneticPr fontId="1" type="noConversion"/>
  </si>
  <si>
    <t>카드</t>
    <phoneticPr fontId="1" type="noConversion"/>
  </si>
  <si>
    <t>문수애시앙 202동1301호</t>
    <phoneticPr fontId="1" type="noConversion"/>
  </si>
  <si>
    <t>1월10일</t>
    <phoneticPr fontId="1" type="noConversion"/>
  </si>
  <si>
    <t>시스템선반</t>
    <phoneticPr fontId="1" type="noConversion"/>
  </si>
  <si>
    <t>1월11일</t>
    <phoneticPr fontId="1" type="noConversion"/>
  </si>
  <si>
    <t>훼밀리의원</t>
    <phoneticPr fontId="1" type="noConversion"/>
  </si>
  <si>
    <t>계산서발행</t>
    <phoneticPr fontId="1" type="noConversion"/>
  </si>
  <si>
    <t>5차전 5,245,000원</t>
    <phoneticPr fontId="1" type="noConversion"/>
  </si>
  <si>
    <t>61건 시스템 21건</t>
    <phoneticPr fontId="1" type="noConversion"/>
  </si>
  <si>
    <t>1월13일</t>
    <phoneticPr fontId="1" type="noConversion"/>
  </si>
  <si>
    <t xml:space="preserve"> </t>
    <phoneticPr fontId="1" type="noConversion"/>
  </si>
  <si>
    <t>1월14일</t>
    <phoneticPr fontId="1" type="noConversion"/>
  </si>
  <si>
    <t>계좌이체</t>
    <phoneticPr fontId="1" type="noConversion"/>
  </si>
  <si>
    <t>현금</t>
    <phoneticPr fontId="1" type="noConversion"/>
  </si>
  <si>
    <t>재료포장</t>
    <phoneticPr fontId="1" type="noConversion"/>
  </si>
  <si>
    <t>경량렉</t>
    <phoneticPr fontId="1" type="noConversion"/>
  </si>
  <si>
    <t>1월16일</t>
    <phoneticPr fontId="1" type="noConversion"/>
  </si>
  <si>
    <t>계좌이체</t>
    <phoneticPr fontId="1" type="noConversion"/>
  </si>
  <si>
    <t>중구 태화동 난곡17길34 초아하우스 401동</t>
    <phoneticPr fontId="1" type="noConversion"/>
  </si>
  <si>
    <t>010-6234-9389</t>
    <phoneticPr fontId="1" type="noConversion"/>
  </si>
  <si>
    <t>시스템 행거</t>
    <phoneticPr fontId="1" type="noConversion"/>
  </si>
  <si>
    <t>11월16일</t>
    <phoneticPr fontId="1" type="noConversion"/>
  </si>
  <si>
    <t>사다리 배달</t>
    <phoneticPr fontId="1" type="noConversion"/>
  </si>
  <si>
    <t>가정용사다리13개 a2m 1개</t>
    <phoneticPr fontId="1" type="noConversion"/>
  </si>
  <si>
    <t>시스템 행거 펜트리</t>
    <phoneticPr fontId="1" type="noConversion"/>
  </si>
  <si>
    <t>계약금 10만원</t>
    <phoneticPr fontId="1" type="noConversion"/>
  </si>
  <si>
    <t>11월17일</t>
    <phoneticPr fontId="1" type="noConversion"/>
  </si>
  <si>
    <t>11월17일</t>
    <phoneticPr fontId="1" type="noConversion"/>
  </si>
  <si>
    <t>강변이편한센상105동1904호</t>
    <phoneticPr fontId="1" type="noConversion"/>
  </si>
  <si>
    <t>재료포장</t>
    <phoneticPr fontId="1" type="noConversion"/>
  </si>
  <si>
    <t xml:space="preserve">500*700*710 1단 </t>
    <phoneticPr fontId="1" type="noConversion"/>
  </si>
  <si>
    <t>현금</t>
    <phoneticPr fontId="1" type="noConversion"/>
  </si>
  <si>
    <t>언양 아파트</t>
    <phoneticPr fontId="1" type="noConversion"/>
  </si>
  <si>
    <t>400*800*1800 5단 무.양</t>
    <phoneticPr fontId="1" type="noConversion"/>
  </si>
  <si>
    <t>010-7763-2752</t>
    <phoneticPr fontId="1" type="noConversion"/>
  </si>
  <si>
    <t>중량렉</t>
    <phoneticPr fontId="1" type="noConversion"/>
  </si>
  <si>
    <t>11월17일</t>
    <phoneticPr fontId="1" type="noConversion"/>
  </si>
  <si>
    <t>양우내안애 119동1302호</t>
    <phoneticPr fontId="1" type="noConversion"/>
  </si>
  <si>
    <t>010-7527-2420</t>
    <phoneticPr fontId="1" type="noConversion"/>
  </si>
  <si>
    <t>500*2100*2100 5단 무.일</t>
    <phoneticPr fontId="1" type="noConversion"/>
  </si>
  <si>
    <t>문수애시앙 202동1301호</t>
    <phoneticPr fontId="1" type="noConversion"/>
  </si>
  <si>
    <t>시스템 선반 2장</t>
    <phoneticPr fontId="1" type="noConversion"/>
  </si>
  <si>
    <t>계좌이체</t>
    <phoneticPr fontId="1" type="noConversion"/>
  </si>
  <si>
    <t>010-6656-7343</t>
    <phoneticPr fontId="1" type="noConversion"/>
  </si>
  <si>
    <t>계좌이체</t>
    <phoneticPr fontId="1" type="noConversion"/>
  </si>
  <si>
    <t>계산서발행</t>
    <phoneticPr fontId="1" type="noConversion"/>
  </si>
  <si>
    <t>북구 진장16길7</t>
    <phoneticPr fontId="1" type="noConversion"/>
  </si>
  <si>
    <t>2차전 23,805,000</t>
    <phoneticPr fontId="1" type="noConversion"/>
  </si>
  <si>
    <t>계산서발행</t>
    <phoneticPr fontId="1" type="noConversion"/>
  </si>
  <si>
    <t>11월19일</t>
    <phoneticPr fontId="1" type="noConversion"/>
  </si>
  <si>
    <t>서생면 잿골길19-21</t>
    <phoneticPr fontId="1" type="noConversion"/>
  </si>
  <si>
    <t>계좌이체</t>
    <phoneticPr fontId="1" type="noConversion"/>
  </si>
  <si>
    <t>11월21일</t>
    <phoneticPr fontId="1" type="noConversion"/>
  </si>
  <si>
    <t>무거동848-1 2층</t>
    <phoneticPr fontId="1" type="noConversion"/>
  </si>
  <si>
    <t>계좌이체</t>
    <phoneticPr fontId="1" type="noConversion"/>
  </si>
  <si>
    <t>11월22일</t>
    <phoneticPr fontId="1" type="noConversion"/>
  </si>
  <si>
    <t>11월22일</t>
    <phoneticPr fontId="1" type="noConversion"/>
  </si>
  <si>
    <t>재료포장</t>
    <phoneticPr fontId="1" type="noConversion"/>
  </si>
  <si>
    <t xml:space="preserve">벌장길5-5 </t>
    <phoneticPr fontId="1" type="noConversion"/>
  </si>
  <si>
    <t>3차전 5,532,100</t>
    <phoneticPr fontId="1" type="noConversion"/>
  </si>
  <si>
    <t>시스템선반</t>
    <phoneticPr fontId="1" type="noConversion"/>
  </si>
  <si>
    <t>r</t>
    <phoneticPr fontId="1" type="noConversion"/>
  </si>
  <si>
    <t>1월23일</t>
    <phoneticPr fontId="1" type="noConversion"/>
  </si>
  <si>
    <t>계좌이체</t>
    <phoneticPr fontId="1" type="noConversion"/>
  </si>
  <si>
    <t>DH케미칼</t>
    <phoneticPr fontId="1" type="noConversion"/>
  </si>
  <si>
    <t>두동 제상길</t>
    <phoneticPr fontId="1" type="noConversion"/>
  </si>
  <si>
    <t>계좌이체</t>
    <phoneticPr fontId="1" type="noConversion"/>
  </si>
  <si>
    <t>카드</t>
    <phoneticPr fontId="1" type="noConversion"/>
  </si>
  <si>
    <t>현금</t>
    <phoneticPr fontId="1" type="noConversion"/>
  </si>
  <si>
    <t>1월23일</t>
    <phoneticPr fontId="1" type="noConversion"/>
  </si>
  <si>
    <t>재료포장</t>
    <phoneticPr fontId="1" type="noConversion"/>
  </si>
  <si>
    <t>500*1500*1800 3단 무.일 2조
500*1500*1800 4단 무.일 
500*2300*1800 4단 2열 무.일
500*2000*1800 4단 2열 무.일</t>
    <phoneticPr fontId="1" type="noConversion"/>
  </si>
  <si>
    <t>400*3600*1800 3단 3열 무.양
400*2300*1800 2열 3단 무.양</t>
    <phoneticPr fontId="1" type="noConversion"/>
  </si>
  <si>
    <t>300*400*1800 4단 무.양</t>
    <phoneticPr fontId="1" type="noConversion"/>
  </si>
  <si>
    <t>1월23일</t>
    <phoneticPr fontId="1" type="noConversion"/>
  </si>
  <si>
    <t>재료포장</t>
    <phoneticPr fontId="1" type="noConversion"/>
  </si>
  <si>
    <t>현금</t>
    <phoneticPr fontId="1" type="noConversion"/>
  </si>
  <si>
    <t>1월24일</t>
    <phoneticPr fontId="1" type="noConversion"/>
  </si>
  <si>
    <t>온양 이편한세상104동1603호</t>
    <phoneticPr fontId="1" type="noConversion"/>
  </si>
  <si>
    <t xml:space="preserve">시스템선반 </t>
    <phoneticPr fontId="1" type="noConversion"/>
  </si>
  <si>
    <t>재료포장</t>
    <phoneticPr fontId="1" type="noConversion"/>
  </si>
  <si>
    <t>계좌이체</t>
    <phoneticPr fontId="1" type="noConversion"/>
  </si>
  <si>
    <t>현금</t>
    <phoneticPr fontId="1" type="noConversion"/>
  </si>
  <si>
    <t>600*700*900 2단 무.양</t>
    <phoneticPr fontId="1" type="noConversion"/>
  </si>
  <si>
    <t>동부주공아파트100동1403호</t>
    <phoneticPr fontId="1" type="noConversion"/>
  </si>
  <si>
    <t xml:space="preserve">동문아파트 </t>
    <phoneticPr fontId="1" type="noConversion"/>
  </si>
  <si>
    <t>현금</t>
    <phoneticPr fontId="1" type="noConversion"/>
  </si>
  <si>
    <t>계좌이체</t>
    <phoneticPr fontId="1" type="noConversion"/>
  </si>
  <si>
    <t>1월25일</t>
    <phoneticPr fontId="1" type="noConversion"/>
  </si>
  <si>
    <t>1월25일</t>
    <phoneticPr fontId="1" type="noConversion"/>
  </si>
  <si>
    <t>재료포장</t>
    <phoneticPr fontId="1" type="noConversion"/>
  </si>
  <si>
    <t>현금</t>
    <phoneticPr fontId="1" type="noConversion"/>
  </si>
  <si>
    <t>카드</t>
    <phoneticPr fontId="1" type="noConversion"/>
  </si>
  <si>
    <t>계좌이체</t>
    <phoneticPr fontId="1" type="noConversion"/>
  </si>
  <si>
    <t>현대백화점</t>
    <phoneticPr fontId="1" type="noConversion"/>
  </si>
  <si>
    <t>북구 쌍용예가 104동</t>
    <phoneticPr fontId="1" type="noConversion"/>
  </si>
  <si>
    <t>시스템선반</t>
    <phoneticPr fontId="1" type="noConversion"/>
  </si>
  <si>
    <t>시스템선반</t>
    <phoneticPr fontId="1" type="noConversion"/>
  </si>
  <si>
    <t>번영로 두산위브</t>
    <phoneticPr fontId="1" type="noConversion"/>
  </si>
  <si>
    <t>500*900*2100 3단 2행거 
500*900*1800 3단 1행거</t>
    <phoneticPr fontId="1" type="noConversion"/>
  </si>
  <si>
    <t xml:space="preserve">620 볼트앵글 
600*1600*2000 3단 
600*800*2000 3단 </t>
    <phoneticPr fontId="1" type="noConversion"/>
  </si>
  <si>
    <t>계좌이체</t>
    <phoneticPr fontId="1" type="noConversion"/>
  </si>
  <si>
    <t>300*400*2300 3단 무.양</t>
    <phoneticPr fontId="1" type="noConversion"/>
  </si>
  <si>
    <t>500*800*1500 4단 무.양</t>
    <phoneticPr fontId="1" type="noConversion"/>
  </si>
  <si>
    <t xml:space="preserve">420 앵글 </t>
    <phoneticPr fontId="1" type="noConversion"/>
  </si>
  <si>
    <t>010-9230-9671</t>
    <phoneticPr fontId="1" type="noConversion"/>
  </si>
  <si>
    <t>010-7127-9558</t>
    <phoneticPr fontId="1" type="noConversion"/>
  </si>
  <si>
    <t>1월26일</t>
    <phoneticPr fontId="1" type="noConversion"/>
  </si>
  <si>
    <t>계좌이체</t>
    <phoneticPr fontId="1" type="noConversion"/>
  </si>
  <si>
    <t>1월26일</t>
    <phoneticPr fontId="1" type="noConversion"/>
  </si>
  <si>
    <t>한식뷔페</t>
    <phoneticPr fontId="1" type="noConversion"/>
  </si>
  <si>
    <t>1월29일</t>
    <phoneticPr fontId="1" type="noConversion"/>
  </si>
  <si>
    <t>재료포장</t>
    <phoneticPr fontId="1" type="noConversion"/>
  </si>
  <si>
    <t xml:space="preserve">앵글만 </t>
    <phoneticPr fontId="1" type="noConversion"/>
  </si>
  <si>
    <t>계좌이체</t>
    <phoneticPr fontId="1" type="noConversion"/>
  </si>
  <si>
    <t>1월30일</t>
    <phoneticPr fontId="1" type="noConversion"/>
  </si>
  <si>
    <t>현대백화점</t>
    <phoneticPr fontId="1" type="noConversion"/>
  </si>
  <si>
    <t>우미린</t>
    <phoneticPr fontId="1" type="noConversion"/>
  </si>
  <si>
    <t>계좌이체</t>
    <phoneticPr fontId="1" type="noConversion"/>
  </si>
  <si>
    <t>계좌이체</t>
    <phoneticPr fontId="1" type="noConversion"/>
  </si>
  <si>
    <t>4차전 6,939,000</t>
    <phoneticPr fontId="1" type="noConversion"/>
  </si>
  <si>
    <t>5차전</t>
    <phoneticPr fontId="1" type="noConversion"/>
  </si>
  <si>
    <t>1월31일</t>
    <phoneticPr fontId="1" type="noConversion"/>
  </si>
  <si>
    <t>1월31일</t>
    <phoneticPr fontId="1" type="noConversion"/>
  </si>
  <si>
    <t>계산서발행</t>
    <phoneticPr fontId="1" type="noConversion"/>
  </si>
  <si>
    <t>계좌이체</t>
    <phoneticPr fontId="1" type="noConversion"/>
  </si>
  <si>
    <t>계좌이체</t>
    <phoneticPr fontId="1" type="noConversion"/>
  </si>
  <si>
    <t>신한다솜</t>
    <phoneticPr fontId="1" type="noConversion"/>
  </si>
  <si>
    <t>아즈택</t>
    <phoneticPr fontId="1" type="noConversion"/>
  </si>
  <si>
    <t>2월1일</t>
    <phoneticPr fontId="1" type="noConversion"/>
  </si>
  <si>
    <t>북구 서희 아파트</t>
    <phoneticPr fontId="1" type="noConversion"/>
  </si>
  <si>
    <t>중구 센트리지</t>
    <phoneticPr fontId="1" type="noConversion"/>
  </si>
  <si>
    <t>2월2일</t>
    <phoneticPr fontId="1" type="noConversion"/>
  </si>
  <si>
    <t>굴화주공아파트</t>
    <phoneticPr fontId="1" type="noConversion"/>
  </si>
  <si>
    <t>계좌이체</t>
    <phoneticPr fontId="1" type="noConversion"/>
  </si>
  <si>
    <t>1차전 375,000</t>
    <phoneticPr fontId="1" type="noConversion"/>
  </si>
  <si>
    <t>2월6일</t>
    <phoneticPr fontId="1" type="noConversion"/>
  </si>
  <si>
    <t>상북면 명촌1길6</t>
    <phoneticPr fontId="1" type="noConversion"/>
  </si>
  <si>
    <t>재료포장</t>
    <phoneticPr fontId="1" type="noConversion"/>
  </si>
  <si>
    <t>현금</t>
    <phoneticPr fontId="1" type="noConversion"/>
  </si>
  <si>
    <t>봉화마을 교동리1500-1번지(재료배달)</t>
    <phoneticPr fontId="1" type="noConversion"/>
  </si>
  <si>
    <t>300*1500*1800 4단 무.일</t>
    <phoneticPr fontId="1" type="noConversion"/>
  </si>
  <si>
    <t>500*600*1800 5단 무.양</t>
    <phoneticPr fontId="1" type="noConversion"/>
  </si>
  <si>
    <t>600*1000*1500 3단 무.양</t>
    <phoneticPr fontId="1" type="noConversion"/>
  </si>
  <si>
    <t>계좌이체</t>
    <phoneticPr fontId="1" type="noConversion"/>
  </si>
  <si>
    <t>2월7일</t>
    <phoneticPr fontId="1" type="noConversion"/>
  </si>
  <si>
    <t>현대아파트 2차</t>
    <phoneticPr fontId="1" type="noConversion"/>
  </si>
  <si>
    <t>온양읍 이전</t>
    <phoneticPr fontId="1" type="noConversion"/>
  </si>
  <si>
    <t>계좌이체</t>
    <phoneticPr fontId="1" type="noConversion"/>
  </si>
  <si>
    <t>현금</t>
    <phoneticPr fontId="1" type="noConversion"/>
  </si>
  <si>
    <t xml:space="preserve">재료배달 주공아파트 </t>
    <phoneticPr fontId="1" type="noConversion"/>
  </si>
  <si>
    <t>시스템선반</t>
    <phoneticPr fontId="1" type="noConversion"/>
  </si>
  <si>
    <t>2월8일</t>
    <phoneticPr fontId="1" type="noConversion"/>
  </si>
  <si>
    <t>꿈에그린 아파트 103동 1404호</t>
    <phoneticPr fontId="1" type="noConversion"/>
  </si>
  <si>
    <t>010-2127-6667</t>
    <phoneticPr fontId="1" type="noConversion"/>
  </si>
  <si>
    <t>시스템선반</t>
    <phoneticPr fontId="1" type="noConversion"/>
  </si>
  <si>
    <t>시스템선반</t>
    <phoneticPr fontId="1" type="noConversion"/>
  </si>
  <si>
    <t>재료포장</t>
    <phoneticPr fontId="1" type="noConversion"/>
  </si>
  <si>
    <t>계좌이체</t>
    <phoneticPr fontId="1" type="noConversion"/>
  </si>
  <si>
    <t>2차전  2,675,000</t>
    <phoneticPr fontId="1" type="noConversion"/>
  </si>
  <si>
    <t>2월14일</t>
    <phoneticPr fontId="1" type="noConversion"/>
  </si>
  <si>
    <t>미입</t>
    <phoneticPr fontId="1" type="noConversion"/>
  </si>
  <si>
    <t>2월14일</t>
    <phoneticPr fontId="1" type="noConversion"/>
  </si>
  <si>
    <t>계좌이체</t>
    <phoneticPr fontId="1" type="noConversion"/>
  </si>
  <si>
    <t>시스템선반</t>
    <phoneticPr fontId="1" type="noConversion"/>
  </si>
  <si>
    <t>600*2000*2100 2열 4단 무.양
600*900*2100 2단 무.양 1행거</t>
    <phoneticPr fontId="1" type="noConversion"/>
  </si>
  <si>
    <t>600*1000*2000 5단 무.양
500*1000*900 3단 무.양</t>
    <phoneticPr fontId="1" type="noConversion"/>
  </si>
  <si>
    <t>재료포장</t>
    <phoneticPr fontId="1" type="noConversion"/>
  </si>
  <si>
    <t xml:space="preserve">부산 힐스테이트 </t>
    <phoneticPr fontId="1" type="noConversion"/>
  </si>
  <si>
    <t>2월15일</t>
    <phoneticPr fontId="1" type="noConversion"/>
  </si>
  <si>
    <t>2월15일</t>
    <phoneticPr fontId="1" type="noConversion"/>
  </si>
  <si>
    <t>2월15일</t>
    <phoneticPr fontId="1" type="noConversion"/>
  </si>
  <si>
    <t>재료포장</t>
    <phoneticPr fontId="1" type="noConversion"/>
  </si>
  <si>
    <t>꿈에그린 아파트 103동 1404호</t>
    <phoneticPr fontId="1" type="noConversion"/>
  </si>
  <si>
    <t>북구 대동아파트 104동 1401호</t>
    <phoneticPr fontId="1" type="noConversion"/>
  </si>
  <si>
    <t>고래문화재단</t>
    <phoneticPr fontId="1" type="noConversion"/>
  </si>
  <si>
    <t>카드</t>
    <phoneticPr fontId="1" type="noConversion"/>
  </si>
  <si>
    <t>계좌이체</t>
    <phoneticPr fontId="1" type="noConversion"/>
  </si>
  <si>
    <t>현금</t>
    <phoneticPr fontId="1" type="noConversion"/>
  </si>
  <si>
    <t>500*1000*1800 4단 무.양
500*1600*1800 2열 4단 무.양
500*1900*1800 2열 4단 무.양</t>
    <phoneticPr fontId="1" type="noConversion"/>
  </si>
  <si>
    <t>시스템선반</t>
    <phoneticPr fontId="1" type="noConversion"/>
  </si>
  <si>
    <t>계좌이체</t>
    <phoneticPr fontId="1" type="noConversion"/>
  </si>
  <si>
    <t>계좌이체</t>
    <phoneticPr fontId="1" type="noConversion"/>
  </si>
  <si>
    <t>2월16일</t>
  </si>
  <si>
    <t>2월16일</t>
    <phoneticPr fontId="1" type="noConversion"/>
  </si>
  <si>
    <t>포항 유강아파트</t>
    <phoneticPr fontId="1" type="noConversion"/>
  </si>
  <si>
    <t>무거한라 104동405호</t>
    <phoneticPr fontId="1" type="noConversion"/>
  </si>
  <si>
    <t>시스템</t>
    <phoneticPr fontId="1" type="noConversion"/>
  </si>
  <si>
    <t>시스템</t>
    <phoneticPr fontId="1" type="noConversion"/>
  </si>
  <si>
    <t>굴화 2층 카메라</t>
    <phoneticPr fontId="1" type="noConversion"/>
  </si>
  <si>
    <t>500*1200*2100 4단 무.양</t>
    <phoneticPr fontId="1" type="noConversion"/>
  </si>
  <si>
    <t>현금</t>
    <phoneticPr fontId="1" type="noConversion"/>
  </si>
  <si>
    <t>계좌이체</t>
    <phoneticPr fontId="1" type="noConversion"/>
  </si>
  <si>
    <t>계좌이체</t>
    <phoneticPr fontId="1" type="noConversion"/>
  </si>
  <si>
    <t>2월17일</t>
    <phoneticPr fontId="1" type="noConversion"/>
  </si>
  <si>
    <t>시스템선반</t>
    <phoneticPr fontId="1" type="noConversion"/>
  </si>
  <si>
    <t>3차전 6,520,000</t>
    <phoneticPr fontId="1" type="noConversion"/>
  </si>
  <si>
    <t>2월20일</t>
    <phoneticPr fontId="1" type="noConversion"/>
  </si>
  <si>
    <t>계좌이체</t>
    <phoneticPr fontId="1" type="noConversion"/>
  </si>
  <si>
    <t>굿모닝동문아파트</t>
    <phoneticPr fontId="1" type="noConversion"/>
  </si>
  <si>
    <t>푸르지오 아파트</t>
    <phoneticPr fontId="1" type="noConversion"/>
  </si>
  <si>
    <t>재료포장</t>
    <phoneticPr fontId="1" type="noConversion"/>
  </si>
  <si>
    <t>2월22일</t>
    <phoneticPr fontId="1" type="noConversion"/>
  </si>
  <si>
    <t>신정현대아파트</t>
    <phoneticPr fontId="1" type="noConversion"/>
  </si>
  <si>
    <t>2월21일</t>
    <phoneticPr fontId="1" type="noConversion"/>
  </si>
  <si>
    <t>2월22일</t>
    <phoneticPr fontId="1" type="noConversion"/>
  </si>
  <si>
    <t>재료포장</t>
    <phoneticPr fontId="1" type="noConversion"/>
  </si>
  <si>
    <t>블라인드</t>
    <phoneticPr fontId="1" type="noConversion"/>
  </si>
  <si>
    <t>계좌이체</t>
    <phoneticPr fontId="1" type="noConversion"/>
  </si>
  <si>
    <t>계좌이체</t>
    <phoneticPr fontId="1" type="noConversion"/>
  </si>
  <si>
    <t>시스템선반</t>
    <phoneticPr fontId="1" type="noConversion"/>
  </si>
  <si>
    <t>삼산 벽산아파트</t>
    <phoneticPr fontId="1" type="noConversion"/>
  </si>
  <si>
    <t>카드</t>
    <phoneticPr fontId="1" type="noConversion"/>
  </si>
  <si>
    <t>2월23일</t>
    <phoneticPr fontId="1" type="noConversion"/>
  </si>
  <si>
    <t>2월26일</t>
    <phoneticPr fontId="1" type="noConversion"/>
  </si>
  <si>
    <t>계좌이체</t>
    <phoneticPr fontId="1" type="noConversion"/>
  </si>
  <si>
    <t>2월26일</t>
    <phoneticPr fontId="1" type="noConversion"/>
  </si>
  <si>
    <t>2월26일</t>
    <phoneticPr fontId="1" type="noConversion"/>
  </si>
  <si>
    <t>시스템선반</t>
    <phoneticPr fontId="1" type="noConversion"/>
  </si>
  <si>
    <t>시스템선반</t>
    <phoneticPr fontId="1" type="noConversion"/>
  </si>
  <si>
    <t>청량 애뜰 107동1202호</t>
    <phoneticPr fontId="1" type="noConversion"/>
  </si>
  <si>
    <t>애뜰 3차 우노디자인</t>
    <phoneticPr fontId="1" type="noConversion"/>
  </si>
  <si>
    <t>이편한세상</t>
    <phoneticPr fontId="1" type="noConversion"/>
  </si>
  <si>
    <t>번영로센트리지</t>
    <phoneticPr fontId="1" type="noConversion"/>
  </si>
  <si>
    <t>500*1100*2000 2단</t>
    <phoneticPr fontId="1" type="noConversion"/>
  </si>
  <si>
    <t>400*</t>
    <phoneticPr fontId="1" type="noConversion"/>
  </si>
  <si>
    <t>시스템선반</t>
    <phoneticPr fontId="1" type="noConversion"/>
  </si>
  <si>
    <t>2월27일</t>
    <phoneticPr fontId="1" type="noConversion"/>
  </si>
  <si>
    <t>재료배달</t>
    <phoneticPr fontId="1" type="noConversion"/>
  </si>
  <si>
    <t>계좌이체</t>
    <phoneticPr fontId="1" type="noConversion"/>
  </si>
  <si>
    <t>2월27일</t>
    <phoneticPr fontId="1" type="noConversion"/>
  </si>
  <si>
    <t>아즈택</t>
    <phoneticPr fontId="1" type="noConversion"/>
  </si>
  <si>
    <t>계산서</t>
    <phoneticPr fontId="1" type="noConversion"/>
  </si>
  <si>
    <t>2월27일</t>
    <phoneticPr fontId="1" type="noConversion"/>
  </si>
  <si>
    <t>야음동</t>
    <phoneticPr fontId="1" type="noConversion"/>
  </si>
  <si>
    <t>500*1000*1800 5단 무.일 5조</t>
    <phoneticPr fontId="1" type="noConversion"/>
  </si>
  <si>
    <t>앵글 3조</t>
    <phoneticPr fontId="1" type="noConversion"/>
  </si>
  <si>
    <t>3차전 3,054,000</t>
    <phoneticPr fontId="1" type="noConversion"/>
  </si>
  <si>
    <t>51건 시스템 9건</t>
    <phoneticPr fontId="1" type="noConversion"/>
  </si>
  <si>
    <t>계좌이체</t>
    <phoneticPr fontId="1" type="noConversion"/>
  </si>
  <si>
    <t xml:space="preserve"> </t>
    <phoneticPr fontId="1" type="noConversion"/>
  </si>
  <si>
    <t>2월27일</t>
    <phoneticPr fontId="1" type="noConversion"/>
  </si>
  <si>
    <t>재료배달</t>
    <phoneticPr fontId="1" type="noConversion"/>
  </si>
  <si>
    <t>현금</t>
    <phoneticPr fontId="1" type="noConversion"/>
  </si>
  <si>
    <t>계좌이체</t>
    <phoneticPr fontId="1" type="noConversion"/>
  </si>
  <si>
    <t>카드</t>
    <phoneticPr fontId="1" type="noConversion"/>
  </si>
  <si>
    <t>계좌이체</t>
    <phoneticPr fontId="1" type="noConversion"/>
  </si>
  <si>
    <t>2월28일</t>
    <phoneticPr fontId="1" type="noConversion"/>
  </si>
  <si>
    <t>옥동 금오 아파트</t>
    <phoneticPr fontId="1" type="noConversion"/>
  </si>
  <si>
    <t>유곡 이편한세상109동2402호</t>
    <phoneticPr fontId="1" type="noConversion"/>
  </si>
  <si>
    <t>시스템선반</t>
    <phoneticPr fontId="1" type="noConversion"/>
  </si>
  <si>
    <t>시스템선반</t>
    <phoneticPr fontId="1" type="noConversion"/>
  </si>
  <si>
    <t>계좌이체</t>
    <phoneticPr fontId="1" type="noConversion"/>
  </si>
  <si>
    <t>2월28일</t>
    <phoneticPr fontId="1" type="noConversion"/>
  </si>
  <si>
    <t>2월29일</t>
    <phoneticPr fontId="1" type="noConversion"/>
  </si>
  <si>
    <t>현금</t>
    <phoneticPr fontId="1" type="noConversion"/>
  </si>
  <si>
    <t>재료포장</t>
    <phoneticPr fontId="1" type="noConversion"/>
  </si>
  <si>
    <t>카드</t>
    <phoneticPr fontId="1" type="noConversion"/>
  </si>
  <si>
    <t>계산서</t>
    <phoneticPr fontId="1" type="noConversion"/>
  </si>
  <si>
    <t>계좌이체</t>
    <phoneticPr fontId="1" type="noConversion"/>
  </si>
  <si>
    <t>1차전 550,000</t>
    <phoneticPr fontId="1" type="noConversion"/>
  </si>
  <si>
    <t>재료포장</t>
    <phoneticPr fontId="1" type="noConversion"/>
  </si>
  <si>
    <t>다슬기집</t>
    <phoneticPr fontId="1" type="noConversion"/>
  </si>
  <si>
    <t>300*1200*1200 2단 2조</t>
    <phoneticPr fontId="1" type="noConversion"/>
  </si>
  <si>
    <t>600*3300*2100 3열 5단</t>
    <phoneticPr fontId="1" type="noConversion"/>
  </si>
  <si>
    <t>시스템선반</t>
    <phoneticPr fontId="1" type="noConversion"/>
  </si>
  <si>
    <t>뉴시티 에일린의뜰 107동1404호</t>
    <phoneticPr fontId="1" type="noConversion"/>
  </si>
  <si>
    <t>뉴시티 에일린의뜰 107동1704호</t>
    <phoneticPr fontId="1" type="noConversion"/>
  </si>
  <si>
    <t>계좌이체</t>
    <phoneticPr fontId="1" type="noConversion"/>
  </si>
  <si>
    <t>미입</t>
    <phoneticPr fontId="1" type="noConversion"/>
  </si>
  <si>
    <t>조선소</t>
    <phoneticPr fontId="1" type="noConversion"/>
  </si>
  <si>
    <t>재료배달</t>
    <phoneticPr fontId="1" type="noConversion"/>
  </si>
  <si>
    <t>태양한신 102동309호</t>
    <phoneticPr fontId="1" type="noConversion"/>
  </si>
  <si>
    <t>500*800*1200 1단 무.양</t>
    <phoneticPr fontId="1" type="noConversion"/>
  </si>
  <si>
    <t xml:space="preserve"> 600*5700*2100 5열 3단 무.일 3조</t>
    <phoneticPr fontId="1" type="noConversion"/>
  </si>
  <si>
    <t>400*1100*2000 4단 무.양</t>
    <phoneticPr fontId="1" type="noConversion"/>
  </si>
  <si>
    <t>500*700*1500 3단 무.양</t>
    <phoneticPr fontId="1" type="noConversion"/>
  </si>
  <si>
    <t>시스템선반</t>
    <phoneticPr fontId="1" type="noConversion"/>
  </si>
  <si>
    <t>세양청구아파트 109동1905호</t>
    <phoneticPr fontId="1" type="noConversion"/>
  </si>
  <si>
    <t>근훈 스카이빌404호</t>
    <phoneticPr fontId="1" type="noConversion"/>
  </si>
  <si>
    <t>계좌이체</t>
    <phoneticPr fontId="1" type="noConversion"/>
  </si>
  <si>
    <t>계좌이체</t>
    <phoneticPr fontId="1" type="noConversion"/>
  </si>
  <si>
    <t>계좌이체</t>
    <phoneticPr fontId="1" type="noConversion"/>
  </si>
  <si>
    <t>카드</t>
    <phoneticPr fontId="1" type="noConversion"/>
  </si>
  <si>
    <t>동운</t>
    <phoneticPr fontId="1" type="noConversion"/>
  </si>
  <si>
    <t xml:space="preserve">400*3100*1800 5단 무.일
400*1800*1800 5단 무.일
400*2400*1500 3단 무.일
400*1200*1500 3단 무.일
</t>
    <phoneticPr fontId="1" type="noConversion"/>
  </si>
  <si>
    <t>샤시집</t>
    <phoneticPr fontId="1" type="noConversion"/>
  </si>
  <si>
    <t>500*5800*1600 2단 무.일
500*3300*1600 2단 무.일
500*2200*1600 2단 무,일</t>
    <phoneticPr fontId="1" type="noConversion"/>
  </si>
  <si>
    <t>46건 시스템 12건</t>
    <phoneticPr fontId="1" type="noConversion"/>
  </si>
  <si>
    <t>공구월드 4층</t>
    <phoneticPr fontId="1" type="noConversion"/>
  </si>
  <si>
    <t>우방유화 아파트101동801호</t>
    <phoneticPr fontId="1" type="noConversion"/>
  </si>
  <si>
    <t>태양한신 102동309호</t>
    <phoneticPr fontId="1" type="noConversion"/>
  </si>
  <si>
    <t>k가구점 언양지점</t>
    <phoneticPr fontId="1" type="noConversion"/>
  </si>
  <si>
    <t>동구전하동 현대홈타운102동103동</t>
    <phoneticPr fontId="1" type="noConversion"/>
  </si>
  <si>
    <t>시스템선반</t>
    <phoneticPr fontId="1" type="noConversion"/>
  </si>
  <si>
    <t>시스템선반</t>
    <phoneticPr fontId="1" type="noConversion"/>
  </si>
  <si>
    <t xml:space="preserve">언양 한라타운 </t>
    <phoneticPr fontId="1" type="noConversion"/>
  </si>
  <si>
    <t>600*1600*1500 2열 3단 무.양
600*3200*1500 3열 3단 무.양</t>
    <phoneticPr fontId="1" type="noConversion"/>
  </si>
  <si>
    <t>500*2400*1500 2열 4단 무.일</t>
    <phoneticPr fontId="1" type="noConversion"/>
  </si>
  <si>
    <t>현금</t>
    <phoneticPr fontId="1" type="noConversion"/>
  </si>
  <si>
    <t>계좌이체</t>
    <phoneticPr fontId="1" type="noConversion"/>
  </si>
  <si>
    <t>계산서</t>
    <phoneticPr fontId="1" type="noConversion"/>
  </si>
  <si>
    <t>계좌이체</t>
    <phoneticPr fontId="1" type="noConversion"/>
  </si>
  <si>
    <t>500*500*2000 6단 무.양</t>
    <phoneticPr fontId="1" type="noConversion"/>
  </si>
  <si>
    <t>500*1000*2000 4단 무.양</t>
    <phoneticPr fontId="1" type="noConversion"/>
  </si>
  <si>
    <t>010-4232-7776</t>
    <phoneticPr fontId="1" type="noConversion"/>
  </si>
  <si>
    <t>010-6710-0988</t>
    <phoneticPr fontId="1" type="noConversion"/>
  </si>
  <si>
    <t>010-5107-5848</t>
    <phoneticPr fontId="1" type="noConversion"/>
  </si>
  <si>
    <t>010-8748-2545</t>
    <phoneticPr fontId="1" type="noConversion"/>
  </si>
  <si>
    <t>010-4520-4377</t>
    <phoneticPr fontId="1" type="noConversion"/>
  </si>
  <si>
    <t>010-6808-8777</t>
    <phoneticPr fontId="1" type="noConversion"/>
  </si>
  <si>
    <t>010-3873-7989</t>
    <phoneticPr fontId="1" type="noConversion"/>
  </si>
  <si>
    <t>010-3880-8358</t>
    <phoneticPr fontId="1" type="noConversion"/>
  </si>
  <si>
    <t>010-4696-2088</t>
    <phoneticPr fontId="1" type="noConversion"/>
  </si>
  <si>
    <t>계좌이체</t>
    <phoneticPr fontId="1" type="noConversion"/>
  </si>
  <si>
    <t>재료포장</t>
    <phoneticPr fontId="1" type="noConversion"/>
  </si>
  <si>
    <t>태화동 아파트</t>
    <phoneticPr fontId="1" type="noConversion"/>
  </si>
  <si>
    <t>시스템선반 , 앵글선반</t>
    <phoneticPr fontId="1" type="noConversion"/>
  </si>
  <si>
    <t>계좌이체</t>
    <phoneticPr fontId="1" type="noConversion"/>
  </si>
  <si>
    <t>400*700*1800 5단 무.양</t>
    <phoneticPr fontId="1" type="noConversion"/>
  </si>
  <si>
    <t>계좌이체</t>
    <phoneticPr fontId="1" type="noConversion"/>
  </si>
  <si>
    <t>계좌이체</t>
    <phoneticPr fontId="1" type="noConversion"/>
  </si>
  <si>
    <t>계좌이체</t>
    <phoneticPr fontId="1" type="noConversion"/>
  </si>
  <si>
    <t>동부아파트3차 303동1705호</t>
    <phoneticPr fontId="1" type="noConversion"/>
  </si>
  <si>
    <t>600*1000*2000 5단 무.양
400*1000*1100 3단 무.양</t>
    <phoneticPr fontId="1" type="noConversion"/>
  </si>
  <si>
    <t>장원맨션102동1205호</t>
    <phoneticPr fontId="1" type="noConversion"/>
  </si>
  <si>
    <t>300*500*1800 4단 무.양</t>
    <phoneticPr fontId="1" type="noConversion"/>
  </si>
  <si>
    <t>2차전 7,922,000</t>
    <phoneticPr fontId="1" type="noConversion"/>
  </si>
  <si>
    <t>서영 골든 맨션1209호</t>
    <phoneticPr fontId="1" type="noConversion"/>
  </si>
  <si>
    <t>400*1200*2000 4단 무.양
400*1100*1100 3단 무.양
400*900*2000 5단 무.양</t>
    <phoneticPr fontId="1" type="noConversion"/>
  </si>
  <si>
    <t>600*2200*2000 2열 4단 무.양</t>
    <phoneticPr fontId="1" type="noConversion"/>
  </si>
  <si>
    <t>하잠마을 회관</t>
    <phoneticPr fontId="1" type="noConversion"/>
  </si>
  <si>
    <t>카드</t>
    <phoneticPr fontId="1" type="noConversion"/>
  </si>
  <si>
    <t>재료포장</t>
    <phoneticPr fontId="1" type="noConversion"/>
  </si>
  <si>
    <t>계좌이체</t>
    <phoneticPr fontId="1" type="noConversion"/>
  </si>
  <si>
    <t>재료포장</t>
    <phoneticPr fontId="1" type="noConversion"/>
  </si>
  <si>
    <t>재료포장</t>
    <phoneticPr fontId="1" type="noConversion"/>
  </si>
  <si>
    <t xml:space="preserve">약사아이파크 </t>
    <phoneticPr fontId="1" type="noConversion"/>
  </si>
  <si>
    <t>커튼블라인드</t>
    <phoneticPr fontId="1" type="noConversion"/>
  </si>
  <si>
    <t>400*1100*1500 3단 무,일</t>
    <phoneticPr fontId="1" type="noConversion"/>
  </si>
  <si>
    <t>카드</t>
    <phoneticPr fontId="1" type="noConversion"/>
  </si>
  <si>
    <t>카드 ,현금</t>
    <phoneticPr fontId="1" type="noConversion"/>
  </si>
  <si>
    <t>재료포장</t>
    <phoneticPr fontId="1" type="noConversion"/>
  </si>
  <si>
    <t>계산서발행</t>
    <phoneticPr fontId="1" type="noConversion"/>
  </si>
  <si>
    <t>계좌이체</t>
    <phoneticPr fontId="1" type="noConversion"/>
  </si>
  <si>
    <t>사랑주간센터</t>
    <phoneticPr fontId="1" type="noConversion"/>
  </si>
  <si>
    <t>계좌이체</t>
    <phoneticPr fontId="1" type="noConversion"/>
  </si>
  <si>
    <t xml:space="preserve">사서리 </t>
    <phoneticPr fontId="1" type="noConversion"/>
  </si>
  <si>
    <t>300*2400*1200 2열 2단</t>
    <phoneticPr fontId="1" type="noConversion"/>
  </si>
  <si>
    <t xml:space="preserve">300*2000*1800 2열 5단 
300*1000*1800 5단 </t>
    <phoneticPr fontId="1" type="noConversion"/>
  </si>
  <si>
    <t>600*1200*2100 4단 무.일 6조</t>
    <phoneticPr fontId="1" type="noConversion"/>
  </si>
  <si>
    <t>3차전 3,278,000</t>
    <phoneticPr fontId="1" type="noConversion"/>
  </si>
  <si>
    <t>재료포장</t>
    <phoneticPr fontId="1" type="noConversion"/>
  </si>
  <si>
    <t>400*2400*1650 5열 4단 무.일</t>
    <phoneticPr fontId="1" type="noConversion"/>
  </si>
  <si>
    <t>계좌이체</t>
    <phoneticPr fontId="1" type="noConversion"/>
  </si>
  <si>
    <t>300*2400*1200 2단 무.양</t>
    <phoneticPr fontId="1" type="noConversion"/>
  </si>
  <si>
    <t>언양 샤브샤브</t>
    <phoneticPr fontId="1" type="noConversion"/>
  </si>
  <si>
    <t>태기길</t>
    <phoneticPr fontId="1" type="noConversion"/>
  </si>
  <si>
    <t>계좌이체</t>
    <phoneticPr fontId="1" type="noConversion"/>
  </si>
  <si>
    <t>계좌이체</t>
    <phoneticPr fontId="1" type="noConversion"/>
  </si>
  <si>
    <t>현금</t>
    <phoneticPr fontId="1" type="noConversion"/>
  </si>
  <si>
    <t>부영아파트 엄마친구</t>
    <phoneticPr fontId="1" type="noConversion"/>
  </si>
  <si>
    <t>재료포장</t>
    <phoneticPr fontId="1" type="noConversion"/>
  </si>
  <si>
    <t>한라빌리지</t>
    <phoneticPr fontId="1" type="noConversion"/>
  </si>
  <si>
    <t>계좌이체</t>
    <phoneticPr fontId="1" type="noConversion"/>
  </si>
  <si>
    <t>계좌이체</t>
    <phoneticPr fontId="1" type="noConversion"/>
  </si>
  <si>
    <t>커튼블라인드</t>
    <phoneticPr fontId="1" type="noConversion"/>
  </si>
  <si>
    <t>600*1100*2000 4단 무,양</t>
    <phoneticPr fontId="1" type="noConversion"/>
  </si>
  <si>
    <t>400*2000*1800 2열 3단 무.테 
400*1500*1200 1단 무.테</t>
    <phoneticPr fontId="1" type="noConversion"/>
  </si>
  <si>
    <t>동구 전하 아이파크102동1801호</t>
    <phoneticPr fontId="1" type="noConversion"/>
  </si>
  <si>
    <t>재료포장</t>
    <phoneticPr fontId="1" type="noConversion"/>
  </si>
  <si>
    <t>옥현주공</t>
    <phoneticPr fontId="1" type="noConversion"/>
  </si>
  <si>
    <t>시스템</t>
    <phoneticPr fontId="1" type="noConversion"/>
  </si>
  <si>
    <t>온담 시스템</t>
    <phoneticPr fontId="1" type="noConversion"/>
  </si>
  <si>
    <t>계좌이체</t>
    <phoneticPr fontId="1" type="noConversion"/>
  </si>
  <si>
    <t>경동청구</t>
    <phoneticPr fontId="1" type="noConversion"/>
  </si>
  <si>
    <t>블라인드</t>
    <phoneticPr fontId="1" type="noConversion"/>
  </si>
  <si>
    <t>현금</t>
    <phoneticPr fontId="1" type="noConversion"/>
  </si>
  <si>
    <t>레몬하우스</t>
    <phoneticPr fontId="1" type="noConversion"/>
  </si>
  <si>
    <t>미입</t>
    <phoneticPr fontId="1" type="noConversion"/>
  </si>
  <si>
    <t>계좌이체</t>
    <phoneticPr fontId="1" type="noConversion"/>
  </si>
  <si>
    <t>400*500*900 2단</t>
    <phoneticPr fontId="1" type="noConversion"/>
  </si>
  <si>
    <t>400*1100*1500 4단 무.양</t>
    <phoneticPr fontId="1" type="noConversion"/>
  </si>
  <si>
    <t>4차전 3,147,000</t>
    <phoneticPr fontId="1" type="noConversion"/>
  </si>
  <si>
    <t>블라인드 3창</t>
    <phoneticPr fontId="1" type="noConversion"/>
  </si>
  <si>
    <t>근훈스카이404호</t>
    <phoneticPr fontId="1" type="noConversion"/>
  </si>
  <si>
    <t>삼산현대102동201호</t>
    <phoneticPr fontId="1" type="noConversion"/>
  </si>
  <si>
    <t>현대백화점 책</t>
    <phoneticPr fontId="1" type="noConversion"/>
  </si>
  <si>
    <t>달동현대102동1004호</t>
    <phoneticPr fontId="1" type="noConversion"/>
  </si>
  <si>
    <t xml:space="preserve">300*1000*1500 4단 무.양 </t>
    <phoneticPr fontId="1" type="noConversion"/>
  </si>
  <si>
    <t>블라인드 3창</t>
    <phoneticPr fontId="1" type="noConversion"/>
  </si>
  <si>
    <t>400*1200*1500 4단 무.양
400*800*1200 3단 무.양</t>
    <phoneticPr fontId="1" type="noConversion"/>
  </si>
  <si>
    <t>300*1800*900 2열 2단 무.양 2조</t>
    <phoneticPr fontId="1" type="noConversion"/>
  </si>
  <si>
    <t>600*3500*1800 3열 3단 무.양</t>
    <phoneticPr fontId="1" type="noConversion"/>
  </si>
  <si>
    <t xml:space="preserve">동구 지웰자이 </t>
    <phoneticPr fontId="1" type="noConversion"/>
  </si>
  <si>
    <t>2024년 3월  매출현황</t>
    <phoneticPr fontId="1" type="noConversion"/>
  </si>
  <si>
    <t>2024년 2월  매출현황</t>
    <phoneticPr fontId="1" type="noConversion"/>
  </si>
  <si>
    <t>2023년 10월  매출현황</t>
    <phoneticPr fontId="1" type="noConversion"/>
  </si>
  <si>
    <t>계좌이체</t>
    <phoneticPr fontId="1" type="noConversion"/>
  </si>
  <si>
    <t>롯데인벤스가 103동201호</t>
    <phoneticPr fontId="1" type="noConversion"/>
  </si>
  <si>
    <t>재료포장</t>
    <phoneticPr fontId="1" type="noConversion"/>
  </si>
  <si>
    <t>시스템선반</t>
    <phoneticPr fontId="1" type="noConversion"/>
  </si>
  <si>
    <t>5차전</t>
    <phoneticPr fontId="1" type="noConversion"/>
  </si>
  <si>
    <t>동륜물류</t>
    <phoneticPr fontId="1" type="noConversion"/>
  </si>
  <si>
    <t>재료포장</t>
    <phoneticPr fontId="1" type="noConversion"/>
  </si>
  <si>
    <t>500*3500*1800 3열 3단 무.일 2조
500*1500*1800 3단 무.일</t>
    <phoneticPr fontId="1" type="noConversion"/>
  </si>
  <si>
    <t>500*2400*1100 2열 2단 무.일</t>
    <phoneticPr fontId="1" type="noConversion"/>
  </si>
  <si>
    <t>계산서</t>
    <phoneticPr fontId="1" type="noConversion"/>
  </si>
  <si>
    <t>51건 2건</t>
    <phoneticPr fontId="1" type="noConversion"/>
  </si>
  <si>
    <t>57건 1건</t>
    <phoneticPr fontId="1" type="noConversion"/>
  </si>
  <si>
    <t>55건 2건</t>
    <phoneticPr fontId="1" type="noConversion"/>
  </si>
  <si>
    <t>계산서발행</t>
    <phoneticPr fontId="1" type="noConversion"/>
  </si>
  <si>
    <t>상북</t>
    <phoneticPr fontId="1" type="noConversion"/>
  </si>
  <si>
    <t>2024년 4월  매출현황</t>
    <phoneticPr fontId="1" type="noConversion"/>
  </si>
  <si>
    <t>53건  9건</t>
    <phoneticPr fontId="1" type="noConversion"/>
  </si>
  <si>
    <t xml:space="preserve">병풍다이 </t>
    <phoneticPr fontId="1" type="noConversion"/>
  </si>
  <si>
    <t>서생면</t>
    <phoneticPr fontId="1" type="noConversion"/>
  </si>
  <si>
    <t>더샵 번영로105동703호</t>
    <phoneticPr fontId="1" type="noConversion"/>
  </si>
  <si>
    <t>600*2100*1800 3단 무.일</t>
    <phoneticPr fontId="1" type="noConversion"/>
  </si>
  <si>
    <t>시스템</t>
    <phoneticPr fontId="1" type="noConversion"/>
  </si>
  <si>
    <t>시스템</t>
    <phoneticPr fontId="1" type="noConversion"/>
  </si>
  <si>
    <t>계좌이체</t>
    <phoneticPr fontId="1" type="noConversion"/>
  </si>
  <si>
    <t>계좌이체</t>
    <phoneticPr fontId="1" type="noConversion"/>
  </si>
  <si>
    <t>문수로 애뜰</t>
    <phoneticPr fontId="1" type="noConversion"/>
  </si>
  <si>
    <t>500*1000*2000 4단 무.양</t>
    <phoneticPr fontId="1" type="noConversion"/>
  </si>
  <si>
    <t>문수로 더샵</t>
    <phoneticPr fontId="1" type="noConversion"/>
  </si>
  <si>
    <t>400*1100*2100 4단 무.양</t>
    <phoneticPr fontId="1" type="noConversion"/>
  </si>
  <si>
    <t>계좌이체</t>
    <phoneticPr fontId="1" type="noConversion"/>
  </si>
  <si>
    <t>대진그린피아a 308호</t>
    <phoneticPr fontId="1" type="noConversion"/>
  </si>
  <si>
    <t>계좌이체</t>
    <phoneticPr fontId="1" type="noConversion"/>
  </si>
  <si>
    <t>계좌이체</t>
    <phoneticPr fontId="1" type="noConversion"/>
  </si>
  <si>
    <t>현금</t>
    <phoneticPr fontId="1" type="noConversion"/>
  </si>
  <si>
    <t>미연 반천</t>
    <phoneticPr fontId="1" type="noConversion"/>
  </si>
  <si>
    <t>삼산 빌라</t>
    <phoneticPr fontId="1" type="noConversion"/>
  </si>
  <si>
    <t>애뜰</t>
    <phoneticPr fontId="1" type="noConversion"/>
  </si>
  <si>
    <t>삼산 벽산</t>
    <phoneticPr fontId="1" type="noConversion"/>
  </si>
  <si>
    <t>재료포장</t>
    <phoneticPr fontId="1" type="noConversion"/>
  </si>
  <si>
    <t xml:space="preserve">앵글 </t>
    <phoneticPr fontId="1" type="noConversion"/>
  </si>
  <si>
    <t>현금</t>
    <phoneticPr fontId="1" type="noConversion"/>
  </si>
  <si>
    <t>재료포장</t>
    <phoneticPr fontId="1" type="noConversion"/>
  </si>
  <si>
    <t>합판1장 벽돌4</t>
    <phoneticPr fontId="1" type="noConversion"/>
  </si>
  <si>
    <t>미연</t>
    <phoneticPr fontId="1" type="noConversion"/>
  </si>
  <si>
    <t>현금</t>
    <phoneticPr fontId="1" type="noConversion"/>
  </si>
  <si>
    <t>시스템</t>
    <phoneticPr fontId="1" type="noConversion"/>
  </si>
  <si>
    <t>힐스테이트106동605호</t>
    <phoneticPr fontId="1" type="noConversion"/>
  </si>
  <si>
    <t>재료포장</t>
    <phoneticPr fontId="1" type="noConversion"/>
  </si>
  <si>
    <t xml:space="preserve">앵글 </t>
    <phoneticPr fontId="1" type="noConversion"/>
  </si>
  <si>
    <t>계좌이체</t>
    <phoneticPr fontId="1" type="noConversion"/>
  </si>
  <si>
    <t>계좌이체</t>
    <phoneticPr fontId="1" type="noConversion"/>
  </si>
  <si>
    <t>1차전  3,670,000</t>
    <phoneticPr fontId="1" type="noConversion"/>
  </si>
  <si>
    <t>300*1800*900 2열 2단 무,양</t>
    <phoneticPr fontId="1" type="noConversion"/>
  </si>
  <si>
    <t>단추가 500*1000 1단</t>
    <phoneticPr fontId="1" type="noConversion"/>
  </si>
  <si>
    <t>400*1000*1800 4단 무.양 2조</t>
    <phoneticPr fontId="1" type="noConversion"/>
  </si>
  <si>
    <t>재료포장</t>
    <phoneticPr fontId="1" type="noConversion"/>
  </si>
  <si>
    <t>카드</t>
    <phoneticPr fontId="1" type="noConversion"/>
  </si>
  <si>
    <t>삼산중로131번길35 미르마을201호</t>
    <phoneticPr fontId="1" type="noConversion"/>
  </si>
  <si>
    <t>온산읍  내동3길 1</t>
    <phoneticPr fontId="1" type="noConversion"/>
  </si>
  <si>
    <t>카드</t>
    <phoneticPr fontId="1" type="noConversion"/>
  </si>
  <si>
    <t>400*3900*2100 4열 5단 무,일</t>
    <phoneticPr fontId="1" type="noConversion"/>
  </si>
  <si>
    <t>400*2400*2000 2열 5단 무.일</t>
    <phoneticPr fontId="1" type="noConversion"/>
  </si>
  <si>
    <t>온담</t>
    <phoneticPr fontId="1" type="noConversion"/>
  </si>
  <si>
    <t>카드</t>
    <phoneticPr fontId="1" type="noConversion"/>
  </si>
  <si>
    <t>계좌이체</t>
    <phoneticPr fontId="1" type="noConversion"/>
  </si>
  <si>
    <t>호반베르디움</t>
    <phoneticPr fontId="1" type="noConversion"/>
  </si>
  <si>
    <t>시스템</t>
    <phoneticPr fontId="1" type="noConversion"/>
  </si>
  <si>
    <t>400*700*1500 4단 무.양</t>
    <phoneticPr fontId="1" type="noConversion"/>
  </si>
  <si>
    <t>재료포장</t>
    <phoneticPr fontId="1" type="noConversion"/>
  </si>
  <si>
    <t>삼남읍 주택</t>
    <phoneticPr fontId="1" type="noConversion"/>
  </si>
  <si>
    <t>600*2300*2000 2열 4단 무.양</t>
    <phoneticPr fontId="1" type="noConversion"/>
  </si>
  <si>
    <t>계좌이체</t>
    <phoneticPr fontId="1" type="noConversion"/>
  </si>
  <si>
    <t>재료포장</t>
    <phoneticPr fontId="1" type="noConversion"/>
  </si>
  <si>
    <t>2차전 9,220,000원</t>
    <phoneticPr fontId="1" type="noConversion"/>
  </si>
  <si>
    <t>삼남 썬텍</t>
    <phoneticPr fontId="1" type="noConversion"/>
  </si>
  <si>
    <t>600*2400*2100 2열 5단 무.일 20조</t>
    <phoneticPr fontId="1" type="noConversion"/>
  </si>
  <si>
    <t>시스템</t>
    <phoneticPr fontId="1" type="noConversion"/>
  </si>
  <si>
    <t>계좌이체</t>
    <phoneticPr fontId="1" type="noConversion"/>
  </si>
  <si>
    <t>이편한세상 망양</t>
    <phoneticPr fontId="1" type="noConversion"/>
  </si>
  <si>
    <t>재료포장</t>
    <phoneticPr fontId="1" type="noConversion"/>
  </si>
  <si>
    <t>카드</t>
    <phoneticPr fontId="1" type="noConversion"/>
  </si>
  <si>
    <t>마산길</t>
    <phoneticPr fontId="1" type="noConversion"/>
  </si>
  <si>
    <t>블라인드</t>
    <phoneticPr fontId="1" type="noConversion"/>
  </si>
  <si>
    <t>앵글</t>
    <phoneticPr fontId="1" type="noConversion"/>
  </si>
  <si>
    <t>커튼 블라인드</t>
    <phoneticPr fontId="1" type="noConversion"/>
  </si>
  <si>
    <t>리슈빌 107동601호</t>
    <phoneticPr fontId="1" type="noConversion"/>
  </si>
  <si>
    <t>계좌이체</t>
    <phoneticPr fontId="1" type="noConversion"/>
  </si>
  <si>
    <t>커튼</t>
    <phoneticPr fontId="1" type="noConversion"/>
  </si>
  <si>
    <t>이편한세상</t>
    <phoneticPr fontId="1" type="noConversion"/>
  </si>
  <si>
    <t>서생 온더문</t>
    <phoneticPr fontId="1" type="noConversion"/>
  </si>
  <si>
    <t>400*1900*2000 2열 4단 무.양
400*1300*2000 2열 4단 무.양
300*1200*2000 4단 무.양</t>
    <phoneticPr fontId="1" type="noConversion"/>
  </si>
  <si>
    <t>카드</t>
    <phoneticPr fontId="1" type="noConversion"/>
  </si>
  <si>
    <t>엑슬루 타워 B 2102호</t>
    <phoneticPr fontId="1" type="noConversion"/>
  </si>
  <si>
    <t>600*1300*2000 2열 2단 5단 무.양</t>
    <phoneticPr fontId="1" type="noConversion"/>
  </si>
  <si>
    <t>시스템선반</t>
    <phoneticPr fontId="1" type="noConversion"/>
  </si>
  <si>
    <t>풍경채 101동1203호</t>
    <phoneticPr fontId="1" type="noConversion"/>
  </si>
  <si>
    <t>재료포장</t>
    <phoneticPr fontId="1" type="noConversion"/>
  </si>
  <si>
    <t>계좌이체</t>
    <phoneticPr fontId="1" type="noConversion"/>
  </si>
  <si>
    <t>400*2700*1000 3열 3단 무.양</t>
    <phoneticPr fontId="1" type="noConversion"/>
  </si>
  <si>
    <t>계좌이체</t>
    <phoneticPr fontId="1" type="noConversion"/>
  </si>
  <si>
    <t>블라인드</t>
    <phoneticPr fontId="1" type="noConversion"/>
  </si>
  <si>
    <t>계좌이체</t>
    <phoneticPr fontId="1" type="noConversion"/>
  </si>
  <si>
    <t>온담 동규</t>
    <phoneticPr fontId="1" type="noConversion"/>
  </si>
  <si>
    <t xml:space="preserve">시스템 </t>
    <phoneticPr fontId="1" type="noConversion"/>
  </si>
  <si>
    <t>미입</t>
    <phoneticPr fontId="1" type="noConversion"/>
  </si>
  <si>
    <t>재료포장</t>
    <phoneticPr fontId="1" type="noConversion"/>
  </si>
  <si>
    <t>사랑주간센터</t>
    <phoneticPr fontId="1" type="noConversion"/>
  </si>
  <si>
    <t>계좌이체</t>
    <phoneticPr fontId="1" type="noConversion"/>
  </si>
  <si>
    <t>아이파크 1차 208동1205호</t>
    <phoneticPr fontId="1" type="noConversion"/>
  </si>
  <si>
    <t>블라인드 3창 앵글</t>
    <phoneticPr fontId="1" type="noConversion"/>
  </si>
  <si>
    <t>커피마시는 고래</t>
    <phoneticPr fontId="1" type="noConversion"/>
  </si>
  <si>
    <t xml:space="preserve">오피스텔 </t>
    <phoneticPr fontId="1" type="noConversion"/>
  </si>
  <si>
    <t>계좌이체</t>
    <phoneticPr fontId="1" type="noConversion"/>
  </si>
  <si>
    <t>삼남 혼자사는아저씨</t>
    <phoneticPr fontId="1" type="noConversion"/>
  </si>
  <si>
    <t>삼남 단골아줌마</t>
    <phoneticPr fontId="1" type="noConversion"/>
  </si>
  <si>
    <t>블라인드 2창</t>
    <phoneticPr fontId="1" type="noConversion"/>
  </si>
  <si>
    <t>블라인드 4창</t>
    <phoneticPr fontId="1" type="noConversion"/>
  </si>
  <si>
    <t>계좌이체</t>
    <phoneticPr fontId="1" type="noConversion"/>
  </si>
  <si>
    <t>현금</t>
    <phoneticPr fontId="1" type="noConversion"/>
  </si>
  <si>
    <t xml:space="preserve">3차전 5,821,000원 </t>
    <phoneticPr fontId="1" type="noConversion"/>
  </si>
  <si>
    <t>시스템선반</t>
    <phoneticPr fontId="1" type="noConversion"/>
  </si>
  <si>
    <t xml:space="preserve">경주 </t>
    <phoneticPr fontId="1" type="noConversion"/>
  </si>
  <si>
    <t>주상전리횟집</t>
    <phoneticPr fontId="1" type="noConversion"/>
  </si>
  <si>
    <t>우주그린빌</t>
    <phoneticPr fontId="1" type="noConversion"/>
  </si>
  <si>
    <t>앵글선반</t>
    <phoneticPr fontId="1" type="noConversion"/>
  </si>
  <si>
    <t>24년 2월</t>
  </si>
  <si>
    <t>24년 1월</t>
    <phoneticPr fontId="1" type="noConversion"/>
  </si>
  <si>
    <t>24년 3월</t>
  </si>
  <si>
    <t>24년 4월</t>
  </si>
  <si>
    <t>24년 5월</t>
  </si>
  <si>
    <t>24년 6월</t>
  </si>
  <si>
    <t>24년 7월</t>
  </si>
  <si>
    <t>24년 8월</t>
  </si>
  <si>
    <t>24년 9월</t>
  </si>
  <si>
    <t>24년 10월</t>
  </si>
  <si>
    <t>24년 11월</t>
  </si>
  <si>
    <t>24년 12월</t>
  </si>
  <si>
    <t>내일네스트</t>
    <phoneticPr fontId="1" type="noConversion"/>
  </si>
  <si>
    <t>카드</t>
    <phoneticPr fontId="1" type="noConversion"/>
  </si>
  <si>
    <t>계좌이체</t>
    <phoneticPr fontId="1" type="noConversion"/>
  </si>
  <si>
    <t>재료포장</t>
    <phoneticPr fontId="1" type="noConversion"/>
  </si>
  <si>
    <t>언양 빌라</t>
    <phoneticPr fontId="1" type="noConversion"/>
  </si>
  <si>
    <t>앵글 2조 행거용</t>
    <phoneticPr fontId="1" type="noConversion"/>
  </si>
  <si>
    <t>미입</t>
    <phoneticPr fontId="1" type="noConversion"/>
  </si>
  <si>
    <t>50건 시스템 11개</t>
    <phoneticPr fontId="1" type="noConversion"/>
  </si>
  <si>
    <t>시스템</t>
    <phoneticPr fontId="1" type="noConversion"/>
  </si>
  <si>
    <t>2024년 5월  매출현황</t>
    <phoneticPr fontId="1" type="noConversion"/>
  </si>
  <si>
    <t>옥동 문수 아이파크208동1205호</t>
    <phoneticPr fontId="1" type="noConversion"/>
  </si>
  <si>
    <t>계좌이체</t>
    <phoneticPr fontId="1" type="noConversion"/>
  </si>
  <si>
    <t>부일맨션 106호</t>
    <phoneticPr fontId="1" type="noConversion"/>
  </si>
  <si>
    <t>재료포장</t>
    <phoneticPr fontId="1" type="noConversion"/>
  </si>
  <si>
    <t>계좌이체</t>
    <phoneticPr fontId="1" type="noConversion"/>
  </si>
  <si>
    <t xml:space="preserve">문수로 애뜰 </t>
    <phoneticPr fontId="1" type="noConversion"/>
  </si>
  <si>
    <t>지우아줌마</t>
    <phoneticPr fontId="1" type="noConversion"/>
  </si>
  <si>
    <t>4차전 2,730,000</t>
    <phoneticPr fontId="1" type="noConversion"/>
  </si>
  <si>
    <t>7월달 입금예정</t>
    <phoneticPr fontId="1" type="noConversion"/>
  </si>
  <si>
    <t>온양 공장</t>
    <phoneticPr fontId="1" type="noConversion"/>
  </si>
  <si>
    <t>커튼 2창</t>
    <phoneticPr fontId="1" type="noConversion"/>
  </si>
  <si>
    <t>시스템</t>
    <phoneticPr fontId="1" type="noConversion"/>
  </si>
  <si>
    <t>블라인드 2창 
500*1000*1800 3단 무.양
600*1100*2100 3단 무.양 1봉
600*700*1800 3단 무.양
400*2400*1800 2열 3단 무.양</t>
    <phoneticPr fontId="1" type="noConversion"/>
  </si>
  <si>
    <t xml:space="preserve">온양읍 </t>
    <phoneticPr fontId="1" type="noConversion"/>
  </si>
  <si>
    <t>청구상가 설치</t>
    <phoneticPr fontId="1" type="noConversion"/>
  </si>
  <si>
    <t>500*3300*2100 4단 무.일</t>
    <phoneticPr fontId="1" type="noConversion"/>
  </si>
  <si>
    <t>1차전 2,245,000</t>
    <phoneticPr fontId="1" type="noConversion"/>
  </si>
  <si>
    <t>한라아파트103동904호</t>
    <phoneticPr fontId="1" type="noConversion"/>
  </si>
  <si>
    <t>시스템</t>
    <phoneticPr fontId="1" type="noConversion"/>
  </si>
  <si>
    <t>계좌이체</t>
    <phoneticPr fontId="1" type="noConversion"/>
  </si>
  <si>
    <t>청구 상가</t>
    <phoneticPr fontId="1" type="noConversion"/>
  </si>
  <si>
    <t>500*1100 3열 추가</t>
    <phoneticPr fontId="1" type="noConversion"/>
  </si>
  <si>
    <t>계좌이체</t>
    <phoneticPr fontId="1" type="noConversion"/>
  </si>
  <si>
    <t>재료포장</t>
    <phoneticPr fontId="1" type="noConversion"/>
  </si>
  <si>
    <t>620 닭장앵글</t>
    <phoneticPr fontId="1" type="noConversion"/>
  </si>
  <si>
    <t>현금</t>
    <phoneticPr fontId="1" type="noConversion"/>
  </si>
  <si>
    <t>북구 LH2차 203동</t>
    <phoneticPr fontId="1" type="noConversion"/>
  </si>
  <si>
    <t>500*1000*1800 2단 무,양</t>
    <phoneticPr fontId="1" type="noConversion"/>
  </si>
  <si>
    <t>계좌이체</t>
    <phoneticPr fontId="1" type="noConversion"/>
  </si>
  <si>
    <t>약사 아이파크 103동805호</t>
    <phoneticPr fontId="1" type="noConversion"/>
  </si>
  <si>
    <t>커튼 3창</t>
    <phoneticPr fontId="1" type="noConversion"/>
  </si>
  <si>
    <t>현금</t>
    <phoneticPr fontId="1" type="noConversion"/>
  </si>
  <si>
    <t>비스타103동1802호</t>
    <phoneticPr fontId="1" type="noConversion"/>
  </si>
  <si>
    <t xml:space="preserve">시스템 , 앵글 </t>
    <phoneticPr fontId="1" type="noConversion"/>
  </si>
  <si>
    <t>시스템</t>
    <phoneticPr fontId="1" type="noConversion"/>
  </si>
  <si>
    <t>시스템</t>
    <phoneticPr fontId="1" type="noConversion"/>
  </si>
  <si>
    <t>600*4200*1800 3단 무.테
600*1200*1800 3단 무.테</t>
    <phoneticPr fontId="1" type="noConversion"/>
  </si>
  <si>
    <t>야음동 일동 미라주103동1001호</t>
    <phoneticPr fontId="1" type="noConversion"/>
  </si>
  <si>
    <t>010-8864-8132</t>
    <phoneticPr fontId="1" type="noConversion"/>
  </si>
  <si>
    <t>계좌이체</t>
    <phoneticPr fontId="1" type="noConversion"/>
  </si>
  <si>
    <t>미입</t>
    <phoneticPr fontId="1" type="noConversion"/>
  </si>
  <si>
    <t>옥동대륙아파트</t>
    <phoneticPr fontId="1" type="noConversion"/>
  </si>
  <si>
    <t>400*1200*2000 4단 무.양 3조 행거2</t>
    <phoneticPr fontId="1" type="noConversion"/>
  </si>
  <si>
    <t>미입</t>
    <phoneticPr fontId="1" type="noConversion"/>
  </si>
  <si>
    <t>점빵집3층</t>
    <phoneticPr fontId="1" type="noConversion"/>
  </si>
  <si>
    <t>500*1100*1800 3단 무.양</t>
    <phoneticPr fontId="1" type="noConversion"/>
  </si>
  <si>
    <t>태화필름</t>
    <phoneticPr fontId="1" type="noConversion"/>
  </si>
  <si>
    <t>두동 샤시집</t>
    <phoneticPr fontId="1" type="noConversion"/>
  </si>
  <si>
    <t>500*4000*1800 4열 3단 무.양</t>
    <phoneticPr fontId="1" type="noConversion"/>
  </si>
  <si>
    <t xml:space="preserve">한전사택 </t>
    <phoneticPr fontId="1" type="noConversion"/>
  </si>
  <si>
    <t xml:space="preserve">커튼 블라인드 </t>
    <phoneticPr fontId="1" type="noConversion"/>
  </si>
  <si>
    <t>계좌이체</t>
    <phoneticPr fontId="1" type="noConversion"/>
  </si>
  <si>
    <t>카드</t>
    <phoneticPr fontId="1" type="noConversion"/>
  </si>
  <si>
    <t>온담 아담빌라</t>
    <phoneticPr fontId="1" type="noConversion"/>
  </si>
  <si>
    <t>시스템</t>
    <phoneticPr fontId="1" type="noConversion"/>
  </si>
  <si>
    <t>시스템 재설치</t>
    <phoneticPr fontId="1" type="noConversion"/>
  </si>
  <si>
    <t>한라아파트103동904호</t>
    <phoneticPr fontId="1" type="noConversion"/>
  </si>
  <si>
    <t>센트리지402동1105호</t>
    <phoneticPr fontId="1" type="noConversion"/>
  </si>
  <si>
    <t>300*1700*400 2열 1단</t>
    <phoneticPr fontId="1" type="noConversion"/>
  </si>
  <si>
    <t>앵글 3조</t>
    <phoneticPr fontId="1" type="noConversion"/>
  </si>
  <si>
    <t>카드</t>
    <phoneticPr fontId="1" type="noConversion"/>
  </si>
  <si>
    <t>현금</t>
    <phoneticPr fontId="1" type="noConversion"/>
  </si>
  <si>
    <t>태화필름</t>
    <phoneticPr fontId="1" type="noConversion"/>
  </si>
  <si>
    <t>카드</t>
    <phoneticPr fontId="1" type="noConversion"/>
  </si>
  <si>
    <t>계좌이체</t>
    <phoneticPr fontId="1" type="noConversion"/>
  </si>
  <si>
    <t>2차전 6,656,000</t>
    <phoneticPr fontId="1" type="noConversion"/>
  </si>
  <si>
    <t>재료포장</t>
    <phoneticPr fontId="1" type="noConversion"/>
  </si>
  <si>
    <t>계좌이체</t>
    <phoneticPr fontId="1" type="noConversion"/>
  </si>
  <si>
    <t>현금</t>
    <phoneticPr fontId="1" type="noConversion"/>
  </si>
  <si>
    <t>전하 푸르지오</t>
    <phoneticPr fontId="1" type="noConversion"/>
  </si>
  <si>
    <t>시스템</t>
    <phoneticPr fontId="1" type="noConversion"/>
  </si>
  <si>
    <t>미입</t>
    <phoneticPr fontId="1" type="noConversion"/>
  </si>
  <si>
    <t xml:space="preserve">600*4000*2000 4열 6단 </t>
    <phoneticPr fontId="1" type="noConversion"/>
  </si>
  <si>
    <t>카드</t>
    <phoneticPr fontId="1" type="noConversion"/>
  </si>
  <si>
    <t>부산</t>
    <phoneticPr fontId="1" type="noConversion"/>
  </si>
  <si>
    <t>95 36</t>
    <phoneticPr fontId="1" type="noConversion"/>
  </si>
  <si>
    <t>재료포장</t>
    <phoneticPr fontId="1" type="noConversion"/>
  </si>
  <si>
    <t>홈타운</t>
    <phoneticPr fontId="1" type="noConversion"/>
  </si>
  <si>
    <t>계좌이체</t>
    <phoneticPr fontId="1" type="noConversion"/>
  </si>
  <si>
    <t>카드</t>
    <phoneticPr fontId="1" type="noConversion"/>
  </si>
  <si>
    <t>620 앵글</t>
    <phoneticPr fontId="1" type="noConversion"/>
  </si>
  <si>
    <t>동구 시스템</t>
    <phoneticPr fontId="1" type="noConversion"/>
  </si>
  <si>
    <t>시스템</t>
    <phoneticPr fontId="1" type="noConversion"/>
  </si>
  <si>
    <t>카드</t>
    <phoneticPr fontId="1" type="noConversion"/>
  </si>
  <si>
    <t>그린코아</t>
    <phoneticPr fontId="1" type="noConversion"/>
  </si>
  <si>
    <t>계좌이체</t>
    <phoneticPr fontId="1" type="noConversion"/>
  </si>
  <si>
    <t>방천3길9 2층</t>
    <phoneticPr fontId="1" type="noConversion"/>
  </si>
  <si>
    <t>시스템</t>
    <phoneticPr fontId="1" type="noConversion"/>
  </si>
  <si>
    <t>600*1800*1800 2열 3단 무.일</t>
    <phoneticPr fontId="1" type="noConversion"/>
  </si>
  <si>
    <t>3차전 2,924,000</t>
    <phoneticPr fontId="1" type="noConversion"/>
  </si>
  <si>
    <t>우노디자인 본집</t>
    <phoneticPr fontId="1" type="noConversion"/>
  </si>
  <si>
    <t>푸르지오</t>
    <phoneticPr fontId="1" type="noConversion"/>
  </si>
  <si>
    <t>푸르지오</t>
    <phoneticPr fontId="1" type="noConversion"/>
  </si>
  <si>
    <t>계좌이체</t>
    <phoneticPr fontId="1" type="noConversion"/>
  </si>
  <si>
    <t>계좌이체</t>
    <phoneticPr fontId="1" type="noConversion"/>
  </si>
  <si>
    <t>카드</t>
    <phoneticPr fontId="1" type="noConversion"/>
  </si>
  <si>
    <t>500*5700*1800 4열 4단 무.일</t>
    <phoneticPr fontId="1" type="noConversion"/>
  </si>
  <si>
    <t>500*1100*1800 2열 3단 5단 무.양</t>
    <phoneticPr fontId="1" type="noConversion"/>
  </si>
  <si>
    <t>병영 3층 303호</t>
    <phoneticPr fontId="1" type="noConversion"/>
  </si>
  <si>
    <t>도환이집</t>
    <phoneticPr fontId="1" type="noConversion"/>
  </si>
  <si>
    <t>재료포장</t>
    <phoneticPr fontId="1" type="noConversion"/>
  </si>
  <si>
    <t>탐라돼지국밥 위쪽</t>
    <phoneticPr fontId="1" type="noConversion"/>
  </si>
  <si>
    <t>서문3길 11</t>
    <phoneticPr fontId="1" type="noConversion"/>
  </si>
  <si>
    <t>재료포장</t>
    <phoneticPr fontId="1" type="noConversion"/>
  </si>
  <si>
    <t>볼트</t>
    <phoneticPr fontId="1" type="noConversion"/>
  </si>
  <si>
    <t>상북 파출소</t>
    <phoneticPr fontId="1" type="noConversion"/>
  </si>
  <si>
    <t>블라인드 2창 허니콤</t>
    <phoneticPr fontId="1" type="noConversion"/>
  </si>
  <si>
    <t>카드</t>
    <phoneticPr fontId="1" type="noConversion"/>
  </si>
  <si>
    <t>시스템</t>
    <phoneticPr fontId="1" type="noConversion"/>
  </si>
  <si>
    <t>계좌이체</t>
    <phoneticPr fontId="1" type="noConversion"/>
  </si>
  <si>
    <t>500*1800*1800 2열 5단 무.양</t>
    <phoneticPr fontId="1" type="noConversion"/>
  </si>
  <si>
    <t>비스타 107동601호</t>
    <phoneticPr fontId="1" type="noConversion"/>
  </si>
  <si>
    <t>현금</t>
    <phoneticPr fontId="1" type="noConversion"/>
  </si>
  <si>
    <t>카드</t>
    <phoneticPr fontId="1" type="noConversion"/>
  </si>
  <si>
    <t>재료포장</t>
    <phoneticPr fontId="1" type="noConversion"/>
  </si>
  <si>
    <t>카드</t>
    <phoneticPr fontId="1" type="noConversion"/>
  </si>
  <si>
    <t>400*400*1800 3단</t>
    <phoneticPr fontId="1" type="noConversion"/>
  </si>
  <si>
    <t>서강파크 씨동502호</t>
    <phoneticPr fontId="1" type="noConversion"/>
  </si>
  <si>
    <t>시스템</t>
    <phoneticPr fontId="1" type="noConversion"/>
  </si>
  <si>
    <t>계좌이체</t>
    <phoneticPr fontId="1" type="noConversion"/>
  </si>
  <si>
    <t>푸르지오 2차 502동1104호</t>
    <phoneticPr fontId="1" type="noConversion"/>
  </si>
  <si>
    <t>시스템</t>
    <phoneticPr fontId="1" type="noConversion"/>
  </si>
  <si>
    <t>계좌이체</t>
    <phoneticPr fontId="1" type="noConversion"/>
  </si>
  <si>
    <t>4차전 5,765,000</t>
    <phoneticPr fontId="1" type="noConversion"/>
  </si>
  <si>
    <t>온양 명봉거남로100-15</t>
    <phoneticPr fontId="1" type="noConversion"/>
  </si>
  <si>
    <t>시스템 앵글 행거</t>
    <phoneticPr fontId="1" type="noConversion"/>
  </si>
  <si>
    <t>계좌이체</t>
    <phoneticPr fontId="1" type="noConversion"/>
  </si>
  <si>
    <t>재료포장</t>
    <phoneticPr fontId="1" type="noConversion"/>
  </si>
  <si>
    <t>현금</t>
    <phoneticPr fontId="1" type="noConversion"/>
  </si>
  <si>
    <t>400*1800*1500 2열 4단 무.양</t>
    <phoneticPr fontId="1" type="noConversion"/>
  </si>
  <si>
    <t>상북면 도동길17</t>
    <phoneticPr fontId="1" type="noConversion"/>
  </si>
  <si>
    <t>400*1700*1600 무.일</t>
    <phoneticPr fontId="1" type="noConversion"/>
  </si>
  <si>
    <t>작년대비 +</t>
    <phoneticPr fontId="1" type="noConversion"/>
  </si>
  <si>
    <t>600*1200*1600 2단 합판x</t>
    <phoneticPr fontId="1" type="noConversion"/>
  </si>
  <si>
    <t>카드</t>
    <phoneticPr fontId="1" type="noConversion"/>
  </si>
  <si>
    <t>다이</t>
    <phoneticPr fontId="1" type="noConversion"/>
  </si>
  <si>
    <t>현금</t>
    <phoneticPr fontId="1" type="noConversion"/>
  </si>
  <si>
    <t>재료포장</t>
    <phoneticPr fontId="1" type="noConversion"/>
  </si>
  <si>
    <t>계산서</t>
    <phoneticPr fontId="1" type="noConversion"/>
  </si>
  <si>
    <t>재료포장'</t>
    <phoneticPr fontId="1" type="noConversion"/>
  </si>
  <si>
    <t>400*1000*1200 4단 무.일</t>
    <phoneticPr fontId="1" type="noConversion"/>
  </si>
  <si>
    <t>계산서</t>
    <phoneticPr fontId="1" type="noConversion"/>
  </si>
  <si>
    <t>계좌이체</t>
    <phoneticPr fontId="1" type="noConversion"/>
  </si>
  <si>
    <t>계좌이체</t>
    <phoneticPr fontId="1" type="noConversion"/>
  </si>
  <si>
    <t>한신아파트</t>
    <phoneticPr fontId="1" type="noConversion"/>
  </si>
  <si>
    <t>구영 디아채</t>
    <phoneticPr fontId="1" type="noConversion"/>
  </si>
  <si>
    <t>빌라</t>
    <phoneticPr fontId="1" type="noConversion"/>
  </si>
  <si>
    <t>재료포장</t>
    <phoneticPr fontId="1" type="noConversion"/>
  </si>
  <si>
    <t>롯데칠성</t>
    <phoneticPr fontId="1" type="noConversion"/>
  </si>
  <si>
    <t>중구 신기11-10</t>
    <phoneticPr fontId="1" type="noConversion"/>
  </si>
  <si>
    <t>척과 우미린 아파트 건설현장</t>
    <phoneticPr fontId="1" type="noConversion"/>
  </si>
  <si>
    <t>계좌이체</t>
    <phoneticPr fontId="1" type="noConversion"/>
  </si>
  <si>
    <t>계좌이체</t>
    <phoneticPr fontId="1" type="noConversion"/>
  </si>
  <si>
    <t>블라인드 앵글</t>
    <phoneticPr fontId="1" type="noConversion"/>
  </si>
  <si>
    <t>앵글 400*2000*1500 2열 4단 무.일 2조</t>
    <phoneticPr fontId="1" type="noConversion"/>
  </si>
  <si>
    <t>재료포장</t>
    <phoneticPr fontId="1" type="noConversion"/>
  </si>
  <si>
    <t>계좌이체</t>
    <phoneticPr fontId="1" type="noConversion"/>
  </si>
  <si>
    <t>시스템</t>
    <phoneticPr fontId="1" type="noConversion"/>
  </si>
  <si>
    <t>시스템</t>
    <phoneticPr fontId="1" type="noConversion"/>
  </si>
  <si>
    <t>블라인드</t>
    <phoneticPr fontId="1" type="noConversion"/>
  </si>
  <si>
    <t>확전 소화기 앵글</t>
    <phoneticPr fontId="1" type="noConversion"/>
  </si>
  <si>
    <t>400*1600*1500 2열 4단 무,일
400*1200*1500 4단 무,일</t>
    <phoneticPr fontId="1" type="noConversion"/>
  </si>
  <si>
    <t>2024년 6월  매출현황</t>
    <phoneticPr fontId="1" type="noConversion"/>
  </si>
  <si>
    <t>해링턴102동1105호</t>
    <phoneticPr fontId="1" type="noConversion"/>
  </si>
  <si>
    <t>300*500*1800 4단 무,양
600*800*2000 4단 무.양</t>
    <phoneticPr fontId="1" type="noConversion"/>
  </si>
  <si>
    <t>64건 시스템 17건</t>
    <phoneticPr fontId="1" type="noConversion"/>
  </si>
  <si>
    <t>앵글만
400*1400*2000 3단 
400*1000*2000 3단</t>
    <phoneticPr fontId="1" type="noConversion"/>
  </si>
  <si>
    <t>5차전 7,841,000</t>
    <phoneticPr fontId="1" type="noConversion"/>
  </si>
  <si>
    <t>1차전 689,000</t>
    <phoneticPr fontId="1" type="noConversion"/>
  </si>
  <si>
    <t xml:space="preserve">온담 </t>
    <phoneticPr fontId="1" type="noConversion"/>
  </si>
  <si>
    <t>600*1500*1500 2단 무.일
600*1600*1500 2열 2단 무,일</t>
    <phoneticPr fontId="1" type="noConversion"/>
  </si>
  <si>
    <t>비스타 106동1205호</t>
    <phoneticPr fontId="1" type="noConversion"/>
  </si>
  <si>
    <t>중구 에일린의뜰 3차 308동 1201호</t>
    <phoneticPr fontId="1" type="noConversion"/>
  </si>
  <si>
    <t>비스타107동601호</t>
    <phoneticPr fontId="1" type="noConversion"/>
  </si>
  <si>
    <t>문수애시앙202동1203호</t>
    <phoneticPr fontId="1" type="noConversion"/>
  </si>
  <si>
    <t>400*1100*1800 2단 무.양
500*800*2000 4단 무,양</t>
    <phoneticPr fontId="1" type="noConversion"/>
  </si>
  <si>
    <t>600*800*2100 4단 무,양
400*1000*2000 4단 무,양</t>
    <phoneticPr fontId="1" type="noConversion"/>
  </si>
  <si>
    <t>300*2200*1500 2열 3단 합판x</t>
    <phoneticPr fontId="1" type="noConversion"/>
  </si>
  <si>
    <t>600*2700*1500 3열 2단 
600*1300*1500 2단
600*1100*1500 2단
500*900*1800 5단 무,일</t>
    <phoneticPr fontId="1" type="noConversion"/>
  </si>
  <si>
    <t>600*2400*1800</t>
    <phoneticPr fontId="1" type="noConversion"/>
  </si>
  <si>
    <t>미연리</t>
    <phoneticPr fontId="1" type="noConversion"/>
  </si>
  <si>
    <t>들꽃 한식뷔페</t>
    <phoneticPr fontId="1" type="noConversion"/>
  </si>
  <si>
    <t>컨테이너 사장님</t>
    <phoneticPr fontId="1" type="noConversion"/>
  </si>
  <si>
    <t>신정 홈타운 201호2401호</t>
    <phoneticPr fontId="1" type="noConversion"/>
  </si>
  <si>
    <t>600*1500*2000 2열 3단 5단
600*600*1800 5단 무,양</t>
    <phoneticPr fontId="1" type="noConversion"/>
  </si>
  <si>
    <t xml:space="preserve">온양 </t>
    <phoneticPr fontId="1" type="noConversion"/>
  </si>
  <si>
    <t>금아드림펠리스102동3003호</t>
    <phoneticPr fontId="1" type="noConversion"/>
  </si>
  <si>
    <t>펜트리 앵글선반</t>
    <phoneticPr fontId="1" type="noConversion"/>
  </si>
  <si>
    <t>센트러빌</t>
    <phoneticPr fontId="1" type="noConversion"/>
  </si>
  <si>
    <t>400*2400*1500 3단 합판x</t>
    <phoneticPr fontId="1" type="noConversion"/>
  </si>
  <si>
    <t>2차전 9,5710,000</t>
    <phoneticPr fontId="1" type="noConversion"/>
  </si>
  <si>
    <t xml:space="preserve">울산역 카페 </t>
    <phoneticPr fontId="1" type="noConversion"/>
  </si>
  <si>
    <t>500*1200*2100 4단 무.일 
500*900*2100 4단 무.일</t>
    <phoneticPr fontId="1" type="noConversion"/>
  </si>
  <si>
    <t>온양 문화복지센터</t>
    <phoneticPr fontId="1" type="noConversion"/>
  </si>
  <si>
    <t>010-3815-6389</t>
  </si>
  <si>
    <t>두서</t>
    <phoneticPr fontId="1" type="noConversion"/>
  </si>
  <si>
    <t>양남 서희힐스타즈</t>
    <phoneticPr fontId="1" type="noConversion"/>
  </si>
  <si>
    <t>앵글선반
시스템</t>
    <phoneticPr fontId="1" type="noConversion"/>
  </si>
  <si>
    <t>덕신</t>
    <phoneticPr fontId="1" type="noConversion"/>
  </si>
  <si>
    <t>400*1200*1500 3단 무.양</t>
    <phoneticPr fontId="1" type="noConversion"/>
  </si>
  <si>
    <t>두서 단추가</t>
    <phoneticPr fontId="1" type="noConversion"/>
  </si>
  <si>
    <t>청구아파트</t>
    <phoneticPr fontId="1" type="noConversion"/>
  </si>
  <si>
    <t>성안동 벽산아파트</t>
    <phoneticPr fontId="1" type="noConversion"/>
  </si>
  <si>
    <t>우성스마트시티</t>
    <phoneticPr fontId="1" type="noConversion"/>
  </si>
  <si>
    <t>3차전 4,774,000</t>
    <phoneticPr fontId="1" type="noConversion"/>
  </si>
  <si>
    <t>태화동 신기1 43 2층</t>
    <phoneticPr fontId="1" type="noConversion"/>
  </si>
  <si>
    <t>앵글 3조 블랑니드</t>
    <phoneticPr fontId="1" type="noConversion"/>
  </si>
  <si>
    <t>시스템/ 앵글</t>
    <phoneticPr fontId="1" type="noConversion"/>
  </si>
  <si>
    <t>청담피자</t>
    <phoneticPr fontId="1" type="noConversion"/>
  </si>
  <si>
    <t>야음 주공 301동1503호</t>
    <phoneticPr fontId="1" type="noConversion"/>
  </si>
  <si>
    <t xml:space="preserve">상북 명촌1길 </t>
    <phoneticPr fontId="1" type="noConversion"/>
  </si>
  <si>
    <t>블라인드 5창</t>
    <phoneticPr fontId="1" type="noConversion"/>
  </si>
  <si>
    <t>벽산아파트101동105호</t>
    <phoneticPr fontId="1" type="noConversion"/>
  </si>
  <si>
    <t>500*1000*2000 4단 무.양 2조</t>
    <phoneticPr fontId="1" type="noConversion"/>
  </si>
  <si>
    <t>300*2000*1200 2열 3단 무.양</t>
    <phoneticPr fontId="1" type="noConversion"/>
  </si>
  <si>
    <t>센트럴파크</t>
    <phoneticPr fontId="1" type="noConversion"/>
  </si>
  <si>
    <t>포항</t>
    <phoneticPr fontId="1" type="noConversion"/>
  </si>
  <si>
    <t>400*800*2000 3단 무.양</t>
    <phoneticPr fontId="1" type="noConversion"/>
  </si>
  <si>
    <t>먹 카페</t>
    <phoneticPr fontId="1" type="noConversion"/>
  </si>
  <si>
    <t>현대홈타운</t>
    <phoneticPr fontId="1" type="noConversion"/>
  </si>
  <si>
    <t xml:space="preserve">양산 상북 </t>
    <phoneticPr fontId="1" type="noConversion"/>
  </si>
  <si>
    <t>4차전 5,985,000</t>
    <phoneticPr fontId="1" type="noConversion"/>
  </si>
  <si>
    <t>46건   시스템 3건</t>
    <phoneticPr fontId="1" type="noConversion"/>
  </si>
  <si>
    <t>상북 블라인드 주택</t>
    <phoneticPr fontId="1" type="noConversion"/>
  </si>
  <si>
    <t>상북 엔진오일 공장</t>
    <phoneticPr fontId="1" type="noConversion"/>
  </si>
  <si>
    <t xml:space="preserve">업스퀘어 </t>
    <phoneticPr fontId="1" type="noConversion"/>
  </si>
  <si>
    <t>400*1300*2400 6단 무.일</t>
    <phoneticPr fontId="1" type="noConversion"/>
  </si>
  <si>
    <t>400*1200*900 3단 무.일 2조</t>
    <phoneticPr fontId="1" type="noConversion"/>
  </si>
  <si>
    <t>상북 가게 덮밥소</t>
    <phoneticPr fontId="1" type="noConversion"/>
  </si>
  <si>
    <t>500*1400*800 2열 2단</t>
    <phoneticPr fontId="1" type="noConversion"/>
  </si>
  <si>
    <t>400*1400*800 2열 2단 
600*700*1700 5단 무/테</t>
    <phoneticPr fontId="1" type="noConversion"/>
  </si>
  <si>
    <t>5차전 7,842,400</t>
    <phoneticPr fontId="1" type="noConversion"/>
  </si>
  <si>
    <t>14건 63건</t>
    <phoneticPr fontId="1" type="noConversion"/>
  </si>
  <si>
    <t>2024년 7월  매출현황</t>
    <phoneticPr fontId="1" type="noConversion"/>
  </si>
  <si>
    <t>서울주문화센터</t>
    <phoneticPr fontId="1" type="noConversion"/>
  </si>
  <si>
    <t>카드결제</t>
    <phoneticPr fontId="1" type="noConversion"/>
  </si>
  <si>
    <t>현금영수증</t>
    <phoneticPr fontId="1" type="noConversion"/>
  </si>
  <si>
    <t>시스템</t>
    <phoneticPr fontId="1" type="noConversion"/>
  </si>
  <si>
    <t>호반베르디움103동601호</t>
    <phoneticPr fontId="1" type="noConversion"/>
  </si>
  <si>
    <t>재료포장</t>
    <phoneticPr fontId="1" type="noConversion"/>
  </si>
  <si>
    <t>재료포장</t>
    <phoneticPr fontId="1" type="noConversion"/>
  </si>
  <si>
    <t>카드결제</t>
    <phoneticPr fontId="1" type="noConversion"/>
  </si>
  <si>
    <t>계좌이체</t>
    <phoneticPr fontId="1" type="noConversion"/>
  </si>
  <si>
    <t>500*900*2300 1단 무.양</t>
    <phoneticPr fontId="1" type="noConversion"/>
  </si>
  <si>
    <t>청오하이빌</t>
    <phoneticPr fontId="1" type="noConversion"/>
  </si>
  <si>
    <t>시스템</t>
    <phoneticPr fontId="1" type="noConversion"/>
  </si>
  <si>
    <t>상아해미안1010호</t>
    <phoneticPr fontId="1" type="noConversion"/>
  </si>
  <si>
    <t>시스템</t>
    <phoneticPr fontId="1" type="noConversion"/>
  </si>
  <si>
    <t>계좌이체</t>
    <phoneticPr fontId="1" type="noConversion"/>
  </si>
  <si>
    <t>500*6000*1800 3단 무.일</t>
    <phoneticPr fontId="1" type="noConversion"/>
  </si>
  <si>
    <t>sdi컨테이너</t>
    <phoneticPr fontId="1" type="noConversion"/>
  </si>
  <si>
    <t>블라인드</t>
    <phoneticPr fontId="1" type="noConversion"/>
  </si>
  <si>
    <t>시스템</t>
    <phoneticPr fontId="1" type="noConversion"/>
  </si>
  <si>
    <t>계좌이체</t>
    <phoneticPr fontId="1" type="noConversion"/>
  </si>
  <si>
    <t>하늘채 104동501호</t>
    <phoneticPr fontId="1" type="noConversion"/>
  </si>
  <si>
    <t>은월사</t>
    <phoneticPr fontId="1" type="noConversion"/>
  </si>
  <si>
    <t>별난총각 구영리</t>
    <phoneticPr fontId="1" type="noConversion"/>
  </si>
  <si>
    <t>블라인드 문수로에뜰</t>
    <phoneticPr fontId="1" type="noConversion"/>
  </si>
  <si>
    <t>계좌이체</t>
    <phoneticPr fontId="1" type="noConversion"/>
  </si>
  <si>
    <t>우주그린아파트</t>
    <phoneticPr fontId="1" type="noConversion"/>
  </si>
  <si>
    <t>원단 공방 사장님</t>
    <phoneticPr fontId="1" type="noConversion"/>
  </si>
  <si>
    <t>계좌이체</t>
    <phoneticPr fontId="1" type="noConversion"/>
  </si>
  <si>
    <t>불고기 판매하는곳</t>
    <phoneticPr fontId="1" type="noConversion"/>
  </si>
  <si>
    <t>재료포장</t>
    <phoneticPr fontId="1" type="noConversion"/>
  </si>
  <si>
    <t>계좌이체</t>
    <phoneticPr fontId="1" type="noConversion"/>
  </si>
  <si>
    <t xml:space="preserve">에버그린 1층 </t>
    <phoneticPr fontId="1" type="noConversion"/>
  </si>
  <si>
    <t>500*3200*1800 4단 3열 무.일
500*2100*1500 4단 2열 무,일</t>
    <phoneticPr fontId="1" type="noConversion"/>
  </si>
  <si>
    <t>300*400*720 1단</t>
    <phoneticPr fontId="1" type="noConversion"/>
  </si>
  <si>
    <t>400*1700*700* 3단 2합판 2열 무.양
500*1700*700 3단 2합판 2열 무.양
400*1600*900 3단 2열 무,양</t>
    <phoneticPr fontId="1" type="noConversion"/>
  </si>
  <si>
    <t>600*2400*2100 4단 무.일
400*1500*2000 4단 무.일</t>
    <phoneticPr fontId="1" type="noConversion"/>
  </si>
  <si>
    <t>1차전 7,392,300</t>
    <phoneticPr fontId="1" type="noConversion"/>
  </si>
  <si>
    <t>재료포장</t>
    <phoneticPr fontId="1" type="noConversion"/>
  </si>
  <si>
    <t>재료포장</t>
    <phoneticPr fontId="1" type="noConversion"/>
  </si>
  <si>
    <t>현금</t>
    <phoneticPr fontId="1" type="noConversion"/>
  </si>
  <si>
    <t>현금</t>
    <phoneticPr fontId="1" type="noConversion"/>
  </si>
  <si>
    <t>앵글</t>
    <phoneticPr fontId="1" type="noConversion"/>
  </si>
  <si>
    <t>앵글</t>
    <phoneticPr fontId="1" type="noConversion"/>
  </si>
  <si>
    <t>재료포장</t>
    <phoneticPr fontId="1" type="noConversion"/>
  </si>
  <si>
    <t>620 앵글</t>
    <phoneticPr fontId="1" type="noConversion"/>
  </si>
  <si>
    <t>카드결제</t>
    <phoneticPr fontId="1" type="noConversion"/>
  </si>
  <si>
    <t>계좌이체</t>
    <phoneticPr fontId="1" type="noConversion"/>
  </si>
  <si>
    <t>010-4189-4222</t>
    <phoneticPr fontId="1" type="noConversion"/>
  </si>
  <si>
    <t>온담</t>
    <phoneticPr fontId="1" type="noConversion"/>
  </si>
  <si>
    <t>언양 센트러빌109동304호</t>
    <phoneticPr fontId="1" type="noConversion"/>
  </si>
  <si>
    <t>성경아파트a 205호</t>
    <phoneticPr fontId="1" type="noConversion"/>
  </si>
  <si>
    <t>재료포장</t>
    <phoneticPr fontId="1" type="noConversion"/>
  </si>
  <si>
    <t>이채리움701호</t>
    <phoneticPr fontId="1" type="noConversion"/>
  </si>
  <si>
    <t>시스템</t>
    <phoneticPr fontId="1" type="noConversion"/>
  </si>
  <si>
    <t>시트템 블라인드,커튼</t>
    <phoneticPr fontId="1" type="noConversion"/>
  </si>
  <si>
    <t>미입</t>
    <phoneticPr fontId="1" type="noConversion"/>
  </si>
  <si>
    <t>계좌이체</t>
    <phoneticPr fontId="1" type="noConversion"/>
  </si>
  <si>
    <t>계좌이체</t>
    <phoneticPr fontId="1" type="noConversion"/>
  </si>
  <si>
    <t>2차전 5,580,000</t>
    <phoneticPr fontId="1" type="noConversion"/>
  </si>
  <si>
    <t>재료포장</t>
    <phoneticPr fontId="1" type="noConversion"/>
  </si>
  <si>
    <t>덕하 에뜰2차 201동1303호</t>
    <phoneticPr fontId="1" type="noConversion"/>
  </si>
  <si>
    <t>시스템</t>
    <phoneticPr fontId="1" type="noConversion"/>
  </si>
  <si>
    <t>신정동 비발디칸602호</t>
    <phoneticPr fontId="1" type="noConversion"/>
  </si>
  <si>
    <t>계좌이체</t>
    <phoneticPr fontId="1" type="noConversion"/>
  </si>
  <si>
    <t>계좌이체</t>
    <phoneticPr fontId="1" type="noConversion"/>
  </si>
  <si>
    <t>미입</t>
    <phoneticPr fontId="1" type="noConversion"/>
  </si>
  <si>
    <t>계좌이체</t>
    <phoneticPr fontId="1" type="noConversion"/>
  </si>
  <si>
    <t>으뜸마을</t>
    <phoneticPr fontId="1" type="noConversion"/>
  </si>
  <si>
    <t>동부아파트302호</t>
    <phoneticPr fontId="1" type="noConversion"/>
  </si>
  <si>
    <t>재료포장</t>
    <phoneticPr fontId="1" type="noConversion"/>
  </si>
  <si>
    <t>계좌이체</t>
    <phoneticPr fontId="1" type="noConversion"/>
  </si>
  <si>
    <t>두동면</t>
    <phoneticPr fontId="1" type="noConversion"/>
  </si>
  <si>
    <t>시스템,앵글</t>
    <phoneticPr fontId="1" type="noConversion"/>
  </si>
  <si>
    <t>온담 재설치</t>
    <phoneticPr fontId="1" type="noConversion"/>
  </si>
  <si>
    <t>미입</t>
    <phoneticPr fontId="1" type="noConversion"/>
  </si>
  <si>
    <t>재료포장</t>
    <phoneticPr fontId="1" type="noConversion"/>
  </si>
  <si>
    <t>현금</t>
    <phoneticPr fontId="1" type="noConversion"/>
  </si>
  <si>
    <t>으뜸마을310동1001호</t>
    <phoneticPr fontId="1" type="noConversion"/>
  </si>
  <si>
    <t>계좌이체</t>
    <phoneticPr fontId="1" type="noConversion"/>
  </si>
  <si>
    <t>아너스빌아파트106동901호</t>
    <phoneticPr fontId="1" type="noConversion"/>
  </si>
  <si>
    <t xml:space="preserve">한샘대리점(구영 </t>
    <phoneticPr fontId="1" type="noConversion"/>
  </si>
  <si>
    <t>컴퓨터 채굴 사장님</t>
    <phoneticPr fontId="1" type="noConversion"/>
  </si>
  <si>
    <t>600*1200*1500 3단 무,양 2조</t>
    <phoneticPr fontId="1" type="noConversion"/>
  </si>
  <si>
    <t>계좌이체</t>
    <phoneticPr fontId="1" type="noConversion"/>
  </si>
  <si>
    <t>삼남 아저씨</t>
    <phoneticPr fontId="1" type="noConversion"/>
  </si>
  <si>
    <t>검정색 앵글</t>
    <phoneticPr fontId="1" type="noConversion"/>
  </si>
  <si>
    <t>3차전 4,360,000</t>
    <phoneticPr fontId="1" type="noConversion"/>
  </si>
  <si>
    <t>카드</t>
    <phoneticPr fontId="1" type="noConversion"/>
  </si>
  <si>
    <t>재료포장</t>
    <phoneticPr fontId="1" type="noConversion"/>
  </si>
  <si>
    <t>재료포장</t>
    <phoneticPr fontId="1" type="noConversion"/>
  </si>
  <si>
    <t>삼남읍 페인트공장</t>
    <phoneticPr fontId="1" type="noConversion"/>
  </si>
  <si>
    <t>서울주문화센터</t>
    <phoneticPr fontId="1" type="noConversion"/>
  </si>
  <si>
    <t>카드</t>
    <phoneticPr fontId="1" type="noConversion"/>
  </si>
  <si>
    <t>현금</t>
    <phoneticPr fontId="1" type="noConversion"/>
  </si>
  <si>
    <t>에스케이뷰104동503호</t>
    <phoneticPr fontId="1" type="noConversion"/>
  </si>
  <si>
    <t>시스템</t>
    <phoneticPr fontId="1" type="noConversion"/>
  </si>
  <si>
    <t>비스타 101동1101호</t>
    <phoneticPr fontId="1" type="noConversion"/>
  </si>
  <si>
    <t>한솔그린빌</t>
    <phoneticPr fontId="1" type="noConversion"/>
  </si>
  <si>
    <t>계좌이체</t>
    <phoneticPr fontId="1" type="noConversion"/>
  </si>
  <si>
    <t>현금</t>
    <phoneticPr fontId="1" type="noConversion"/>
  </si>
  <si>
    <t>재료포장</t>
    <phoneticPr fontId="1" type="noConversion"/>
  </si>
  <si>
    <t>경량렉</t>
    <phoneticPr fontId="1" type="noConversion"/>
  </si>
  <si>
    <t>시스템 펜트리</t>
    <phoneticPr fontId="1" type="noConversion"/>
  </si>
  <si>
    <t>시스템</t>
    <phoneticPr fontId="1" type="noConversion"/>
  </si>
  <si>
    <t>계좌이체</t>
    <phoneticPr fontId="1" type="noConversion"/>
  </si>
  <si>
    <t>유곡 푸르지오104동1103호</t>
    <phoneticPr fontId="1" type="noConversion"/>
  </si>
  <si>
    <t xml:space="preserve">평창 현대3차 </t>
    <phoneticPr fontId="1" type="noConversion"/>
  </si>
  <si>
    <t>재료포장</t>
    <phoneticPr fontId="1" type="noConversion"/>
  </si>
  <si>
    <t>계좌이체</t>
    <phoneticPr fontId="1" type="noConversion"/>
  </si>
  <si>
    <t>재료포장</t>
    <phoneticPr fontId="1" type="noConversion"/>
  </si>
  <si>
    <t>동구 바닷가앞쪽 점집</t>
    <phoneticPr fontId="1" type="noConversion"/>
  </si>
  <si>
    <t>더샵 번영센트로104동1703호</t>
    <phoneticPr fontId="1" type="noConversion"/>
  </si>
  <si>
    <t>4차전 7,636,000</t>
    <phoneticPr fontId="1" type="noConversion"/>
  </si>
  <si>
    <t>카드</t>
    <phoneticPr fontId="1" type="noConversion"/>
  </si>
  <si>
    <t>ktx건설현장 컨테이너</t>
    <phoneticPr fontId="1" type="noConversion"/>
  </si>
  <si>
    <t>계좌이체</t>
    <phoneticPr fontId="1" type="noConversion"/>
  </si>
  <si>
    <t>2024년 8월  매출현황</t>
    <phoneticPr fontId="1" type="noConversion"/>
  </si>
  <si>
    <t>5차전 2,558,8000</t>
    <phoneticPr fontId="1" type="noConversion"/>
  </si>
  <si>
    <t>시스템</t>
    <phoneticPr fontId="1" type="noConversion"/>
  </si>
  <si>
    <t>56건 시스템 17건</t>
    <phoneticPr fontId="1" type="noConversion"/>
  </si>
  <si>
    <t>계좌이체</t>
    <phoneticPr fontId="1" type="noConversion"/>
  </si>
  <si>
    <t>재료포장</t>
    <phoneticPr fontId="1" type="noConversion"/>
  </si>
  <si>
    <t>400*500*1100 3단 무.양
500*800*1200 3단 무.양</t>
    <phoneticPr fontId="1" type="noConversion"/>
  </si>
  <si>
    <t xml:space="preserve">500*1800*1200 2열 2단 
500*900*1200 2단 </t>
    <phoneticPr fontId="1" type="noConversion"/>
  </si>
  <si>
    <t>재료포장</t>
    <phoneticPr fontId="1" type="noConversion"/>
  </si>
  <si>
    <t>현금</t>
    <phoneticPr fontId="1" type="noConversion"/>
  </si>
  <si>
    <t>이노바인코리아</t>
    <phoneticPr fontId="1" type="noConversion"/>
  </si>
  <si>
    <t>문수샵더샵</t>
    <phoneticPr fontId="1" type="noConversion"/>
  </si>
  <si>
    <t>시스템</t>
    <phoneticPr fontId="1" type="noConversion"/>
  </si>
  <si>
    <t>계좌이체</t>
    <phoneticPr fontId="1" type="noConversion"/>
  </si>
  <si>
    <t>시스템,앵글</t>
    <phoneticPr fontId="1" type="noConversion"/>
  </si>
  <si>
    <t>시스템 (거울장,아일랜드장,3단서랍장2개,1단서랍)</t>
    <phoneticPr fontId="1" type="noConversion"/>
  </si>
  <si>
    <t>시스템(3단서랍장,2단서랍장)</t>
    <phoneticPr fontId="1" type="noConversion"/>
  </si>
  <si>
    <t>양남면 동해안로603-19</t>
    <phoneticPr fontId="1" type="noConversion"/>
  </si>
  <si>
    <t>010-2521-9307</t>
    <phoneticPr fontId="1" type="noConversion"/>
  </si>
  <si>
    <t>010-6799-1232</t>
    <phoneticPr fontId="1" type="noConversion"/>
  </si>
  <si>
    <t>에코하이츠 107동901호</t>
    <phoneticPr fontId="1" type="noConversion"/>
  </si>
  <si>
    <t>리슈빌110동201호</t>
    <phoneticPr fontId="1" type="noConversion"/>
  </si>
  <si>
    <t>이호산업</t>
    <phoneticPr fontId="1" type="noConversion"/>
  </si>
  <si>
    <t>계좌이체</t>
    <phoneticPr fontId="1" type="noConversion"/>
  </si>
  <si>
    <t>삼성빌402호</t>
    <phoneticPr fontId="1" type="noConversion"/>
  </si>
  <si>
    <t>시스템</t>
    <phoneticPr fontId="1" type="noConversion"/>
  </si>
  <si>
    <t>장현동 에뜰2차 115호704호</t>
    <phoneticPr fontId="1" type="noConversion"/>
  </si>
  <si>
    <t>010-3642-2550</t>
    <phoneticPr fontId="1" type="noConversion"/>
  </si>
  <si>
    <t>재료포장</t>
    <phoneticPr fontId="1" type="noConversion"/>
  </si>
  <si>
    <t>카드</t>
    <phoneticPr fontId="1" type="noConversion"/>
  </si>
  <si>
    <t>620 흰색</t>
    <phoneticPr fontId="1" type="noConversion"/>
  </si>
  <si>
    <t>계좌이체</t>
    <phoneticPr fontId="1" type="noConversion"/>
  </si>
  <si>
    <t>재료배달</t>
    <phoneticPr fontId="1" type="noConversion"/>
  </si>
  <si>
    <t>계좌이체</t>
    <phoneticPr fontId="1" type="noConversion"/>
  </si>
  <si>
    <t>카드</t>
    <phoneticPr fontId="1" type="noConversion"/>
  </si>
  <si>
    <t>동구꽃바위</t>
    <phoneticPr fontId="1" type="noConversion"/>
  </si>
  <si>
    <t>500*2300*2000 2열 5단</t>
    <phoneticPr fontId="1" type="noConversion"/>
  </si>
  <si>
    <t>400*4800*2000 3단 4열 무.일</t>
    <phoneticPr fontId="1" type="noConversion"/>
  </si>
  <si>
    <t>재료포장</t>
    <phoneticPr fontId="1" type="noConversion"/>
  </si>
  <si>
    <t>볼트</t>
    <phoneticPr fontId="1" type="noConversion"/>
  </si>
  <si>
    <t>계좌이체</t>
    <phoneticPr fontId="1" type="noConversion"/>
  </si>
  <si>
    <t>1차전 9,662,500</t>
    <phoneticPr fontId="1" type="noConversion"/>
  </si>
  <si>
    <t>온산아파트</t>
    <phoneticPr fontId="1" type="noConversion"/>
  </si>
  <si>
    <t>계좌이체</t>
    <phoneticPr fontId="1" type="noConversion"/>
  </si>
  <si>
    <t>사랑주간보호센터</t>
    <phoneticPr fontId="1" type="noConversion"/>
  </si>
  <si>
    <t>재료포장</t>
    <phoneticPr fontId="1" type="noConversion"/>
  </si>
  <si>
    <t>현금</t>
    <phoneticPr fontId="1" type="noConversion"/>
  </si>
  <si>
    <t>재료포장</t>
    <phoneticPr fontId="1" type="noConversion"/>
  </si>
  <si>
    <t>동구 시스템 재설치</t>
    <phoneticPr fontId="1" type="noConversion"/>
  </si>
  <si>
    <t>온담</t>
    <phoneticPr fontId="1" type="noConversion"/>
  </si>
  <si>
    <t>미입</t>
    <phoneticPr fontId="1" type="noConversion"/>
  </si>
  <si>
    <t>ktx</t>
    <phoneticPr fontId="1" type="noConversion"/>
  </si>
  <si>
    <t>계좌이체</t>
    <phoneticPr fontId="1" type="noConversion"/>
  </si>
  <si>
    <t>재료포장</t>
    <phoneticPr fontId="1" type="noConversion"/>
  </si>
  <si>
    <t>장원맨션 705호</t>
    <phoneticPr fontId="1" type="noConversion"/>
  </si>
  <si>
    <t>카드</t>
    <phoneticPr fontId="1" type="noConversion"/>
  </si>
  <si>
    <t>2차전 4,189,000</t>
    <phoneticPr fontId="1" type="noConversion"/>
  </si>
  <si>
    <t>요기펫</t>
    <phoneticPr fontId="1" type="noConversion"/>
  </si>
  <si>
    <t>300*1200 1단 20개</t>
    <phoneticPr fontId="1" type="noConversion"/>
  </si>
  <si>
    <t>카드</t>
    <phoneticPr fontId="1" type="noConversion"/>
  </si>
  <si>
    <t>계좌이체</t>
    <phoneticPr fontId="1" type="noConversion"/>
  </si>
  <si>
    <t>플라워</t>
    <phoneticPr fontId="1" type="noConversion"/>
  </si>
  <si>
    <t>이호산업</t>
    <phoneticPr fontId="1" type="noConversion"/>
  </si>
  <si>
    <t>계좌이체</t>
    <phoneticPr fontId="1" type="noConversion"/>
  </si>
  <si>
    <t>평화빌라 2차 302호</t>
    <phoneticPr fontId="1" type="noConversion"/>
  </si>
  <si>
    <t>청구 102동1102호</t>
    <phoneticPr fontId="1" type="noConversion"/>
  </si>
  <si>
    <t>계좌이체</t>
    <phoneticPr fontId="1" type="noConversion"/>
  </si>
  <si>
    <t>계좌이체</t>
    <phoneticPr fontId="1" type="noConversion"/>
  </si>
  <si>
    <t>계좌이체</t>
    <phoneticPr fontId="1" type="noConversion"/>
  </si>
  <si>
    <t>반천현대 104동2007</t>
    <phoneticPr fontId="1" type="noConversion"/>
  </si>
  <si>
    <t>010-9677-1389</t>
    <phoneticPr fontId="1" type="noConversion"/>
  </si>
  <si>
    <t>600*1400*2000 2열 4단 무.양
500*1000*870 1단 무.양</t>
    <phoneticPr fontId="1" type="noConversion"/>
  </si>
  <si>
    <t>카페인테리어사장님</t>
    <phoneticPr fontId="1" type="noConversion"/>
  </si>
  <si>
    <t>웅촌면대복1길6 a301호</t>
    <phoneticPr fontId="1" type="noConversion"/>
  </si>
  <si>
    <t>600*800*2000 5단 무.양
600*800*1500 4단 무.양
400*1200*900 3단 무.양</t>
    <phoneticPr fontId="1" type="noConversion"/>
  </si>
  <si>
    <t>600*4200*1800 4열 4단 무.일</t>
    <phoneticPr fontId="1" type="noConversion"/>
  </si>
  <si>
    <t>300*1500*1800 2열 5단 무.양
300*600*2000 5단 무.양</t>
    <phoneticPr fontId="1" type="noConversion"/>
  </si>
  <si>
    <t>500*2300*1500 2열 4단 무.일 2조
500*1200*1500 4단 무.일 2조</t>
    <phoneticPr fontId="1" type="noConversion"/>
  </si>
  <si>
    <t>시스템</t>
    <phoneticPr fontId="1" type="noConversion"/>
  </si>
  <si>
    <t>계좌이체</t>
    <phoneticPr fontId="1" type="noConversion"/>
  </si>
  <si>
    <t xml:space="preserve">500*1200*500 2단 </t>
    <phoneticPr fontId="1" type="noConversion"/>
  </si>
  <si>
    <t>500*1200*800 3단 무,양</t>
    <phoneticPr fontId="1" type="noConversion"/>
  </si>
  <si>
    <t>010-9419-1424</t>
    <phoneticPr fontId="1" type="noConversion"/>
  </si>
  <si>
    <t>카드결제</t>
    <phoneticPr fontId="1" type="noConversion"/>
  </si>
  <si>
    <t>재료 택배 배송</t>
    <phoneticPr fontId="1" type="noConversion"/>
  </si>
  <si>
    <t>계좌이체</t>
    <phoneticPr fontId="1" type="noConversion"/>
  </si>
  <si>
    <t xml:space="preserve">하늘 플라워 2층 </t>
    <phoneticPr fontId="1" type="noConversion"/>
  </si>
  <si>
    <t>중구 성암동</t>
    <phoneticPr fontId="1" type="noConversion"/>
  </si>
  <si>
    <t>계좌이체</t>
    <phoneticPr fontId="1" type="noConversion"/>
  </si>
  <si>
    <t>3차전 6,155,000원</t>
    <phoneticPr fontId="1" type="noConversion"/>
  </si>
  <si>
    <t>미입</t>
    <phoneticPr fontId="1" type="noConversion"/>
  </si>
  <si>
    <t>시스템</t>
    <phoneticPr fontId="1" type="noConversion"/>
  </si>
  <si>
    <t>카드</t>
    <phoneticPr fontId="1" type="noConversion"/>
  </si>
  <si>
    <t>재료표장</t>
    <phoneticPr fontId="1" type="noConversion"/>
  </si>
  <si>
    <t>재료포장</t>
    <phoneticPr fontId="1" type="noConversion"/>
  </si>
  <si>
    <t>현금</t>
    <phoneticPr fontId="1" type="noConversion"/>
  </si>
  <si>
    <t>계좌이체</t>
    <phoneticPr fontId="1" type="noConversion"/>
  </si>
  <si>
    <t>약사레미안</t>
    <phoneticPr fontId="1" type="noConversion"/>
  </si>
  <si>
    <t>재료포장</t>
    <phoneticPr fontId="1" type="noConversion"/>
  </si>
  <si>
    <t>미입</t>
    <phoneticPr fontId="1" type="noConversion"/>
  </si>
  <si>
    <t>계좌이체</t>
    <phoneticPr fontId="1" type="noConversion"/>
  </si>
  <si>
    <t>부장님집</t>
    <phoneticPr fontId="1" type="noConversion"/>
  </si>
  <si>
    <t>현금</t>
    <phoneticPr fontId="1" type="noConversion"/>
  </si>
  <si>
    <t>lh아파트</t>
    <phoneticPr fontId="1" type="noConversion"/>
  </si>
  <si>
    <t>재료판매</t>
    <phoneticPr fontId="1" type="noConversion"/>
  </si>
  <si>
    <t>프리모피아</t>
    <phoneticPr fontId="1" type="noConversion"/>
  </si>
  <si>
    <t>새말길 언양</t>
    <phoneticPr fontId="1" type="noConversion"/>
  </si>
  <si>
    <t>언양 불고기</t>
    <phoneticPr fontId="1" type="noConversion"/>
  </si>
  <si>
    <t>계좌이체</t>
    <phoneticPr fontId="1" type="noConversion"/>
  </si>
  <si>
    <t>현금</t>
    <phoneticPr fontId="1" type="noConversion"/>
  </si>
  <si>
    <t>야음동부아파트</t>
    <phoneticPr fontId="1" type="noConversion"/>
  </si>
  <si>
    <t>400*900*2000 4단 무.양 
400*600*1800 4단 무.양</t>
    <phoneticPr fontId="1" type="noConversion"/>
  </si>
  <si>
    <t>계좌이체</t>
    <phoneticPr fontId="1" type="noConversion"/>
  </si>
  <si>
    <t>계좌이체</t>
    <phoneticPr fontId="1" type="noConversion"/>
  </si>
  <si>
    <t>고려원룸</t>
    <phoneticPr fontId="1" type="noConversion"/>
  </si>
  <si>
    <t>삼화나머시기 삼산아파트102동</t>
    <phoneticPr fontId="1" type="noConversion"/>
  </si>
  <si>
    <t>계좌이체</t>
    <phoneticPr fontId="1" type="noConversion"/>
  </si>
  <si>
    <t>재료포장</t>
    <phoneticPr fontId="1" type="noConversion"/>
  </si>
  <si>
    <t>계좌이체</t>
    <phoneticPr fontId="1" type="noConversion"/>
  </si>
  <si>
    <t>우미린 건설현장식장</t>
    <phoneticPr fontId="1" type="noConversion"/>
  </si>
  <si>
    <t>세민병원</t>
    <phoneticPr fontId="1" type="noConversion"/>
  </si>
  <si>
    <t>계산서 미입</t>
    <phoneticPr fontId="1" type="noConversion"/>
  </si>
  <si>
    <t>고려병원상북</t>
    <phoneticPr fontId="1" type="noConversion"/>
  </si>
  <si>
    <t>계산서 계좌이체</t>
    <phoneticPr fontId="1" type="noConversion"/>
  </si>
  <si>
    <t>시래담</t>
    <phoneticPr fontId="1" type="noConversion"/>
  </si>
  <si>
    <t>계산서</t>
    <phoneticPr fontId="1" type="noConversion"/>
  </si>
  <si>
    <t>계좌이체</t>
    <phoneticPr fontId="1" type="noConversion"/>
  </si>
  <si>
    <t>현금</t>
    <phoneticPr fontId="1" type="noConversion"/>
  </si>
  <si>
    <t>계좌이체</t>
    <phoneticPr fontId="1" type="noConversion"/>
  </si>
  <si>
    <t>상개로 택배</t>
    <phoneticPr fontId="1" type="noConversion"/>
  </si>
  <si>
    <t>카드</t>
    <phoneticPr fontId="1" type="noConversion"/>
  </si>
  <si>
    <t>동운</t>
    <phoneticPr fontId="1" type="noConversion"/>
  </si>
  <si>
    <t xml:space="preserve">ktx역뒤 절 </t>
    <phoneticPr fontId="1" type="noConversion"/>
  </si>
  <si>
    <t>재료포장 620</t>
    <phoneticPr fontId="1" type="noConversion"/>
  </si>
  <si>
    <t>모델하우스</t>
    <phoneticPr fontId="1" type="noConversion"/>
  </si>
  <si>
    <t>한화생명 삼산</t>
    <phoneticPr fontId="1" type="noConversion"/>
  </si>
  <si>
    <t>고탑덮밥</t>
    <phoneticPr fontId="1" type="noConversion"/>
  </si>
  <si>
    <t>재료포장</t>
    <phoneticPr fontId="1" type="noConversion"/>
  </si>
  <si>
    <t>현금</t>
    <phoneticPr fontId="1" type="noConversion"/>
  </si>
  <si>
    <t>계좌이체</t>
    <phoneticPr fontId="1" type="noConversion"/>
  </si>
  <si>
    <t>세민병원</t>
    <phoneticPr fontId="1" type="noConversion"/>
  </si>
  <si>
    <t>두왕로 빌라</t>
    <phoneticPr fontId="1" type="noConversion"/>
  </si>
  <si>
    <t>삼남 스님 9층</t>
    <phoneticPr fontId="1" type="noConversion"/>
  </si>
  <si>
    <t>북구 중고의류 하는곳</t>
    <phoneticPr fontId="1" type="noConversion"/>
  </si>
  <si>
    <t>계좌이체</t>
    <phoneticPr fontId="1" type="noConversion"/>
  </si>
  <si>
    <t>미입</t>
    <phoneticPr fontId="1" type="noConversion"/>
  </si>
  <si>
    <t>1차전 10,843,000</t>
    <phoneticPr fontId="1" type="noConversion"/>
  </si>
  <si>
    <t>계좌이체</t>
    <phoneticPr fontId="1" type="noConversion"/>
  </si>
  <si>
    <t>서생면</t>
    <phoneticPr fontId="1" type="noConversion"/>
  </si>
  <si>
    <t>시스템</t>
    <phoneticPr fontId="1" type="noConversion"/>
  </si>
  <si>
    <t>두동면 밀굼중리길7-22</t>
    <phoneticPr fontId="1" type="noConversion"/>
  </si>
  <si>
    <t>시스템,앵글</t>
    <phoneticPr fontId="1" type="noConversion"/>
  </si>
  <si>
    <t>계산서</t>
    <phoneticPr fontId="1" type="noConversion"/>
  </si>
  <si>
    <t>ck아트홀</t>
    <phoneticPr fontId="1" type="noConversion"/>
  </si>
  <si>
    <t>한샘대리점</t>
    <phoneticPr fontId="1" type="noConversion"/>
  </si>
  <si>
    <t>계산서</t>
    <phoneticPr fontId="1" type="noConversion"/>
  </si>
  <si>
    <t>시스템</t>
    <phoneticPr fontId="1" type="noConversion"/>
  </si>
  <si>
    <t>진장동258-22 2층</t>
    <phoneticPr fontId="1" type="noConversion"/>
  </si>
  <si>
    <t>300*1900*1500 2열 4단 무,양</t>
    <phoneticPr fontId="1" type="noConversion"/>
  </si>
  <si>
    <t xml:space="preserve">500*1200*1500 3단 무.양 </t>
    <phoneticPr fontId="1" type="noConversion"/>
  </si>
  <si>
    <t>재료포장</t>
    <phoneticPr fontId="1" type="noConversion"/>
  </si>
  <si>
    <t>계좌이체</t>
    <phoneticPr fontId="1" type="noConversion"/>
  </si>
  <si>
    <t>500*600*1500 5단 무.양</t>
    <phoneticPr fontId="1" type="noConversion"/>
  </si>
  <si>
    <t>계좌이체</t>
    <phoneticPr fontId="1" type="noConversion"/>
  </si>
  <si>
    <t>두왕로 현대아트맨션1003호</t>
    <phoneticPr fontId="1" type="noConversion"/>
  </si>
  <si>
    <t>양산 신도시lh305동1301호</t>
    <phoneticPr fontId="1" type="noConversion"/>
  </si>
  <si>
    <t>010-3562-8509</t>
    <phoneticPr fontId="1" type="noConversion"/>
  </si>
  <si>
    <t>010-5548-7073</t>
    <phoneticPr fontId="1" type="noConversion"/>
  </si>
  <si>
    <t>600*1000*2100 3단 2봉 무.양
3조</t>
    <phoneticPr fontId="1" type="noConversion"/>
  </si>
  <si>
    <t>미입</t>
    <phoneticPr fontId="1" type="noConversion"/>
  </si>
  <si>
    <t>계산서</t>
    <phoneticPr fontId="1" type="noConversion"/>
  </si>
  <si>
    <t>우성스마트시티뷰101동</t>
    <phoneticPr fontId="1" type="noConversion"/>
  </si>
  <si>
    <t>시스템</t>
    <phoneticPr fontId="1" type="noConversion"/>
  </si>
  <si>
    <t>시스템</t>
    <phoneticPr fontId="1" type="noConversion"/>
  </si>
  <si>
    <t>2024년 9월  매출현황</t>
    <phoneticPr fontId="1" type="noConversion"/>
  </si>
  <si>
    <t>시스템</t>
    <phoneticPr fontId="1" type="noConversion"/>
  </si>
  <si>
    <t>블라인드 앵글</t>
    <phoneticPr fontId="1" type="noConversion"/>
  </si>
  <si>
    <t>계산서</t>
    <phoneticPr fontId="1" type="noConversion"/>
  </si>
  <si>
    <t>56건 12건</t>
    <phoneticPr fontId="1" type="noConversion"/>
  </si>
  <si>
    <t>시스템 레몬하우스</t>
    <phoneticPr fontId="1" type="noConversion"/>
  </si>
  <si>
    <t>북구 월드메르디앙(레몬하우스)</t>
    <phoneticPr fontId="1" type="noConversion"/>
  </si>
  <si>
    <t>시스템 재조립 (50만)</t>
    <phoneticPr fontId="1" type="noConversion"/>
  </si>
  <si>
    <t xml:space="preserve"> </t>
    <phoneticPr fontId="1" type="noConversion"/>
  </si>
  <si>
    <t>600*700*2000 5단 무,양
600*800*2000 5단 무,양</t>
    <phoneticPr fontId="1" type="noConversion"/>
  </si>
  <si>
    <t>서광마을 옥동 101동2003호</t>
    <phoneticPr fontId="1" type="noConversion"/>
  </si>
  <si>
    <t>계좌이체</t>
    <phoneticPr fontId="1" type="noConversion"/>
  </si>
  <si>
    <t>재료포장</t>
    <phoneticPr fontId="1" type="noConversion"/>
  </si>
  <si>
    <t>카드</t>
    <phoneticPr fontId="1" type="noConversion"/>
  </si>
  <si>
    <t>400*1200*1800 4단 무.일</t>
    <phoneticPr fontId="1" type="noConversion"/>
  </si>
  <si>
    <t>인테리어사장님</t>
    <phoneticPr fontId="1" type="noConversion"/>
  </si>
  <si>
    <t>카드</t>
    <phoneticPr fontId="1" type="noConversion"/>
  </si>
  <si>
    <t>재료포장</t>
    <phoneticPr fontId="1" type="noConversion"/>
  </si>
  <si>
    <t xml:space="preserve">620 흰색 </t>
    <phoneticPr fontId="1" type="noConversion"/>
  </si>
  <si>
    <t xml:space="preserve"> 2차전 7,043,000 </t>
    <phoneticPr fontId="1" type="noConversion"/>
  </si>
  <si>
    <t>현금</t>
    <phoneticPr fontId="1" type="noConversion"/>
  </si>
  <si>
    <t>현금</t>
    <phoneticPr fontId="1" type="noConversion"/>
  </si>
  <si>
    <t>당근마켓 중고</t>
    <phoneticPr fontId="1" type="noConversion"/>
  </si>
  <si>
    <t xml:space="preserve">중고 행거 </t>
    <phoneticPr fontId="1" type="noConversion"/>
  </si>
  <si>
    <t>재료포장</t>
    <phoneticPr fontId="1" type="noConversion"/>
  </si>
  <si>
    <t>재료포장</t>
    <phoneticPr fontId="1" type="noConversion"/>
  </si>
  <si>
    <t>계좌이체</t>
    <phoneticPr fontId="1" type="noConversion"/>
  </si>
  <si>
    <t>재료포장</t>
    <phoneticPr fontId="1" type="noConversion"/>
  </si>
  <si>
    <t>현금</t>
    <phoneticPr fontId="1" type="noConversion"/>
  </si>
  <si>
    <t>계좌이체</t>
    <phoneticPr fontId="1" type="noConversion"/>
  </si>
  <si>
    <t>시스템</t>
    <phoneticPr fontId="1" type="noConversion"/>
  </si>
  <si>
    <t>앵글선반</t>
    <phoneticPr fontId="1" type="noConversion"/>
  </si>
  <si>
    <t>3차전  6,805,000</t>
    <phoneticPr fontId="1" type="noConversion"/>
  </si>
  <si>
    <t>계산서발행</t>
    <phoneticPr fontId="1" type="noConversion"/>
  </si>
  <si>
    <t>드림캐슬601호</t>
    <phoneticPr fontId="1" type="noConversion"/>
  </si>
  <si>
    <t>동원로얄듀크208동1001호</t>
    <phoneticPr fontId="1" type="noConversion"/>
  </si>
  <si>
    <t>재료포장</t>
    <phoneticPr fontId="1" type="noConversion"/>
  </si>
  <si>
    <t>KS케미칼</t>
    <phoneticPr fontId="1" type="noConversion"/>
  </si>
  <si>
    <t>계산서발행</t>
    <phoneticPr fontId="1" type="noConversion"/>
  </si>
  <si>
    <t>계좌이체</t>
    <phoneticPr fontId="1" type="noConversion"/>
  </si>
  <si>
    <t>구영주공1단지 107동1404호</t>
    <phoneticPr fontId="1" type="noConversion"/>
  </si>
  <si>
    <t>시스템</t>
    <phoneticPr fontId="1" type="noConversion"/>
  </si>
  <si>
    <t>600*1300*2000 4단 무.일 보강대1 5조</t>
    <phoneticPr fontId="1" type="noConversion"/>
  </si>
  <si>
    <t>재료포장</t>
    <phoneticPr fontId="1" type="noConversion"/>
  </si>
  <si>
    <t>구영주공1단지102동601호</t>
    <phoneticPr fontId="1" type="noConversion"/>
  </si>
  <si>
    <t xml:space="preserve">시스템 앵글 커튼 블라인드 </t>
    <phoneticPr fontId="1" type="noConversion"/>
  </si>
  <si>
    <t>계좌이체</t>
    <phoneticPr fontId="1" type="noConversion"/>
  </si>
  <si>
    <t>미입</t>
    <phoneticPr fontId="1" type="noConversion"/>
  </si>
  <si>
    <t>굴화아트빌</t>
    <phoneticPr fontId="1" type="noConversion"/>
  </si>
  <si>
    <t>시스템</t>
    <phoneticPr fontId="1" type="noConversion"/>
  </si>
  <si>
    <t>문수더샵</t>
    <phoneticPr fontId="1" type="noConversion"/>
  </si>
  <si>
    <t>신정홈타운401동1801호</t>
    <phoneticPr fontId="1" type="noConversion"/>
  </si>
  <si>
    <t>시스템</t>
    <phoneticPr fontId="1" type="noConversion"/>
  </si>
  <si>
    <t>시스템</t>
    <phoneticPr fontId="1" type="noConversion"/>
  </si>
  <si>
    <t>북구 연암동 LG진로아파트102동404호</t>
    <phoneticPr fontId="1" type="noConversion"/>
  </si>
  <si>
    <t>동구 삼성힐스파크1902호</t>
    <phoneticPr fontId="1" type="noConversion"/>
  </si>
  <si>
    <t>계좌이체</t>
    <phoneticPr fontId="1" type="noConversion"/>
  </si>
  <si>
    <t>계좌이체</t>
    <phoneticPr fontId="1" type="noConversion"/>
  </si>
  <si>
    <t>계좌이체 계산서</t>
    <phoneticPr fontId="1" type="noConversion"/>
  </si>
  <si>
    <t>시스템 온담</t>
    <phoneticPr fontId="1" type="noConversion"/>
  </si>
  <si>
    <t>온담 시스템</t>
    <phoneticPr fontId="1" type="noConversion"/>
  </si>
  <si>
    <t>재료포장</t>
    <phoneticPr fontId="1" type="noConversion"/>
  </si>
  <si>
    <t>시스템</t>
    <phoneticPr fontId="1" type="noConversion"/>
  </si>
  <si>
    <t>수암힐스테이트0</t>
    <phoneticPr fontId="1" type="noConversion"/>
  </si>
  <si>
    <t>4차전 9,174,000</t>
    <phoneticPr fontId="1" type="noConversion"/>
  </si>
  <si>
    <t>2024년 10월  매출현황</t>
    <phoneticPr fontId="1" type="noConversion"/>
  </si>
  <si>
    <t>10월1일</t>
    <phoneticPr fontId="1" type="noConversion"/>
  </si>
  <si>
    <t>10월2일</t>
  </si>
  <si>
    <t>10월3일</t>
  </si>
  <si>
    <t>10월4일</t>
  </si>
  <si>
    <t>10월5일</t>
  </si>
  <si>
    <t>10월6일</t>
  </si>
  <si>
    <t>10월7일</t>
  </si>
  <si>
    <t>10월8일</t>
  </si>
  <si>
    <t>10월9일</t>
  </si>
  <si>
    <t>10월10일</t>
  </si>
  <si>
    <t>10월11일</t>
  </si>
  <si>
    <t>10월12일</t>
  </si>
  <si>
    <t>10월13일</t>
  </si>
  <si>
    <t>10월14일</t>
  </si>
  <si>
    <t>10월15일</t>
  </si>
  <si>
    <t>10월16일</t>
  </si>
  <si>
    <t>10월17일</t>
  </si>
  <si>
    <t>10월18일</t>
  </si>
  <si>
    <t>10월19일</t>
  </si>
  <si>
    <t>10월20일</t>
  </si>
  <si>
    <t>10월21일</t>
  </si>
  <si>
    <t>10월22일</t>
  </si>
  <si>
    <t>10월23일</t>
  </si>
  <si>
    <t>10월24일</t>
  </si>
  <si>
    <t>10월25일</t>
  </si>
  <si>
    <t>10월26일</t>
  </si>
  <si>
    <t>10월27일</t>
  </si>
  <si>
    <t>10월28일</t>
  </si>
  <si>
    <t>10월29일</t>
  </si>
  <si>
    <t>10월30일</t>
  </si>
  <si>
    <t>10월31일</t>
  </si>
  <si>
    <t>화요일</t>
  </si>
  <si>
    <t>화요일</t>
    <phoneticPr fontId="1" type="noConversion"/>
  </si>
  <si>
    <t>수요일</t>
  </si>
  <si>
    <t>목요일</t>
  </si>
  <si>
    <t>금요일</t>
  </si>
  <si>
    <t>토요일</t>
  </si>
  <si>
    <t>일요일</t>
  </si>
  <si>
    <t>월요일</t>
  </si>
  <si>
    <t>X</t>
    <phoneticPr fontId="1" type="noConversion"/>
  </si>
  <si>
    <t>X</t>
    <phoneticPr fontId="1" type="noConversion"/>
  </si>
  <si>
    <t>X</t>
    <phoneticPr fontId="1" type="noConversion"/>
  </si>
  <si>
    <t>53건 시스템17건</t>
    <phoneticPr fontId="1" type="noConversion"/>
  </si>
  <si>
    <t>삼성아파트</t>
    <phoneticPr fontId="1" type="noConversion"/>
  </si>
  <si>
    <t>계좌이체</t>
    <phoneticPr fontId="1" type="noConversion"/>
  </si>
  <si>
    <t>계산서 계좌이체</t>
    <phoneticPr fontId="1" type="noConversion"/>
  </si>
  <si>
    <t>카드</t>
    <phoneticPr fontId="1" type="noConversion"/>
  </si>
  <si>
    <t>재료포장'</t>
    <phoneticPr fontId="1" type="noConversion"/>
  </si>
  <si>
    <t>재료표장</t>
    <phoneticPr fontId="1" type="noConversion"/>
  </si>
  <si>
    <t>세양청구109동902호</t>
    <phoneticPr fontId="1" type="noConversion"/>
  </si>
  <si>
    <t>시스템</t>
    <phoneticPr fontId="1" type="noConversion"/>
  </si>
  <si>
    <t>계좌이체</t>
    <phoneticPr fontId="1" type="noConversion"/>
  </si>
  <si>
    <t>구영주공1단지107동1404호</t>
    <phoneticPr fontId="1" type="noConversion"/>
  </si>
  <si>
    <t xml:space="preserve">레몬 필라테스 </t>
    <phoneticPr fontId="1" type="noConversion"/>
  </si>
  <si>
    <t>웅산읍 평신로181-1</t>
    <phoneticPr fontId="1" type="noConversion"/>
  </si>
  <si>
    <t>010-7393-2560</t>
    <phoneticPr fontId="1" type="noConversion"/>
  </si>
  <si>
    <t>600*2400*2400 2열 5단</t>
    <phoneticPr fontId="1" type="noConversion"/>
  </si>
  <si>
    <t>서구집</t>
    <phoneticPr fontId="1" type="noConversion"/>
  </si>
  <si>
    <t>시스템,앵글</t>
    <phoneticPr fontId="1" type="noConversion"/>
  </si>
  <si>
    <t>계좌이체</t>
    <phoneticPr fontId="1" type="noConversion"/>
  </si>
  <si>
    <t>계좌이체</t>
    <phoneticPr fontId="1" type="noConversion"/>
  </si>
  <si>
    <t>재료포장</t>
    <phoneticPr fontId="1" type="noConversion"/>
  </si>
  <si>
    <t>500*700*1200 2단 무.양</t>
    <phoneticPr fontId="1" type="noConversion"/>
  </si>
  <si>
    <t>현금</t>
    <phoneticPr fontId="1" type="noConversion"/>
  </si>
  <si>
    <t>d</t>
    <phoneticPr fontId="1" type="noConversion"/>
  </si>
  <si>
    <t>d</t>
    <phoneticPr fontId="1" type="noConversion"/>
  </si>
  <si>
    <t>d</t>
    <phoneticPr fontId="1" type="noConversion"/>
  </si>
  <si>
    <t>d</t>
    <phoneticPr fontId="1" type="noConversion"/>
  </si>
  <si>
    <t>x</t>
    <phoneticPr fontId="1" type="noConversion"/>
  </si>
  <si>
    <t>1차전 2,260,000</t>
    <phoneticPr fontId="1" type="noConversion"/>
  </si>
  <si>
    <t>경주 눈꽃대패</t>
    <phoneticPr fontId="1" type="noConversion"/>
  </si>
  <si>
    <t>비스타</t>
    <phoneticPr fontId="1" type="noConversion"/>
  </si>
  <si>
    <t>신정홈타운</t>
    <phoneticPr fontId="1" type="noConversion"/>
  </si>
  <si>
    <t>재료포장</t>
    <phoneticPr fontId="1" type="noConversion"/>
  </si>
  <si>
    <t>620 앵글</t>
    <phoneticPr fontId="1" type="noConversion"/>
  </si>
  <si>
    <t>카드</t>
    <phoneticPr fontId="1" type="noConversion"/>
  </si>
  <si>
    <t>시스템</t>
    <phoneticPr fontId="1" type="noConversion"/>
  </si>
  <si>
    <t>계좌이체</t>
    <phoneticPr fontId="1" type="noConversion"/>
  </si>
  <si>
    <t>계좌이체</t>
    <phoneticPr fontId="1" type="noConversion"/>
  </si>
  <si>
    <t>성운이집</t>
    <phoneticPr fontId="1" type="noConversion"/>
  </si>
  <si>
    <t>신정홉타운102동1904호</t>
    <phoneticPr fontId="1" type="noConversion"/>
  </si>
  <si>
    <t>010-6844-0796</t>
    <phoneticPr fontId="1" type="noConversion"/>
  </si>
  <si>
    <t>현금+계좌이체</t>
    <phoneticPr fontId="1" type="noConversion"/>
  </si>
  <si>
    <t>시스템,앵글</t>
    <phoneticPr fontId="1" type="noConversion"/>
  </si>
  <si>
    <t xml:space="preserve">레몬하우스 북구 </t>
    <phoneticPr fontId="1" type="noConversion"/>
  </si>
  <si>
    <t>시스템</t>
    <phoneticPr fontId="1" type="noConversion"/>
  </si>
  <si>
    <t>620 앵글</t>
    <phoneticPr fontId="1" type="noConversion"/>
  </si>
  <si>
    <t>발렌타인온천</t>
    <phoneticPr fontId="1" type="noConversion"/>
  </si>
  <si>
    <t>600*3600*1800 3열 4단 무.양</t>
    <phoneticPr fontId="1" type="noConversion"/>
  </si>
  <si>
    <t>이전설치 드레스룸</t>
    <phoneticPr fontId="1" type="noConversion"/>
  </si>
  <si>
    <t>옥동 금오그린810 호</t>
    <phoneticPr fontId="1" type="noConversion"/>
  </si>
  <si>
    <t xml:space="preserve">시스템 철거 </t>
    <phoneticPr fontId="1" type="noConversion"/>
  </si>
  <si>
    <t>500*2200*2000 2열 5단 무.일
500*700*2000 5단 무.일</t>
    <phoneticPr fontId="1" type="noConversion"/>
  </si>
  <si>
    <t>비스타109동1702호</t>
    <phoneticPr fontId="1" type="noConversion"/>
  </si>
  <si>
    <t>미입</t>
    <phoneticPr fontId="1" type="noConversion"/>
  </si>
  <si>
    <t>돋질로 381 501호</t>
    <phoneticPr fontId="1" type="noConversion"/>
  </si>
  <si>
    <t>계좌이체</t>
    <phoneticPr fontId="1" type="noConversion"/>
  </si>
  <si>
    <t>카드</t>
    <phoneticPr fontId="1" type="noConversion"/>
  </si>
  <si>
    <t>천상극동아파트</t>
    <phoneticPr fontId="1" type="noConversion"/>
  </si>
  <si>
    <t>내안에풀 두동</t>
    <phoneticPr fontId="1" type="noConversion"/>
  </si>
  <si>
    <t>수정</t>
    <phoneticPr fontId="1" type="noConversion"/>
  </si>
  <si>
    <t>남외동 푸르지오111동1504호</t>
    <phoneticPr fontId="1" type="noConversion"/>
  </si>
  <si>
    <t>시스템</t>
    <phoneticPr fontId="1" type="noConversion"/>
  </si>
  <si>
    <t>계좌이체</t>
    <phoneticPr fontId="1" type="noConversion"/>
  </si>
  <si>
    <t>중구</t>
    <phoneticPr fontId="1" type="noConversion"/>
  </si>
  <si>
    <t>500*2100*1800 2열 5단 무.일
500*1700*1800 2열 4단 무.일
500*600*1800 5단 무.일</t>
    <phoneticPr fontId="1" type="noConversion"/>
  </si>
  <si>
    <t>계좌이체</t>
    <phoneticPr fontId="1" type="noConversion"/>
  </si>
  <si>
    <t>2차전 5,708,000</t>
    <phoneticPr fontId="1" type="noConversion"/>
  </si>
  <si>
    <t>재료포장</t>
    <phoneticPr fontId="1" type="noConversion"/>
  </si>
  <si>
    <t>현금</t>
    <phoneticPr fontId="1" type="noConversion"/>
  </si>
  <si>
    <t>600*1000*1500 4단 무.양</t>
    <phoneticPr fontId="1" type="noConversion"/>
  </si>
  <si>
    <t>중구신기1길2층</t>
    <phoneticPr fontId="1" type="noConversion"/>
  </si>
  <si>
    <t>계좌이체</t>
    <phoneticPr fontId="1" type="noConversion"/>
  </si>
  <si>
    <t>신정홈타운205동1806호0</t>
    <phoneticPr fontId="1" type="noConversion"/>
  </si>
  <si>
    <t>앵글 시스템</t>
    <phoneticPr fontId="1" type="noConversion"/>
  </si>
  <si>
    <t>그린철물조명</t>
    <phoneticPr fontId="1" type="noConversion"/>
  </si>
  <si>
    <t>600*5000*1700 5열 2단
500*3000*1500 3열 3단
400*2000*1700 2열 2단</t>
    <phoneticPr fontId="1" type="noConversion"/>
  </si>
  <si>
    <t>교동 야시장</t>
    <phoneticPr fontId="1" type="noConversion"/>
  </si>
  <si>
    <t>현금</t>
    <phoneticPr fontId="1" type="noConversion"/>
  </si>
  <si>
    <t>전하 푸르지오</t>
    <phoneticPr fontId="1" type="noConversion"/>
  </si>
  <si>
    <t>500*500*2100 5단 무.양
500*600*1200 2단 무.양</t>
    <phoneticPr fontId="1" type="noConversion"/>
  </si>
  <si>
    <t>블라인드</t>
    <phoneticPr fontId="1" type="noConversion"/>
  </si>
  <si>
    <t>온양읍 강산리더스 103동903호</t>
    <phoneticPr fontId="1" type="noConversion"/>
  </si>
  <si>
    <t>시스템</t>
    <phoneticPr fontId="1" type="noConversion"/>
  </si>
  <si>
    <t>계좌이체</t>
    <phoneticPr fontId="1" type="noConversion"/>
  </si>
  <si>
    <t>울산군청</t>
    <phoneticPr fontId="1" type="noConversion"/>
  </si>
  <si>
    <t>현금</t>
    <phoneticPr fontId="1" type="noConversion"/>
  </si>
  <si>
    <t>두동면 사무소</t>
    <phoneticPr fontId="1" type="noConversion"/>
  </si>
  <si>
    <t>620 앵글</t>
    <phoneticPr fontId="1" type="noConversion"/>
  </si>
  <si>
    <t>쌍용하나빌리지106동1203호</t>
    <phoneticPr fontId="1" type="noConversion"/>
  </si>
  <si>
    <t>시스템</t>
    <phoneticPr fontId="1" type="noConversion"/>
  </si>
  <si>
    <t>재료포장</t>
    <phoneticPr fontId="1" type="noConversion"/>
  </si>
  <si>
    <t>시스템</t>
    <phoneticPr fontId="1" type="noConversion"/>
  </si>
  <si>
    <t>계산서 계좌이체</t>
    <phoneticPr fontId="1" type="noConversion"/>
  </si>
  <si>
    <t>계좌이체</t>
    <phoneticPr fontId="1" type="noConversion"/>
  </si>
  <si>
    <t>재료포장</t>
    <phoneticPr fontId="1" type="noConversion"/>
  </si>
  <si>
    <t>카드</t>
    <phoneticPr fontId="1" type="noConversion"/>
  </si>
  <si>
    <t>500*700*1800 4단 무.양 보강</t>
    <phoneticPr fontId="1" type="noConversion"/>
  </si>
  <si>
    <t>카드</t>
    <phoneticPr fontId="1" type="noConversion"/>
  </si>
  <si>
    <t>한식뷔페</t>
    <phoneticPr fontId="1" type="noConversion"/>
  </si>
  <si>
    <t>3차전 6,111,800</t>
    <phoneticPr fontId="1" type="noConversion"/>
  </si>
  <si>
    <t>현금</t>
    <phoneticPr fontId="1" type="noConversion"/>
  </si>
  <si>
    <t>언양</t>
    <phoneticPr fontId="1" type="noConversion"/>
  </si>
  <si>
    <t>이편한세상</t>
    <phoneticPr fontId="1" type="noConversion"/>
  </si>
  <si>
    <t>계좌이체</t>
    <phoneticPr fontId="1" type="noConversion"/>
  </si>
  <si>
    <t>계좌이체</t>
    <phoneticPr fontId="1" type="noConversion"/>
  </si>
  <si>
    <t>온양 주택 역근처</t>
    <phoneticPr fontId="1" type="noConversion"/>
  </si>
  <si>
    <t>시스템</t>
    <phoneticPr fontId="1" type="noConversion"/>
  </si>
  <si>
    <t>계좌이체</t>
    <phoneticPr fontId="1" type="noConversion"/>
  </si>
  <si>
    <t>반구동 이편한세상</t>
    <phoneticPr fontId="1" type="noConversion"/>
  </si>
  <si>
    <t>시스템</t>
    <phoneticPr fontId="1" type="noConversion"/>
  </si>
  <si>
    <t>종묘농약집</t>
    <phoneticPr fontId="1" type="noConversion"/>
  </si>
  <si>
    <t>무거동 롯데캐슬</t>
    <phoneticPr fontId="1" type="noConversion"/>
  </si>
  <si>
    <t>우방유화아파트101동1309</t>
    <phoneticPr fontId="1" type="noConversion"/>
  </si>
  <si>
    <t>하이마트</t>
    <phoneticPr fontId="1" type="noConversion"/>
  </si>
  <si>
    <t>상북</t>
    <phoneticPr fontId="1" type="noConversion"/>
  </si>
  <si>
    <t>온담 시스템 재설치</t>
    <phoneticPr fontId="1" type="noConversion"/>
  </si>
  <si>
    <t>시스템</t>
    <phoneticPr fontId="1" type="noConversion"/>
  </si>
  <si>
    <t>500*900*900 3단</t>
    <phoneticPr fontId="1" type="noConversion"/>
  </si>
  <si>
    <t>경량렉 450*4100*1500 4열 4단</t>
    <phoneticPr fontId="1" type="noConversion"/>
  </si>
  <si>
    <t>시스템</t>
    <phoneticPr fontId="1" type="noConversion"/>
  </si>
  <si>
    <t>시스템</t>
    <phoneticPr fontId="1" type="noConversion"/>
  </si>
  <si>
    <t>앵글선반 추가</t>
    <phoneticPr fontId="1" type="noConversion"/>
  </si>
  <si>
    <t>재료포장</t>
    <phoneticPr fontId="1" type="noConversion"/>
  </si>
  <si>
    <t>카드</t>
    <phoneticPr fontId="1" type="noConversion"/>
  </si>
  <si>
    <t>계좌이체</t>
    <phoneticPr fontId="1" type="noConversion"/>
  </si>
  <si>
    <t>계산서발행</t>
    <phoneticPr fontId="1" type="noConversion"/>
  </si>
  <si>
    <t>야음동부아파트</t>
    <phoneticPr fontId="1" type="noConversion"/>
  </si>
  <si>
    <t>시스템</t>
    <phoneticPr fontId="1" type="noConversion"/>
  </si>
  <si>
    <t xml:space="preserve">북구 수자인 </t>
    <phoneticPr fontId="1" type="noConversion"/>
  </si>
  <si>
    <t>카드</t>
    <phoneticPr fontId="1" type="noConversion"/>
  </si>
  <si>
    <t>봉구스밥버거</t>
    <phoneticPr fontId="1" type="noConversion"/>
  </si>
  <si>
    <t>현금</t>
    <phoneticPr fontId="1" type="noConversion"/>
  </si>
  <si>
    <t>시스템</t>
    <phoneticPr fontId="1" type="noConversion"/>
  </si>
  <si>
    <t>4차전 10,514,000</t>
    <phoneticPr fontId="1" type="noConversion"/>
  </si>
  <si>
    <t>현금</t>
    <phoneticPr fontId="1" type="noConversion"/>
  </si>
  <si>
    <t>상북이편한세상</t>
    <phoneticPr fontId="1" type="noConversion"/>
  </si>
  <si>
    <t>옥동현대아파트</t>
    <phoneticPr fontId="1" type="noConversion"/>
  </si>
  <si>
    <t>재료포장</t>
    <phoneticPr fontId="1" type="noConversion"/>
  </si>
  <si>
    <t>400*2000*1500 2열 3단</t>
    <phoneticPr fontId="1" type="noConversion"/>
  </si>
  <si>
    <t>계산서발행</t>
    <phoneticPr fontId="1" type="noConversion"/>
  </si>
  <si>
    <t>재료포장</t>
    <phoneticPr fontId="1" type="noConversion"/>
  </si>
  <si>
    <t>현금</t>
    <phoneticPr fontId="1" type="noConversion"/>
  </si>
  <si>
    <t>계좌이체</t>
    <phoneticPr fontId="1" type="noConversion"/>
  </si>
  <si>
    <t>태봉아파트101동104호</t>
    <phoneticPr fontId="1" type="noConversion"/>
  </si>
  <si>
    <t>앵글만 1500</t>
    <phoneticPr fontId="1" type="noConversion"/>
  </si>
  <si>
    <t>옥동현대아파트</t>
    <phoneticPr fontId="1" type="noConversion"/>
  </si>
  <si>
    <t>구영주공1차 107동402호</t>
    <phoneticPr fontId="1" type="noConversion"/>
  </si>
  <si>
    <t>시스템</t>
    <phoneticPr fontId="1" type="noConversion"/>
  </si>
  <si>
    <t>대복빌라 A 302동</t>
    <phoneticPr fontId="1" type="noConversion"/>
  </si>
  <si>
    <t>카드</t>
    <phoneticPr fontId="1" type="noConversion"/>
  </si>
  <si>
    <t>카드</t>
    <phoneticPr fontId="1" type="noConversion"/>
  </si>
  <si>
    <t>계좌이체</t>
    <phoneticPr fontId="1" type="noConversion"/>
  </si>
  <si>
    <t>온담(풍경채101동304호)</t>
    <phoneticPr fontId="1" type="noConversion"/>
  </si>
  <si>
    <t>재료포장</t>
    <phoneticPr fontId="1" type="noConversion"/>
  </si>
  <si>
    <t>재료배달(엔진오일공장)</t>
    <phoneticPr fontId="1" type="noConversion"/>
  </si>
  <si>
    <t>미입</t>
    <phoneticPr fontId="1" type="noConversion"/>
  </si>
  <si>
    <t>시스템</t>
    <phoneticPr fontId="1" type="noConversion"/>
  </si>
  <si>
    <t>계좌이체</t>
    <phoneticPr fontId="1" type="noConversion"/>
  </si>
  <si>
    <t>1차전 1,032,000</t>
    <phoneticPr fontId="1" type="noConversion"/>
  </si>
  <si>
    <t>시스템</t>
    <phoneticPr fontId="1" type="noConversion"/>
  </si>
  <si>
    <t>재료포장</t>
    <phoneticPr fontId="1" type="noConversion"/>
  </si>
  <si>
    <t>시스템</t>
    <phoneticPr fontId="1" type="noConversion"/>
  </si>
  <si>
    <t>재료포장</t>
    <phoneticPr fontId="1" type="noConversion"/>
  </si>
  <si>
    <t>현금</t>
    <phoneticPr fontId="1" type="noConversion"/>
  </si>
  <si>
    <t>재료배달 다운동 
삼성아파트</t>
    <phoneticPr fontId="1" type="noConversion"/>
  </si>
  <si>
    <t>계좌이체</t>
    <phoneticPr fontId="1" type="noConversion"/>
  </si>
  <si>
    <t>재료포장</t>
    <phoneticPr fontId="1" type="noConversion"/>
  </si>
  <si>
    <t>약사 아이파크</t>
    <phoneticPr fontId="1" type="noConversion"/>
  </si>
  <si>
    <t>광고비</t>
    <phoneticPr fontId="1" type="noConversion"/>
  </si>
  <si>
    <t>월세</t>
    <phoneticPr fontId="1" type="noConversion"/>
  </si>
  <si>
    <t>전기,수도</t>
    <phoneticPr fontId="1" type="noConversion"/>
  </si>
  <si>
    <t>밥값</t>
    <phoneticPr fontId="1" type="noConversion"/>
  </si>
  <si>
    <t>인터넷</t>
    <phoneticPr fontId="1" type="noConversion"/>
  </si>
  <si>
    <t>핸드폰</t>
    <phoneticPr fontId="1" type="noConversion"/>
  </si>
  <si>
    <t>유류비</t>
    <phoneticPr fontId="1" type="noConversion"/>
  </si>
  <si>
    <t>화봉 휴먼시아</t>
    <phoneticPr fontId="1" type="noConversion"/>
  </si>
  <si>
    <t>상북 엔진오일공장</t>
    <phoneticPr fontId="1" type="noConversion"/>
  </si>
  <si>
    <t>시스템 재설치</t>
    <phoneticPr fontId="1" type="noConversion"/>
  </si>
  <si>
    <t>엄마친구</t>
    <phoneticPr fontId="1" type="noConversion"/>
  </si>
  <si>
    <t xml:space="preserve"> 63건 시스템 21건</t>
    <phoneticPr fontId="1" type="noConversion"/>
  </si>
  <si>
    <t>현금</t>
    <phoneticPr fontId="1" type="noConversion"/>
  </si>
  <si>
    <t>계좌이체</t>
    <phoneticPr fontId="1" type="noConversion"/>
  </si>
  <si>
    <t>성진아파트</t>
    <phoneticPr fontId="1" type="noConversion"/>
  </si>
  <si>
    <t>이즈플레이스</t>
    <phoneticPr fontId="1" type="noConversion"/>
  </si>
  <si>
    <t>천상 청소년뭐시기</t>
    <phoneticPr fontId="1" type="noConversion"/>
  </si>
  <si>
    <t>웅촌 뜸</t>
    <phoneticPr fontId="1" type="noConversion"/>
  </si>
  <si>
    <t>대복빌라</t>
    <phoneticPr fontId="1" type="noConversion"/>
  </si>
  <si>
    <t>카드</t>
    <phoneticPr fontId="1" type="noConversion"/>
  </si>
  <si>
    <t>계좌이체</t>
    <phoneticPr fontId="1" type="noConversion"/>
  </si>
  <si>
    <t>계좌이체</t>
    <phoneticPr fontId="1" type="noConversion"/>
  </si>
  <si>
    <t>신한다솜 배달</t>
    <phoneticPr fontId="1" type="noConversion"/>
  </si>
  <si>
    <t>시스템</t>
    <phoneticPr fontId="1" type="noConversion"/>
  </si>
  <si>
    <t>600*3600*2100 3열 4단 옆판 1쪽 무.양</t>
    <phoneticPr fontId="1" type="noConversion"/>
  </si>
  <si>
    <t>600*1000*2100 3단 2행거  블라인드 2개</t>
    <phoneticPr fontId="1" type="noConversion"/>
  </si>
  <si>
    <t>주식회사 코리아너미널</t>
    <phoneticPr fontId="1" type="noConversion"/>
  </si>
  <si>
    <t>한샘대리점사장님 펜트리</t>
    <phoneticPr fontId="1" type="noConversion"/>
  </si>
  <si>
    <t>북구 앵글배달</t>
    <phoneticPr fontId="1" type="noConversion"/>
  </si>
  <si>
    <t>재료포장</t>
    <phoneticPr fontId="1" type="noConversion"/>
  </si>
  <si>
    <t>현금</t>
    <phoneticPr fontId="1" type="noConversion"/>
  </si>
  <si>
    <t>계산서</t>
    <phoneticPr fontId="1" type="noConversion"/>
  </si>
  <si>
    <t>2차전 8,181,000원</t>
    <phoneticPr fontId="1" type="noConversion"/>
  </si>
  <si>
    <t>카드</t>
    <phoneticPr fontId="1" type="noConversion"/>
  </si>
  <si>
    <t>계좌이체</t>
    <phoneticPr fontId="1" type="noConversion"/>
  </si>
  <si>
    <t>옛날파출소</t>
    <phoneticPr fontId="1" type="noConversion"/>
  </si>
  <si>
    <t>계좌이체</t>
    <phoneticPr fontId="1" type="noConversion"/>
  </si>
  <si>
    <t>계좌이체</t>
    <phoneticPr fontId="1" type="noConversion"/>
  </si>
  <si>
    <t>시스템</t>
    <phoneticPr fontId="1" type="noConversion"/>
  </si>
  <si>
    <t>시스템,커튼,블라인드</t>
    <phoneticPr fontId="1" type="noConversion"/>
  </si>
  <si>
    <t xml:space="preserve">성안동 </t>
    <phoneticPr fontId="1" type="noConversion"/>
  </si>
  <si>
    <t>종가9길 혁신단독주택</t>
    <phoneticPr fontId="1" type="noConversion"/>
  </si>
  <si>
    <t>재료포장</t>
    <phoneticPr fontId="1" type="noConversion"/>
  </si>
  <si>
    <t>리슈빌107동1701호</t>
    <phoneticPr fontId="1" type="noConversion"/>
  </si>
  <si>
    <t>시스템,앵글</t>
    <phoneticPr fontId="1" type="noConversion"/>
  </si>
  <si>
    <t>600*800*500 1단 5조</t>
    <phoneticPr fontId="1" type="noConversion"/>
  </si>
  <si>
    <t>상북 다슬기집</t>
    <phoneticPr fontId="1" type="noConversion"/>
  </si>
  <si>
    <t>블라인드</t>
    <phoneticPr fontId="1" type="noConversion"/>
  </si>
  <si>
    <t>600*2400*1800 2열 3단</t>
    <phoneticPr fontId="1" type="noConversion"/>
  </si>
  <si>
    <t>시스템</t>
    <phoneticPr fontId="1" type="noConversion"/>
  </si>
  <si>
    <t>시스템 재설치</t>
    <phoneticPr fontId="1" type="noConversion"/>
  </si>
  <si>
    <t>11월1일</t>
    <phoneticPr fontId="1" type="noConversion"/>
  </si>
  <si>
    <t>11월2일</t>
  </si>
  <si>
    <t>11월3일</t>
  </si>
  <si>
    <t>11월4일</t>
  </si>
  <si>
    <t>11월5일</t>
  </si>
  <si>
    <t>11월6일</t>
  </si>
  <si>
    <t>11월7일</t>
  </si>
  <si>
    <t>11월8일</t>
  </si>
  <si>
    <t>11월9일</t>
  </si>
  <si>
    <t>11월10일</t>
  </si>
  <si>
    <t>11월11일</t>
  </si>
  <si>
    <t>11월12일</t>
  </si>
  <si>
    <t>11월13일</t>
  </si>
  <si>
    <t>11월14일</t>
  </si>
  <si>
    <t>11월15일</t>
  </si>
  <si>
    <t>11월16일</t>
  </si>
  <si>
    <t>11월17일</t>
  </si>
  <si>
    <t>11월18일</t>
  </si>
  <si>
    <t>11월19일</t>
  </si>
  <si>
    <t>11월20일</t>
  </si>
  <si>
    <t>11월21일</t>
  </si>
  <si>
    <t>11월22일</t>
  </si>
  <si>
    <t>11월23일</t>
  </si>
  <si>
    <t>11월24일</t>
  </si>
  <si>
    <t>11월25일</t>
  </si>
  <si>
    <t>11월26일</t>
  </si>
  <si>
    <t>11월27일</t>
  </si>
  <si>
    <t>11월28일</t>
  </si>
  <si>
    <t>11월29일</t>
  </si>
  <si>
    <t>11월30일</t>
  </si>
  <si>
    <t>11월31일</t>
  </si>
  <si>
    <t>ㅇ</t>
    <phoneticPr fontId="1" type="noConversion"/>
  </si>
  <si>
    <t>x</t>
    <phoneticPr fontId="1" type="noConversion"/>
  </si>
  <si>
    <t>x</t>
    <phoneticPr fontId="1" type="noConversion"/>
  </si>
  <si>
    <t>ㅇ</t>
    <phoneticPr fontId="1" type="noConversion"/>
  </si>
  <si>
    <t>ㅇ</t>
    <phoneticPr fontId="1" type="noConversion"/>
  </si>
  <si>
    <t>x</t>
    <phoneticPr fontId="1" type="noConversion"/>
  </si>
  <si>
    <t>ㅇ</t>
    <phoneticPr fontId="1" type="noConversion"/>
  </si>
  <si>
    <t>ㅇ</t>
    <phoneticPr fontId="1" type="noConversion"/>
  </si>
  <si>
    <t>x</t>
    <phoneticPr fontId="1" type="noConversion"/>
  </si>
  <si>
    <t>ㅇ</t>
    <phoneticPr fontId="1" type="noConversion"/>
  </si>
  <si>
    <t>ㅇ</t>
    <phoneticPr fontId="1" type="noConversion"/>
  </si>
  <si>
    <t>ㅇ</t>
    <phoneticPr fontId="1" type="noConversion"/>
  </si>
  <si>
    <t>금요일</t>
    <phoneticPr fontId="1" type="noConversion"/>
  </si>
  <si>
    <t>카드</t>
    <phoneticPr fontId="1" type="noConversion"/>
  </si>
  <si>
    <t>재료포장</t>
    <phoneticPr fontId="1" type="noConversion"/>
  </si>
  <si>
    <t>500*900*2000 4단 무.양</t>
    <phoneticPr fontId="1" type="noConversion"/>
  </si>
  <si>
    <t>북부순환도로 주택 1층</t>
    <phoneticPr fontId="1" type="noConversion"/>
  </si>
  <si>
    <t>유진건설 재설치</t>
    <phoneticPr fontId="1" type="noConversion"/>
  </si>
  <si>
    <t>계산서발행</t>
    <phoneticPr fontId="1" type="noConversion"/>
  </si>
  <si>
    <t>꿈에그린(한샘대리점)</t>
    <phoneticPr fontId="1" type="noConversion"/>
  </si>
  <si>
    <t>재설치, 시스템</t>
    <phoneticPr fontId="1" type="noConversion"/>
  </si>
  <si>
    <t xml:space="preserve"> 5차전 7,252,600</t>
    <phoneticPr fontId="1" type="noConversion"/>
  </si>
  <si>
    <t>산악트레킹</t>
    <phoneticPr fontId="1" type="noConversion"/>
  </si>
  <si>
    <t>시스템</t>
    <phoneticPr fontId="1" type="noConversion"/>
  </si>
  <si>
    <t>1월</t>
    <phoneticPr fontId="1" type="noConversion"/>
  </si>
  <si>
    <t>2월</t>
  </si>
  <si>
    <t xml:space="preserve">3차전 6,225,000 </t>
    <phoneticPr fontId="1" type="noConversion"/>
  </si>
  <si>
    <t>재료포장</t>
    <phoneticPr fontId="1" type="noConversion"/>
  </si>
  <si>
    <t>재료포장</t>
    <phoneticPr fontId="1" type="noConversion"/>
  </si>
  <si>
    <t>620 흰색</t>
    <phoneticPr fontId="1" type="noConversion"/>
  </si>
  <si>
    <t>카드</t>
    <phoneticPr fontId="1" type="noConversion"/>
  </si>
  <si>
    <t>11미리 볼트 1set</t>
    <phoneticPr fontId="1" type="noConversion"/>
  </si>
  <si>
    <t>계좌이체</t>
    <phoneticPr fontId="1" type="noConversion"/>
  </si>
  <si>
    <t>카드</t>
    <phoneticPr fontId="1" type="noConversion"/>
  </si>
  <si>
    <t>한신휴플러스101동303동</t>
    <phoneticPr fontId="1" type="noConversion"/>
  </si>
  <si>
    <t>용잠동</t>
    <phoneticPr fontId="1" type="noConversion"/>
  </si>
  <si>
    <t>600*1800*2000 2열 5단
300*2000*900 2열 3단
400*1900*2000 2열 5단</t>
    <phoneticPr fontId="1" type="noConversion"/>
  </si>
  <si>
    <t>무거한라 1차 101동</t>
    <phoneticPr fontId="1" type="noConversion"/>
  </si>
  <si>
    <t>옥동 아파트</t>
    <phoneticPr fontId="1" type="noConversion"/>
  </si>
  <si>
    <t>계좌이체</t>
    <phoneticPr fontId="1" type="noConversion"/>
  </si>
  <si>
    <t>계좌이체</t>
    <phoneticPr fontId="1" type="noConversion"/>
  </si>
  <si>
    <t>다운동 빌라</t>
    <phoneticPr fontId="1" type="noConversion"/>
  </si>
  <si>
    <t>시스템</t>
    <phoneticPr fontId="1" type="noConversion"/>
  </si>
  <si>
    <t>온양 떡볶이집</t>
    <phoneticPr fontId="1" type="noConversion"/>
  </si>
  <si>
    <t>평상,앵글</t>
    <phoneticPr fontId="1" type="noConversion"/>
  </si>
  <si>
    <t>계좌이체</t>
    <phoneticPr fontId="1" type="noConversion"/>
  </si>
  <si>
    <t>에뜰3차 301동801호</t>
    <phoneticPr fontId="1" type="noConversion"/>
  </si>
  <si>
    <t>시스템</t>
    <phoneticPr fontId="1" type="noConversion"/>
  </si>
  <si>
    <t>미입</t>
    <phoneticPr fontId="1" type="noConversion"/>
  </si>
  <si>
    <t>산악트레킹</t>
    <phoneticPr fontId="1" type="noConversion"/>
  </si>
  <si>
    <t>굴화메르디앙105동601호</t>
    <phoneticPr fontId="1" type="noConversion"/>
  </si>
  <si>
    <t>시스템 , 블라인드, 커튼</t>
    <phoneticPr fontId="1" type="noConversion"/>
  </si>
  <si>
    <t>계산서 발행완료</t>
    <phoneticPr fontId="1" type="noConversion"/>
  </si>
  <si>
    <t>세양아파트110동505호</t>
    <phoneticPr fontId="1" type="noConversion"/>
  </si>
  <si>
    <t>600*700*1800 4단 무.양</t>
    <phoneticPr fontId="1" type="noConversion"/>
  </si>
  <si>
    <t>계좌이체</t>
    <phoneticPr fontId="1" type="noConversion"/>
  </si>
  <si>
    <t>삼남 과수원앞 주택</t>
    <phoneticPr fontId="1" type="noConversion"/>
  </si>
  <si>
    <t>우미린2차 703동1402호</t>
    <phoneticPr fontId="1" type="noConversion"/>
  </si>
  <si>
    <t>시스템</t>
    <phoneticPr fontId="1" type="noConversion"/>
  </si>
  <si>
    <t>빌라</t>
    <phoneticPr fontId="1" type="noConversion"/>
  </si>
  <si>
    <t>시스템</t>
    <phoneticPr fontId="1" type="noConversion"/>
  </si>
  <si>
    <t>짜장면집</t>
    <phoneticPr fontId="1" type="noConversion"/>
  </si>
  <si>
    <t>앵글</t>
    <phoneticPr fontId="1" type="noConversion"/>
  </si>
  <si>
    <t>카드</t>
    <phoneticPr fontId="1" type="noConversion"/>
  </si>
  <si>
    <t>계산서 발행</t>
    <phoneticPr fontId="1" type="noConversion"/>
  </si>
  <si>
    <t>계산서발행</t>
    <phoneticPr fontId="1" type="noConversion"/>
  </si>
  <si>
    <t>4차전 9,846,000</t>
    <phoneticPr fontId="1" type="noConversion"/>
  </si>
  <si>
    <t>재료포장</t>
    <phoneticPr fontId="1" type="noConversion"/>
  </si>
  <si>
    <t>세민병원</t>
    <phoneticPr fontId="1" type="noConversion"/>
  </si>
  <si>
    <t>차량안 탑차</t>
    <phoneticPr fontId="1" type="noConversion"/>
  </si>
  <si>
    <t>계좌이체</t>
    <phoneticPr fontId="1" type="noConversion"/>
  </si>
  <si>
    <t>다이아몬드 아파트</t>
    <phoneticPr fontId="1" type="noConversion"/>
  </si>
  <si>
    <t>삼산 빌라</t>
    <phoneticPr fontId="1" type="noConversion"/>
  </si>
  <si>
    <t>시스템</t>
    <phoneticPr fontId="1" type="noConversion"/>
  </si>
  <si>
    <t>500*1000*1800 5단 무.일</t>
    <phoneticPr fontId="1" type="noConversion"/>
  </si>
  <si>
    <t>시스템</t>
    <phoneticPr fontId="1" type="noConversion"/>
  </si>
  <si>
    <t>수필아파트</t>
    <phoneticPr fontId="1" type="noConversion"/>
  </si>
  <si>
    <t>미입</t>
    <phoneticPr fontId="1" type="noConversion"/>
  </si>
  <si>
    <t>재료포장</t>
    <phoneticPr fontId="1" type="noConversion"/>
  </si>
  <si>
    <t>재료포장</t>
    <phoneticPr fontId="1" type="noConversion"/>
  </si>
  <si>
    <t>600*4000*1800 3단 (앵글만)</t>
    <phoneticPr fontId="1" type="noConversion"/>
  </si>
  <si>
    <t>카드</t>
    <phoneticPr fontId="1" type="noConversion"/>
  </si>
  <si>
    <r>
      <t>근로자</t>
    </r>
    <r>
      <rPr>
        <b/>
        <sz val="18"/>
        <color rgb="FF000000"/>
        <rFont val="Arial"/>
        <family val="2"/>
      </rPr>
      <t> </t>
    </r>
    <r>
      <rPr>
        <b/>
        <sz val="18"/>
        <color rgb="FF2E64FE"/>
        <rFont val="Arial"/>
        <family val="2"/>
      </rPr>
      <t>임금명세서</t>
    </r>
  </si>
  <si>
    <r>
      <t>급여액(월)</t>
    </r>
    <r>
      <rPr>
        <b/>
        <sz val="14"/>
        <color rgb="FF2E64FE"/>
        <rFont val="Arial"/>
        <family val="2"/>
      </rPr>
      <t>2,730,000</t>
    </r>
    <r>
      <rPr>
        <sz val="10"/>
        <color rgb="FF2E2E2E"/>
        <rFont val="Arial"/>
        <family val="2"/>
      </rPr>
      <t>원</t>
    </r>
  </si>
  <si>
    <r>
      <t>공제내역</t>
    </r>
    <r>
      <rPr>
        <b/>
        <sz val="11"/>
        <color rgb="FFF03F08"/>
        <rFont val="Arial"/>
        <family val="2"/>
      </rPr>
      <t>*</t>
    </r>
    <r>
      <rPr>
        <sz val="10"/>
        <color rgb="FF000000"/>
        <rFont val="Arial"/>
        <family val="2"/>
      </rPr>
      <t>월소득액 </t>
    </r>
    <r>
      <rPr>
        <b/>
        <sz val="10"/>
        <color rgb="FF000000"/>
        <rFont val="Arial"/>
        <family val="2"/>
      </rPr>
      <t>2,730,000원</t>
    </r>
    <r>
      <rPr>
        <sz val="10"/>
        <color rgb="FF000000"/>
        <rFont val="Arial"/>
        <family val="2"/>
      </rPr>
      <t> = 급여액 </t>
    </r>
    <r>
      <rPr>
        <b/>
        <sz val="10"/>
        <color rgb="FF000000"/>
        <rFont val="Arial"/>
        <family val="2"/>
      </rPr>
      <t>2,730,000원</t>
    </r>
    <r>
      <rPr>
        <sz val="10"/>
        <color rgb="FF000000"/>
        <rFont val="Arial"/>
        <family val="2"/>
      </rPr>
      <t> - 비과세액 </t>
    </r>
    <r>
      <rPr>
        <b/>
        <sz val="10"/>
        <color rgb="FF000000"/>
        <rFont val="Arial"/>
        <family val="2"/>
      </rPr>
      <t>0원</t>
    </r>
  </si>
  <si>
    <r>
      <t>국민연금료 </t>
    </r>
    <r>
      <rPr>
        <sz val="10"/>
        <color rgb="FF000000"/>
        <rFont val="Arial"/>
        <family val="2"/>
      </rPr>
      <t>2,730,000원×4.5% </t>
    </r>
    <r>
      <rPr>
        <b/>
        <sz val="12"/>
        <color rgb="FF2E64FE"/>
        <rFont val="Arial"/>
        <family val="2"/>
      </rPr>
      <t>122,850</t>
    </r>
    <r>
      <rPr>
        <sz val="10"/>
        <color rgb="FF2E2E2E"/>
        <rFont val="Arial"/>
        <family val="2"/>
      </rPr>
      <t>원</t>
    </r>
  </si>
  <si>
    <r>
      <t>건강보험료 </t>
    </r>
    <r>
      <rPr>
        <sz val="10"/>
        <color rgb="FF000000"/>
        <rFont val="Arial"/>
        <family val="2"/>
      </rPr>
      <t>2,730,000원×3.545%</t>
    </r>
    <r>
      <rPr>
        <b/>
        <sz val="12"/>
        <color rgb="FF2E64FE"/>
        <rFont val="Arial"/>
        <family val="2"/>
      </rPr>
      <t>96,770</t>
    </r>
    <r>
      <rPr>
        <sz val="10"/>
        <color rgb="FF2E2E2E"/>
        <rFont val="Arial"/>
        <family val="2"/>
      </rPr>
      <t>원</t>
    </r>
  </si>
  <si>
    <r>
      <t>장기요양보험료 </t>
    </r>
    <r>
      <rPr>
        <sz val="10"/>
        <color rgb="FF000000"/>
        <rFont val="Arial"/>
        <family val="2"/>
      </rPr>
      <t>2,730,000원×0.4591%</t>
    </r>
    <r>
      <rPr>
        <b/>
        <sz val="12"/>
        <color rgb="FF2E64FE"/>
        <rFont val="Arial"/>
        <family val="2"/>
      </rPr>
      <t>12,530</t>
    </r>
    <r>
      <rPr>
        <sz val="10"/>
        <color rgb="FF2E2E2E"/>
        <rFont val="Arial"/>
        <family val="2"/>
      </rPr>
      <t>원</t>
    </r>
  </si>
  <si>
    <r>
      <t>고용보험료 </t>
    </r>
    <r>
      <rPr>
        <sz val="10"/>
        <color rgb="FF000000"/>
        <rFont val="Arial"/>
        <family val="2"/>
      </rPr>
      <t>2,730,000원×0.9%</t>
    </r>
    <r>
      <rPr>
        <b/>
        <sz val="12"/>
        <color rgb="FF2E64FE"/>
        <rFont val="Arial"/>
        <family val="2"/>
      </rPr>
      <t>24,560</t>
    </r>
    <r>
      <rPr>
        <sz val="10"/>
        <color rgb="FF2E2E2E"/>
        <rFont val="Arial"/>
        <family val="2"/>
      </rPr>
      <t>원</t>
    </r>
  </si>
  <si>
    <r>
      <t>근로소득세 </t>
    </r>
    <r>
      <rPr>
        <b/>
        <u/>
        <sz val="10"/>
        <color rgb="FF2E64FE"/>
        <rFont val="Arial"/>
        <family val="2"/>
      </rPr>
      <t>근로소득 간이세액표</t>
    </r>
    <r>
      <rPr>
        <sz val="10"/>
        <color rgb="FF000000"/>
        <rFont val="Arial"/>
        <family val="2"/>
      </rPr>
      <t> 세액 </t>
    </r>
    <r>
      <rPr>
        <b/>
        <sz val="10"/>
        <color rgb="FF000000"/>
        <rFont val="Arial"/>
        <family val="2"/>
      </rPr>
      <t>50,810</t>
    </r>
    <r>
      <rPr>
        <sz val="10"/>
        <color rgb="FF000000"/>
        <rFont val="Arial"/>
        <family val="2"/>
      </rPr>
      <t>원 - 자녀(0명)공제액 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원</t>
    </r>
    <r>
      <rPr>
        <b/>
        <u/>
        <sz val="10"/>
        <color rgb="FF2E64FE"/>
        <rFont val="Arial"/>
        <family val="2"/>
      </rPr>
      <t>자세히</t>
    </r>
    <r>
      <rPr>
        <b/>
        <sz val="12"/>
        <color rgb="FF2E64FE"/>
        <rFont val="Arial"/>
        <family val="2"/>
      </rPr>
      <t>50,810</t>
    </r>
    <r>
      <rPr>
        <sz val="10"/>
        <color rgb="FF2E2E2E"/>
        <rFont val="Arial"/>
        <family val="2"/>
      </rPr>
      <t>원</t>
    </r>
  </si>
  <si>
    <r>
      <t>지방소득세 </t>
    </r>
    <r>
      <rPr>
        <sz val="10"/>
        <color rgb="FF000000"/>
        <rFont val="Arial"/>
        <family val="2"/>
      </rPr>
      <t>50,810원×10%</t>
    </r>
    <r>
      <rPr>
        <b/>
        <sz val="12"/>
        <color rgb="FF2E64FE"/>
        <rFont val="Arial"/>
        <family val="2"/>
      </rPr>
      <t>5,080</t>
    </r>
    <r>
      <rPr>
        <sz val="10"/>
        <color rgb="FF2E2E2E"/>
        <rFont val="Arial"/>
        <family val="2"/>
      </rPr>
      <t>원</t>
    </r>
  </si>
  <si>
    <r>
      <t>공제액 합계</t>
    </r>
    <r>
      <rPr>
        <b/>
        <sz val="14"/>
        <color rgb="FF2E64FE"/>
        <rFont val="Arial"/>
        <family val="2"/>
      </rPr>
      <t>312,600</t>
    </r>
    <r>
      <rPr>
        <sz val="10"/>
        <color rgb="FF2E2E2E"/>
        <rFont val="Arial"/>
        <family val="2"/>
      </rPr>
      <t>원</t>
    </r>
  </si>
  <si>
    <r>
      <rPr>
        <b/>
        <sz val="14"/>
        <color rgb="FF4488FF"/>
        <rFont val="돋움"/>
        <family val="3"/>
        <charset val="129"/>
      </rPr>
      <t>실수령액</t>
    </r>
    <r>
      <rPr>
        <b/>
        <sz val="14"/>
        <color rgb="FF4488FF"/>
        <rFont val="Arial"/>
        <family val="2"/>
      </rPr>
      <t>(</t>
    </r>
    <r>
      <rPr>
        <b/>
        <sz val="14"/>
        <color rgb="FF4488FF"/>
        <rFont val="돋움"/>
        <family val="3"/>
        <charset val="129"/>
      </rPr>
      <t>월</t>
    </r>
    <r>
      <rPr>
        <b/>
        <sz val="14"/>
        <color rgb="FF4488FF"/>
        <rFont val="Arial"/>
        <family val="2"/>
      </rPr>
      <t>)</t>
    </r>
    <r>
      <rPr>
        <b/>
        <sz val="14"/>
        <color rgb="FF2E64FE"/>
        <rFont val="Arial"/>
        <family val="2"/>
      </rPr>
      <t>2,417,400</t>
    </r>
    <r>
      <rPr>
        <sz val="10"/>
        <color rgb="FF2E2E2E"/>
        <rFont val="돋움"/>
        <family val="3"/>
        <charset val="129"/>
      </rPr>
      <t>원</t>
    </r>
    <phoneticPr fontId="1" type="noConversion"/>
  </si>
  <si>
    <t>시스템 ,앵글</t>
    <phoneticPr fontId="1" type="noConversion"/>
  </si>
  <si>
    <t>시스템</t>
    <phoneticPr fontId="1" type="noConversion"/>
  </si>
  <si>
    <t>현금</t>
    <phoneticPr fontId="1" type="noConversion"/>
  </si>
  <si>
    <t>시스템 ,앵글,블라인드,커튼</t>
    <phoneticPr fontId="1" type="noConversion"/>
  </si>
  <si>
    <t xml:space="preserve"> ks케미칼</t>
    <phoneticPr fontId="1" type="noConversion"/>
  </si>
  <si>
    <t>농협 디자인뱅크</t>
    <phoneticPr fontId="1" type="noConversion"/>
  </si>
  <si>
    <t>카드+계좌이체</t>
    <phoneticPr fontId="1" type="noConversion"/>
  </si>
  <si>
    <t>성안동 청구</t>
    <phoneticPr fontId="1" type="noConversion"/>
  </si>
  <si>
    <t>약수아파트</t>
    <phoneticPr fontId="1" type="noConversion"/>
  </si>
  <si>
    <t>계좌이체</t>
    <phoneticPr fontId="1" type="noConversion"/>
  </si>
  <si>
    <t>동서그린아파트</t>
    <phoneticPr fontId="1" type="noConversion"/>
  </si>
  <si>
    <t>500*1200*1800 4단 무.양</t>
    <phoneticPr fontId="1" type="noConversion"/>
  </si>
  <si>
    <t>500*3600*2400 3열 4단 무.양</t>
    <phoneticPr fontId="1" type="noConversion"/>
  </si>
  <si>
    <t>옥동 (유준건설)</t>
    <phoneticPr fontId="1" type="noConversion"/>
  </si>
  <si>
    <t>5차전 7,918,500</t>
    <phoneticPr fontId="1" type="noConversion"/>
  </si>
  <si>
    <t>63건 22건</t>
    <phoneticPr fontId="1" type="noConversion"/>
  </si>
  <si>
    <t>계산서발행</t>
    <phoneticPr fontId="1" type="noConversion"/>
  </si>
  <si>
    <t>일요일</t>
    <phoneticPr fontId="1" type="noConversion"/>
  </si>
  <si>
    <t>x</t>
    <phoneticPr fontId="1" type="noConversion"/>
  </si>
  <si>
    <t>x</t>
    <phoneticPr fontId="1" type="noConversion"/>
  </si>
  <si>
    <t>x</t>
    <phoneticPr fontId="1" type="noConversion"/>
  </si>
  <si>
    <t>x</t>
    <phoneticPr fontId="1" type="noConversion"/>
  </si>
  <si>
    <t>x</t>
    <phoneticPr fontId="1" type="noConversion"/>
  </si>
  <si>
    <t>ㅇ</t>
    <phoneticPr fontId="1" type="noConversion"/>
  </si>
  <si>
    <t>ㅇ</t>
    <phoneticPr fontId="1" type="noConversion"/>
  </si>
  <si>
    <t>ㅇ</t>
    <phoneticPr fontId="1" type="noConversion"/>
  </si>
  <si>
    <t>ㅇ</t>
    <phoneticPr fontId="1" type="noConversion"/>
  </si>
  <si>
    <t>ㅇ</t>
    <phoneticPr fontId="1" type="noConversion"/>
  </si>
  <si>
    <t>다운동 104동1103호</t>
    <phoneticPr fontId="1" type="noConversion"/>
  </si>
  <si>
    <t>시스템</t>
    <phoneticPr fontId="1" type="noConversion"/>
  </si>
  <si>
    <t>계좌이체</t>
    <phoneticPr fontId="1" type="noConversion"/>
  </si>
  <si>
    <t>현금</t>
    <phoneticPr fontId="1" type="noConversion"/>
  </si>
  <si>
    <t>한식뷔페</t>
    <phoneticPr fontId="1" type="noConversion"/>
  </si>
  <si>
    <t>주먹밥파는곳</t>
    <phoneticPr fontId="1" type="noConversion"/>
  </si>
  <si>
    <t>남외푸르지오206동1303호1</t>
    <phoneticPr fontId="1" type="noConversion"/>
  </si>
  <si>
    <t>시스템</t>
    <phoneticPr fontId="1" type="noConversion"/>
  </si>
  <si>
    <t>계좌이체</t>
    <phoneticPr fontId="1" type="noConversion"/>
  </si>
  <si>
    <t>현대평창2차</t>
    <phoneticPr fontId="1" type="noConversion"/>
  </si>
  <si>
    <t>계좌이체</t>
    <phoneticPr fontId="1" type="noConversion"/>
  </si>
  <si>
    <t>시스템</t>
    <phoneticPr fontId="1" type="noConversion"/>
  </si>
  <si>
    <t>2024년 12월  매출현황</t>
    <phoneticPr fontId="1" type="noConversion"/>
  </si>
  <si>
    <t>온산 행정복지센터</t>
    <phoneticPr fontId="1" type="noConversion"/>
  </si>
  <si>
    <t>경량렉</t>
    <phoneticPr fontId="1" type="noConversion"/>
  </si>
  <si>
    <t>대하그린파크101동</t>
    <phoneticPr fontId="1" type="noConversion"/>
  </si>
  <si>
    <t>계좌이체</t>
    <phoneticPr fontId="1" type="noConversion"/>
  </si>
  <si>
    <t>계좌이체</t>
    <phoneticPr fontId="1" type="noConversion"/>
  </si>
  <si>
    <t>재료포장</t>
    <phoneticPr fontId="1" type="noConversion"/>
  </si>
  <si>
    <t>카드</t>
    <phoneticPr fontId="1" type="noConversion"/>
  </si>
  <si>
    <t>계좌이체</t>
    <phoneticPr fontId="1" type="noConversion"/>
  </si>
  <si>
    <t>가포기전</t>
    <phoneticPr fontId="1" type="noConversion"/>
  </si>
  <si>
    <t>문수애시앙110동2902</t>
    <phoneticPr fontId="1" type="noConversion"/>
  </si>
  <si>
    <t>커튼 블라인드</t>
    <phoneticPr fontId="1" type="noConversion"/>
  </si>
  <si>
    <t>시스템</t>
    <phoneticPr fontId="1" type="noConversion"/>
  </si>
  <si>
    <t>시스템</t>
    <phoneticPr fontId="1" type="noConversion"/>
  </si>
  <si>
    <t>시스템</t>
    <phoneticPr fontId="1" type="noConversion"/>
  </si>
  <si>
    <t>인테링어사장님</t>
    <phoneticPr fontId="1" type="noConversion"/>
  </si>
  <si>
    <t>삼동 주택</t>
    <phoneticPr fontId="1" type="noConversion"/>
  </si>
  <si>
    <t>앵글</t>
    <phoneticPr fontId="1" type="noConversion"/>
  </si>
  <si>
    <t>미입</t>
    <phoneticPr fontId="1" type="noConversion"/>
  </si>
  <si>
    <t>커튼명가창</t>
    <phoneticPr fontId="1" type="noConversion"/>
  </si>
  <si>
    <t>재료배달</t>
    <phoneticPr fontId="1" type="noConversion"/>
  </si>
  <si>
    <t>1차전 13,076,000</t>
    <phoneticPr fontId="1" type="noConversion"/>
  </si>
  <si>
    <t>화봉동 파라다이스 현대706동809호</t>
    <phoneticPr fontId="1" type="noConversion"/>
  </si>
  <si>
    <t>010-2527-7751</t>
    <phoneticPr fontId="1" type="noConversion"/>
  </si>
  <si>
    <t>계좌이체</t>
    <phoneticPr fontId="1" type="noConversion"/>
  </si>
  <si>
    <t>카드</t>
    <phoneticPr fontId="1" type="noConversion"/>
  </si>
  <si>
    <t>쑥의원</t>
    <phoneticPr fontId="1" type="noConversion"/>
  </si>
  <si>
    <t>남외동푸르지오2차207동1301호</t>
    <phoneticPr fontId="1" type="noConversion"/>
  </si>
  <si>
    <t>시스템 펜트리장</t>
    <phoneticPr fontId="1" type="noConversion"/>
  </si>
  <si>
    <t>시스템</t>
    <phoneticPr fontId="1" type="noConversion"/>
  </si>
  <si>
    <t>시스템</t>
    <phoneticPr fontId="1" type="noConversion"/>
  </si>
  <si>
    <t>재료배달</t>
    <phoneticPr fontId="1" type="noConversion"/>
  </si>
  <si>
    <t>현금(계좌이체)</t>
    <phoneticPr fontId="1" type="noConversion"/>
  </si>
  <si>
    <t>앵글</t>
    <phoneticPr fontId="1" type="noConversion"/>
  </si>
  <si>
    <t>미소지움209동</t>
    <phoneticPr fontId="1" type="noConversion"/>
  </si>
  <si>
    <t>계좌이체</t>
    <phoneticPr fontId="1" type="noConversion"/>
  </si>
  <si>
    <t xml:space="preserve">중구 </t>
    <phoneticPr fontId="1" type="noConversion"/>
  </si>
  <si>
    <t>신한디아채</t>
    <phoneticPr fontId="1" type="noConversion"/>
  </si>
  <si>
    <t>성운이집</t>
    <phoneticPr fontId="1" type="noConversion"/>
  </si>
  <si>
    <t>화봉 휴먼시아</t>
    <phoneticPr fontId="1" type="noConversion"/>
  </si>
  <si>
    <t>점심시간</t>
    <phoneticPr fontId="1" type="noConversion"/>
  </si>
  <si>
    <t>주식회사 원</t>
    <phoneticPr fontId="1" type="noConversion"/>
  </si>
  <si>
    <t>계산서발행</t>
    <phoneticPr fontId="1" type="noConversion"/>
  </si>
  <si>
    <t>현금</t>
    <phoneticPr fontId="1" type="noConversion"/>
  </si>
  <si>
    <t>재료포장</t>
    <phoneticPr fontId="1" type="noConversion"/>
  </si>
  <si>
    <t>620앵글</t>
    <phoneticPr fontId="1" type="noConversion"/>
  </si>
  <si>
    <t>500*1200*2100 5단 무.일 2조</t>
    <phoneticPr fontId="1" type="noConversion"/>
  </si>
  <si>
    <t>500*800*2100 4단 무.양
500*1000*2100 4단 무.양</t>
    <phoneticPr fontId="1" type="noConversion"/>
  </si>
  <si>
    <t>계좌이체</t>
    <phoneticPr fontId="1" type="noConversion"/>
  </si>
  <si>
    <t>계산서발행</t>
    <phoneticPr fontId="1" type="noConversion"/>
  </si>
  <si>
    <t>계산서발행</t>
    <phoneticPr fontId="1" type="noConversion"/>
  </si>
  <si>
    <t>성안동403-15 201호</t>
    <phoneticPr fontId="1" type="noConversion"/>
  </si>
  <si>
    <t>시스템</t>
    <phoneticPr fontId="1" type="noConversion"/>
  </si>
  <si>
    <t>시스템</t>
    <phoneticPr fontId="1" type="noConversion"/>
  </si>
  <si>
    <t>내곡 1길25-10</t>
    <phoneticPr fontId="1" type="noConversion"/>
  </si>
  <si>
    <t>시스템</t>
    <phoneticPr fontId="1" type="noConversion"/>
  </si>
  <si>
    <t>계좌이체</t>
    <phoneticPr fontId="1" type="noConversion"/>
  </si>
  <si>
    <t>계좌이체</t>
    <phoneticPr fontId="1" type="noConversion"/>
  </si>
  <si>
    <t>부동산사장님</t>
    <phoneticPr fontId="1" type="noConversion"/>
  </si>
  <si>
    <t>재료포장</t>
    <phoneticPr fontId="1" type="noConversion"/>
  </si>
  <si>
    <t>받침대</t>
    <phoneticPr fontId="1" type="noConversion"/>
  </si>
  <si>
    <t>재료포장</t>
    <phoneticPr fontId="1" type="noConversion"/>
  </si>
  <si>
    <t>620 앵글</t>
    <phoneticPr fontId="1" type="noConversion"/>
  </si>
  <si>
    <t>카드</t>
    <phoneticPr fontId="1" type="noConversion"/>
  </si>
  <si>
    <t>미입</t>
    <phoneticPr fontId="1" type="noConversion"/>
  </si>
  <si>
    <t>현금</t>
    <phoneticPr fontId="1" type="noConversion"/>
  </si>
  <si>
    <t>태화삼익</t>
    <phoneticPr fontId="1" type="noConversion"/>
  </si>
  <si>
    <t>시스템</t>
    <phoneticPr fontId="1" type="noConversion"/>
  </si>
  <si>
    <t>시스템</t>
    <phoneticPr fontId="1" type="noConversion"/>
  </si>
  <si>
    <t>우미린2차</t>
    <phoneticPr fontId="1" type="noConversion"/>
  </si>
  <si>
    <t>주공2차 202동</t>
    <phoneticPr fontId="1" type="noConversion"/>
  </si>
  <si>
    <t>무거 삼익</t>
    <phoneticPr fontId="1" type="noConversion"/>
  </si>
  <si>
    <t>2차전 6,802,000</t>
    <phoneticPr fontId="1" type="noConversion"/>
  </si>
  <si>
    <t>k카</t>
    <phoneticPr fontId="1" type="noConversion"/>
  </si>
  <si>
    <t>경량렉</t>
    <phoneticPr fontId="1" type="noConversion"/>
  </si>
  <si>
    <t>앵글선반</t>
    <phoneticPr fontId="1" type="noConversion"/>
  </si>
  <si>
    <t>600*1200*2000 5단 무.양</t>
    <phoneticPr fontId="1" type="noConversion"/>
  </si>
  <si>
    <t>재료포장</t>
    <phoneticPr fontId="1" type="noConversion"/>
  </si>
  <si>
    <t>카드</t>
    <phoneticPr fontId="1" type="noConversion"/>
  </si>
  <si>
    <t>(카드)</t>
    <phoneticPr fontId="1" type="noConversion"/>
  </si>
  <si>
    <t>정석부동산</t>
    <phoneticPr fontId="1" type="noConversion"/>
  </si>
  <si>
    <t>이즈플레이스1010동1208호</t>
    <phoneticPr fontId="1" type="noConversion"/>
  </si>
  <si>
    <t>시스템</t>
    <phoneticPr fontId="1" type="noConversion"/>
  </si>
  <si>
    <t>앵글 시스템</t>
    <phoneticPr fontId="1" type="noConversion"/>
  </si>
  <si>
    <t>계좌이체(계산서)</t>
    <phoneticPr fontId="1" type="noConversion"/>
  </si>
  <si>
    <t>미포조선101동301호</t>
    <phoneticPr fontId="1" type="noConversion"/>
  </si>
  <si>
    <t>온양 한식들꽃뷔페</t>
    <phoneticPr fontId="1" type="noConversion"/>
  </si>
  <si>
    <t>대공원현대102-1101호</t>
    <phoneticPr fontId="1" type="noConversion"/>
  </si>
  <si>
    <t>온산읍 덕신리103-4</t>
    <phoneticPr fontId="1" type="noConversion"/>
  </si>
  <si>
    <t>시스템</t>
    <phoneticPr fontId="1" type="noConversion"/>
  </si>
  <si>
    <t>시스템</t>
    <phoneticPr fontId="1" type="noConversion"/>
  </si>
  <si>
    <t>앵글선반</t>
    <phoneticPr fontId="1" type="noConversion"/>
  </si>
  <si>
    <t>무검삼익</t>
    <phoneticPr fontId="1" type="noConversion"/>
  </si>
  <si>
    <t>문수로아이파크204동603호</t>
    <phoneticPr fontId="1" type="noConversion"/>
  </si>
  <si>
    <t>삼산 원룸 4층</t>
    <phoneticPr fontId="1" type="noConversion"/>
  </si>
  <si>
    <t>시스템,앵글</t>
    <phoneticPr fontId="1" type="noConversion"/>
  </si>
  <si>
    <t>시스템</t>
    <phoneticPr fontId="1" type="noConversion"/>
  </si>
  <si>
    <t xml:space="preserve">삼산 2차 </t>
    <phoneticPr fontId="1" type="noConversion"/>
  </si>
  <si>
    <t>블라인드</t>
    <phoneticPr fontId="1" type="noConversion"/>
  </si>
  <si>
    <t>계좌이체</t>
    <phoneticPr fontId="1" type="noConversion"/>
  </si>
  <si>
    <t>계좌이체</t>
    <phoneticPr fontId="1" type="noConversion"/>
  </si>
  <si>
    <t>3차전 8,810,000</t>
    <phoneticPr fontId="1" type="noConversion"/>
  </si>
  <si>
    <t>문수로아이파크</t>
    <phoneticPr fontId="1" type="noConversion"/>
  </si>
  <si>
    <t>시스템</t>
    <phoneticPr fontId="1" type="noConversion"/>
  </si>
  <si>
    <t>계좌이체</t>
    <phoneticPr fontId="1" type="noConversion"/>
  </si>
  <si>
    <t>신정홈타운401동1308호</t>
    <phoneticPr fontId="1" type="noConversion"/>
  </si>
  <si>
    <t>시스템</t>
    <phoneticPr fontId="1" type="noConversion"/>
  </si>
  <si>
    <t xml:space="preserve">구영리 일신맨션 </t>
    <phoneticPr fontId="1" type="noConversion"/>
  </si>
  <si>
    <t>계좌이체</t>
    <phoneticPr fontId="1" type="noConversion"/>
  </si>
  <si>
    <t>재료포장</t>
    <phoneticPr fontId="1" type="noConversion"/>
  </si>
  <si>
    <t>신정홈타운401동1308호</t>
    <phoneticPr fontId="1" type="noConversion"/>
  </si>
  <si>
    <t>산업특수</t>
    <phoneticPr fontId="1" type="noConversion"/>
  </si>
  <si>
    <t xml:space="preserve">계산서 </t>
    <phoneticPr fontId="1" type="noConversion"/>
  </si>
  <si>
    <t>4차전  2,131,000</t>
    <phoneticPr fontId="1" type="noConversion"/>
  </si>
  <si>
    <t xml:space="preserve">5차전 </t>
    <phoneticPr fontId="1" type="noConversion"/>
  </si>
  <si>
    <t>앵글선반</t>
    <phoneticPr fontId="1" type="noConversion"/>
  </si>
  <si>
    <t>삼남 신복길</t>
    <phoneticPr fontId="1" type="noConversion"/>
  </si>
  <si>
    <t>현금</t>
    <phoneticPr fontId="1" type="noConversion"/>
  </si>
  <si>
    <t xml:space="preserve">양산 </t>
    <phoneticPr fontId="1" type="noConversion"/>
  </si>
  <si>
    <t>시스템</t>
    <phoneticPr fontId="1" type="noConversion"/>
  </si>
  <si>
    <t>계좌이체</t>
    <phoneticPr fontId="1" type="noConversion"/>
  </si>
  <si>
    <t>미입</t>
    <phoneticPr fontId="1" type="noConversion"/>
  </si>
  <si>
    <t>미입</t>
    <phoneticPr fontId="1" type="noConversion"/>
  </si>
  <si>
    <t>h</t>
    <phoneticPr fontId="1" type="noConversion"/>
  </si>
  <si>
    <t>2025년 1월  매출현황</t>
    <phoneticPr fontId="1" type="noConversion"/>
  </si>
  <si>
    <t>블라인드</t>
    <phoneticPr fontId="1" type="noConversion"/>
  </si>
  <si>
    <t>카드</t>
    <phoneticPr fontId="1" type="noConversion"/>
  </si>
  <si>
    <t>500*2200*2100 2열 4단 무.일
500*900*1800 3단 무.일</t>
    <phoneticPr fontId="1" type="noConversion"/>
  </si>
  <si>
    <t>재료포장</t>
    <phoneticPr fontId="1" type="noConversion"/>
  </si>
  <si>
    <t>동부주공아파트</t>
    <phoneticPr fontId="1" type="noConversion"/>
  </si>
  <si>
    <t>시스템</t>
    <phoneticPr fontId="1" type="noConversion"/>
  </si>
  <si>
    <t>시스템</t>
    <phoneticPr fontId="1" type="noConversion"/>
  </si>
  <si>
    <t>재료포장</t>
    <phoneticPr fontId="1" type="noConversion"/>
  </si>
  <si>
    <t>산내 컨테이너</t>
    <phoneticPr fontId="1" type="noConversion"/>
  </si>
  <si>
    <t>멕스플렉스</t>
    <phoneticPr fontId="1" type="noConversion"/>
  </si>
  <si>
    <t>300*1200*1500 4단 무.양
400*800*1300 4단 무.양
500*1600*860 1단 무.양</t>
    <phoneticPr fontId="1" type="noConversion"/>
  </si>
  <si>
    <t>현금</t>
    <phoneticPr fontId="1" type="noConversion"/>
  </si>
  <si>
    <t>동구</t>
    <phoneticPr fontId="1" type="noConversion"/>
  </si>
  <si>
    <t xml:space="preserve">옥현주공 </t>
    <phoneticPr fontId="1" type="noConversion"/>
  </si>
  <si>
    <t>계좌이체</t>
    <phoneticPr fontId="1" type="noConversion"/>
  </si>
  <si>
    <t>현금</t>
    <phoneticPr fontId="1" type="noConversion"/>
  </si>
  <si>
    <t xml:space="preserve"> 1차전 2,610,000</t>
    <phoneticPr fontId="1" type="noConversion"/>
  </si>
  <si>
    <t>재료포장</t>
    <phoneticPr fontId="1" type="noConversion"/>
  </si>
  <si>
    <t>계산서발행</t>
    <phoneticPr fontId="1" type="noConversion"/>
  </si>
  <si>
    <t>시스템 커튼 앵글</t>
    <phoneticPr fontId="1" type="noConversion"/>
  </si>
  <si>
    <t>현금</t>
    <phoneticPr fontId="1" type="noConversion"/>
  </si>
  <si>
    <t>시스템</t>
    <phoneticPr fontId="1" type="noConversion"/>
  </si>
  <si>
    <t>시스템</t>
    <phoneticPr fontId="1" type="noConversion"/>
  </si>
  <si>
    <t>계좌이체</t>
    <phoneticPr fontId="1" type="noConversion"/>
  </si>
  <si>
    <t>카드</t>
    <phoneticPr fontId="1" type="noConversion"/>
  </si>
  <si>
    <t>성안 빌라</t>
    <phoneticPr fontId="1" type="noConversion"/>
  </si>
  <si>
    <t>다운동 동아아파트107동701호</t>
    <phoneticPr fontId="1" type="noConversion"/>
  </si>
  <si>
    <t>북구 천곡동</t>
    <phoneticPr fontId="1" type="noConversion"/>
  </si>
  <si>
    <t>계좌이체</t>
    <phoneticPr fontId="1" type="noConversion"/>
  </si>
  <si>
    <t>우리사무실뒤쪽 신건물</t>
    <phoneticPr fontId="1" type="noConversion"/>
  </si>
  <si>
    <t>삼산</t>
    <phoneticPr fontId="1" type="noConversion"/>
  </si>
  <si>
    <t>계좌이체</t>
    <phoneticPr fontId="1" type="noConversion"/>
  </si>
  <si>
    <t xml:space="preserve">500*1200*2000 5단 </t>
    <phoneticPr fontId="1" type="noConversion"/>
  </si>
  <si>
    <t>두산위브</t>
    <phoneticPr fontId="1" type="noConversion"/>
  </si>
  <si>
    <t>시스템 (펜트리)</t>
    <phoneticPr fontId="1" type="noConversion"/>
  </si>
  <si>
    <t>시스템</t>
    <phoneticPr fontId="1" type="noConversion"/>
  </si>
  <si>
    <t>계산서발행</t>
    <phoneticPr fontId="1" type="noConversion"/>
  </si>
  <si>
    <t>휴레스빌1동501호</t>
    <phoneticPr fontId="1" type="noConversion"/>
  </si>
  <si>
    <t>계좌이체</t>
    <phoneticPr fontId="1" type="noConversion"/>
  </si>
  <si>
    <t>400*1800*1800 2열 4단 무.일</t>
    <phoneticPr fontId="1" type="noConversion"/>
  </si>
  <si>
    <t>시스템</t>
    <phoneticPr fontId="1" type="noConversion"/>
  </si>
  <si>
    <t>재료포장</t>
    <phoneticPr fontId="1" type="noConversion"/>
  </si>
  <si>
    <t>송정</t>
    <phoneticPr fontId="1" type="noConversion"/>
  </si>
  <si>
    <t>계좌이체</t>
    <phoneticPr fontId="1" type="noConversion"/>
  </si>
  <si>
    <t xml:space="preserve"> 2차전 7,441,000 </t>
    <phoneticPr fontId="1" type="noConversion"/>
  </si>
  <si>
    <t>애경케미칼</t>
    <phoneticPr fontId="1" type="noConversion"/>
  </si>
  <si>
    <t>경량렉/앵글선반</t>
    <phoneticPr fontId="1" type="noConversion"/>
  </si>
  <si>
    <t>세민병원</t>
    <phoneticPr fontId="1" type="noConversion"/>
  </si>
  <si>
    <t>계산서발행</t>
    <phoneticPr fontId="1" type="noConversion"/>
  </si>
  <si>
    <t>동구 전하이편한세상</t>
    <phoneticPr fontId="1" type="noConversion"/>
  </si>
  <si>
    <t>미입</t>
    <phoneticPr fontId="1" type="noConversion"/>
  </si>
  <si>
    <t>시스템 (펜트리)</t>
    <phoneticPr fontId="1" type="noConversion"/>
  </si>
  <si>
    <t>앵글선반</t>
    <phoneticPr fontId="1" type="noConversion"/>
  </si>
  <si>
    <t>센트럴 자이 102동2703호</t>
    <phoneticPr fontId="1" type="noConversion"/>
  </si>
  <si>
    <t>시스템 펜트리</t>
    <phoneticPr fontId="1" type="noConversion"/>
  </si>
  <si>
    <t>미입</t>
    <phoneticPr fontId="1" type="noConversion"/>
  </si>
  <si>
    <t>계좌이체</t>
    <phoneticPr fontId="1" type="noConversion"/>
  </si>
  <si>
    <t>카드결제</t>
    <phoneticPr fontId="1" type="noConversion"/>
  </si>
  <si>
    <t>경주 황리단길 스테이홈</t>
    <phoneticPr fontId="1" type="noConversion"/>
  </si>
  <si>
    <t>에코하이츠101동1103호</t>
    <phoneticPr fontId="1" type="noConversion"/>
  </si>
  <si>
    <t>시스템</t>
    <phoneticPr fontId="1" type="noConversion"/>
  </si>
  <si>
    <t>앵글 4조</t>
    <phoneticPr fontId="1" type="noConversion"/>
  </si>
  <si>
    <t xml:space="preserve">사무실 뒤쪽 </t>
    <phoneticPr fontId="1" type="noConversion"/>
  </si>
  <si>
    <t>블라인드</t>
    <phoneticPr fontId="1" type="noConversion"/>
  </si>
  <si>
    <t>계산서발행</t>
    <phoneticPr fontId="1" type="noConversion"/>
  </si>
  <si>
    <t>3차전 3,423,000</t>
    <phoneticPr fontId="1" type="noConversion"/>
  </si>
  <si>
    <t>쌍용하나빌리지307동802호</t>
    <phoneticPr fontId="1" type="noConversion"/>
  </si>
  <si>
    <t>시스템</t>
    <phoneticPr fontId="1" type="noConversion"/>
  </si>
  <si>
    <t>동구 이편한세상</t>
    <phoneticPr fontId="1" type="noConversion"/>
  </si>
  <si>
    <t>미입</t>
    <phoneticPr fontId="1" type="noConversion"/>
  </si>
  <si>
    <t>시스템</t>
    <phoneticPr fontId="1" type="noConversion"/>
  </si>
  <si>
    <t>시스템</t>
    <phoneticPr fontId="1" type="noConversion"/>
  </si>
  <si>
    <t>북구 철거 송정풍경채106동402호</t>
    <phoneticPr fontId="1" type="noConversion"/>
  </si>
  <si>
    <t xml:space="preserve">우정동436-138 2층 </t>
    <phoneticPr fontId="1" type="noConversion"/>
  </si>
  <si>
    <t>카드</t>
    <phoneticPr fontId="1" type="noConversion"/>
  </si>
  <si>
    <t>시스템</t>
    <phoneticPr fontId="1" type="noConversion"/>
  </si>
  <si>
    <t>4차전</t>
    <phoneticPr fontId="1" type="noConversion"/>
  </si>
  <si>
    <t xml:space="preserve">롯데캐슬 </t>
    <phoneticPr fontId="1" type="noConversion"/>
  </si>
  <si>
    <t>계좌이체</t>
    <phoneticPr fontId="1" type="noConversion"/>
  </si>
  <si>
    <t>경주포석로</t>
    <phoneticPr fontId="1" type="noConversion"/>
  </si>
  <si>
    <t>우준건설 재설치</t>
    <phoneticPr fontId="1" type="noConversion"/>
  </si>
  <si>
    <t>우정동kcc</t>
    <phoneticPr fontId="1" type="noConversion"/>
  </si>
  <si>
    <t>달동힐스테이트</t>
    <phoneticPr fontId="1" type="noConversion"/>
  </si>
  <si>
    <t>시스템</t>
    <phoneticPr fontId="1" type="noConversion"/>
  </si>
  <si>
    <t>시스템</t>
    <phoneticPr fontId="1" type="noConversion"/>
  </si>
  <si>
    <t>앵글선반</t>
    <phoneticPr fontId="1" type="noConversion"/>
  </si>
  <si>
    <t>앵글선반</t>
    <phoneticPr fontId="1" type="noConversion"/>
  </si>
  <si>
    <t>시스템 펜트리</t>
    <phoneticPr fontId="1" type="noConversion"/>
  </si>
  <si>
    <t>재료포장</t>
    <phoneticPr fontId="1" type="noConversion"/>
  </si>
  <si>
    <t>계좌이체</t>
    <phoneticPr fontId="1" type="noConversion"/>
  </si>
  <si>
    <t>카드</t>
    <phoneticPr fontId="1" type="noConversion"/>
  </si>
  <si>
    <t>대명루첸</t>
    <phoneticPr fontId="1" type="noConversion"/>
  </si>
  <si>
    <t>재료포장</t>
    <phoneticPr fontId="1" type="noConversion"/>
  </si>
  <si>
    <t>계좌이체</t>
    <phoneticPr fontId="1" type="noConversion"/>
  </si>
  <si>
    <t>500*2400*1800 2열 4단</t>
    <phoneticPr fontId="1" type="noConversion"/>
  </si>
  <si>
    <t xml:space="preserve">중구 반구정9길19 2층 </t>
    <phoneticPr fontId="1" type="noConversion"/>
  </si>
  <si>
    <t>앵글선반</t>
    <phoneticPr fontId="1" type="noConversion"/>
  </si>
  <si>
    <t>계좌이체</t>
    <phoneticPr fontId="1" type="noConversion"/>
  </si>
  <si>
    <t>시스템</t>
    <phoneticPr fontId="1" type="noConversion"/>
  </si>
  <si>
    <t>앵글선반</t>
    <phoneticPr fontId="1" type="noConversion"/>
  </si>
  <si>
    <t>신정홈타운402동2503호</t>
    <phoneticPr fontId="1" type="noConversion"/>
  </si>
  <si>
    <t>신정푸르지오</t>
    <phoneticPr fontId="1" type="noConversion"/>
  </si>
  <si>
    <t>장현동 골든클래스107동704호</t>
    <phoneticPr fontId="1" type="noConversion"/>
  </si>
  <si>
    <t>펜트리, 앵글</t>
    <phoneticPr fontId="1" type="noConversion"/>
  </si>
  <si>
    <t>계좌이체</t>
    <phoneticPr fontId="1" type="noConversion"/>
  </si>
  <si>
    <t>010-4318-9350</t>
    <phoneticPr fontId="1" type="noConversion"/>
  </si>
  <si>
    <t>연형이형 회사</t>
    <phoneticPr fontId="1" type="noConversion"/>
  </si>
  <si>
    <t>계산서발행</t>
    <phoneticPr fontId="1" type="noConversion"/>
  </si>
  <si>
    <t>미입</t>
    <phoneticPr fontId="1" type="noConversion"/>
  </si>
  <si>
    <t>행복빌</t>
    <phoneticPr fontId="1" type="noConversion"/>
  </si>
  <si>
    <t>블라인드</t>
    <phoneticPr fontId="1" type="noConversion"/>
  </si>
  <si>
    <t>계좌이체</t>
    <phoneticPr fontId="1" type="noConversion"/>
  </si>
  <si>
    <t>계좌이체</t>
    <phoneticPr fontId="1" type="noConversion"/>
  </si>
  <si>
    <t>계좌이체</t>
    <phoneticPr fontId="1" type="noConversion"/>
  </si>
  <si>
    <t>모텔촌</t>
    <phoneticPr fontId="1" type="noConversion"/>
  </si>
  <si>
    <t>앵글선반</t>
    <phoneticPr fontId="1" type="noConversion"/>
  </si>
  <si>
    <t>앵글납품</t>
    <phoneticPr fontId="1" type="noConversion"/>
  </si>
  <si>
    <t>재설치</t>
    <phoneticPr fontId="1" type="noConversion"/>
  </si>
  <si>
    <t>골든로얄파크</t>
    <phoneticPr fontId="1" type="noConversion"/>
  </si>
  <si>
    <t>시스템</t>
    <phoneticPr fontId="1" type="noConversion"/>
  </si>
  <si>
    <t>미입</t>
    <phoneticPr fontId="1" type="noConversion"/>
  </si>
  <si>
    <t>중구종가1길8 3층</t>
    <phoneticPr fontId="1" type="noConversion"/>
  </si>
  <si>
    <t>웰츠타워101동302호</t>
    <phoneticPr fontId="1" type="noConversion"/>
  </si>
  <si>
    <t>시스템 앵글</t>
    <phoneticPr fontId="1" type="noConversion"/>
  </si>
  <si>
    <t>평창리비에르207동803호</t>
    <phoneticPr fontId="1" type="noConversion"/>
  </si>
  <si>
    <t>재료포장</t>
    <phoneticPr fontId="1" type="noConversion"/>
  </si>
  <si>
    <t>북구 신천지 아파트1009호</t>
    <phoneticPr fontId="1" type="noConversion"/>
  </si>
  <si>
    <t>계좌이체</t>
    <phoneticPr fontId="1" type="noConversion"/>
  </si>
  <si>
    <t>카드</t>
    <phoneticPr fontId="1" type="noConversion"/>
  </si>
  <si>
    <t>앵글선반</t>
    <phoneticPr fontId="1" type="noConversion"/>
  </si>
  <si>
    <t xml:space="preserve">온양 </t>
    <phoneticPr fontId="1" type="noConversion"/>
  </si>
  <si>
    <t>시스템</t>
    <phoneticPr fontId="1" type="noConversion"/>
  </si>
  <si>
    <t>계좌이체</t>
    <phoneticPr fontId="1" type="noConversion"/>
  </si>
  <si>
    <t>언양 아파트</t>
    <phoneticPr fontId="1" type="noConversion"/>
  </si>
  <si>
    <t>블라인드</t>
    <phoneticPr fontId="1" type="noConversion"/>
  </si>
  <si>
    <t>중량렉</t>
    <phoneticPr fontId="1" type="noConversion"/>
  </si>
  <si>
    <t>계좌이체</t>
    <phoneticPr fontId="1" type="noConversion"/>
  </si>
  <si>
    <t>온담</t>
    <phoneticPr fontId="1" type="noConversion"/>
  </si>
  <si>
    <t>미입</t>
    <phoneticPr fontId="1" type="noConversion"/>
  </si>
  <si>
    <t>남외푸르지오</t>
    <phoneticPr fontId="1" type="noConversion"/>
  </si>
  <si>
    <t>시스템</t>
    <phoneticPr fontId="1" type="noConversion"/>
  </si>
  <si>
    <t>동원로얄</t>
    <phoneticPr fontId="1" type="noConversion"/>
  </si>
  <si>
    <t>시스템</t>
    <phoneticPr fontId="1" type="noConversion"/>
  </si>
  <si>
    <t>벽산아파트 삼산</t>
    <phoneticPr fontId="1" type="noConversion"/>
  </si>
  <si>
    <t>두산위브 삼산</t>
    <phoneticPr fontId="1" type="noConversion"/>
  </si>
  <si>
    <t>미친년</t>
    <phoneticPr fontId="1" type="noConversion"/>
  </si>
  <si>
    <t>블라인드</t>
    <phoneticPr fontId="1" type="noConversion"/>
  </si>
  <si>
    <t>현금</t>
    <phoneticPr fontId="1" type="noConversion"/>
  </si>
  <si>
    <t>우드팩토리</t>
    <phoneticPr fontId="1" type="noConversion"/>
  </si>
  <si>
    <t>시스템,챙글</t>
    <phoneticPr fontId="1" type="noConversion"/>
  </si>
  <si>
    <t>2차전 13,400,000</t>
    <phoneticPr fontId="1" type="noConversion"/>
  </si>
  <si>
    <t>계산서발행</t>
    <phoneticPr fontId="1" type="noConversion"/>
  </si>
  <si>
    <t>재료포장</t>
    <phoneticPr fontId="1" type="noConversion"/>
  </si>
  <si>
    <t>상북이편한세상</t>
    <phoneticPr fontId="1" type="noConversion"/>
  </si>
  <si>
    <t>계좌이체</t>
    <phoneticPr fontId="1" type="noConversion"/>
  </si>
  <si>
    <t>계좌이체</t>
    <phoneticPr fontId="1" type="noConversion"/>
  </si>
  <si>
    <t>시스템</t>
    <phoneticPr fontId="1" type="noConversion"/>
  </si>
  <si>
    <t>앵글</t>
    <phoneticPr fontId="1" type="noConversion"/>
  </si>
  <si>
    <t>시스템 펜트리</t>
    <phoneticPr fontId="1" type="noConversion"/>
  </si>
  <si>
    <t>미입</t>
    <phoneticPr fontId="1" type="noConversion"/>
  </si>
  <si>
    <t>이편한세상103동605호</t>
    <phoneticPr fontId="1" type="noConversion"/>
  </si>
  <si>
    <t>카드</t>
    <phoneticPr fontId="1" type="noConversion"/>
  </si>
  <si>
    <t>북구 염포동191-1</t>
    <phoneticPr fontId="1" type="noConversion"/>
  </si>
  <si>
    <t>앵글선반</t>
    <phoneticPr fontId="1" type="noConversion"/>
  </si>
  <si>
    <t>온담 재설치</t>
    <phoneticPr fontId="1" type="noConversion"/>
  </si>
  <si>
    <t>재료포장</t>
    <phoneticPr fontId="1" type="noConversion"/>
  </si>
  <si>
    <t>세민병원</t>
    <phoneticPr fontId="1" type="noConversion"/>
  </si>
  <si>
    <t>앵글</t>
    <phoneticPr fontId="1" type="noConversion"/>
  </si>
  <si>
    <t>시스템</t>
    <phoneticPr fontId="1" type="noConversion"/>
  </si>
  <si>
    <t xml:space="preserve"> 1차전 5,980,000</t>
    <phoneticPr fontId="1" type="noConversion"/>
  </si>
  <si>
    <t>3차전 3,433,000원</t>
    <phoneticPr fontId="1" type="noConversion"/>
  </si>
  <si>
    <t>4차전</t>
    <phoneticPr fontId="1" type="noConversion"/>
  </si>
  <si>
    <t>양산 상북</t>
    <phoneticPr fontId="1" type="noConversion"/>
  </si>
  <si>
    <t>에코하이츠</t>
    <phoneticPr fontId="1" type="noConversion"/>
  </si>
  <si>
    <t>매곡</t>
    <phoneticPr fontId="1" type="noConversion"/>
  </si>
  <si>
    <t>동원로얄 온담</t>
    <phoneticPr fontId="1" type="noConversion"/>
  </si>
  <si>
    <t>모텔 이전설치</t>
    <phoneticPr fontId="1" type="noConversion"/>
  </si>
  <si>
    <t>25년 1월</t>
    <phoneticPr fontId="1" type="noConversion"/>
  </si>
  <si>
    <t>25년 2월</t>
    <phoneticPr fontId="1" type="noConversion"/>
  </si>
  <si>
    <t>시스템</t>
    <phoneticPr fontId="1" type="noConversion"/>
  </si>
  <si>
    <t>시스템</t>
    <phoneticPr fontId="1" type="noConversion"/>
  </si>
  <si>
    <t>앵글이전</t>
    <phoneticPr fontId="1" type="noConversion"/>
  </si>
  <si>
    <t>앵글선반</t>
    <phoneticPr fontId="1" type="noConversion"/>
  </si>
  <si>
    <t>블라인드</t>
    <phoneticPr fontId="1" type="noConversion"/>
  </si>
  <si>
    <t>앵글선반</t>
    <phoneticPr fontId="1" type="noConversion"/>
  </si>
  <si>
    <t>시스템 펜트리</t>
    <phoneticPr fontId="1" type="noConversion"/>
  </si>
  <si>
    <t>계좌이체</t>
    <phoneticPr fontId="1" type="noConversion"/>
  </si>
  <si>
    <t>계좌이체</t>
    <phoneticPr fontId="1" type="noConversion"/>
  </si>
  <si>
    <t>계좌이체</t>
    <phoneticPr fontId="1" type="noConversion"/>
  </si>
  <si>
    <t xml:space="preserve">브리트니 </t>
    <phoneticPr fontId="1" type="noConversion"/>
  </si>
  <si>
    <t>현금</t>
    <phoneticPr fontId="1" type="noConversion"/>
  </si>
  <si>
    <t>계좌이체</t>
    <phoneticPr fontId="1" type="noConversion"/>
  </si>
  <si>
    <t>문수데시앙</t>
    <phoneticPr fontId="1" type="noConversion"/>
  </si>
  <si>
    <t xml:space="preserve">북구- 성안동 </t>
    <phoneticPr fontId="1" type="noConversion"/>
  </si>
  <si>
    <t>이전설치</t>
    <phoneticPr fontId="1" type="noConversion"/>
  </si>
  <si>
    <t>계좌이체</t>
    <phoneticPr fontId="1" type="noConversion"/>
  </si>
  <si>
    <t>양정동481</t>
    <phoneticPr fontId="1" type="noConversion"/>
  </si>
  <si>
    <t>010-4860-4476</t>
    <phoneticPr fontId="1" type="noConversion"/>
  </si>
  <si>
    <t>계좌이체</t>
    <phoneticPr fontId="1" type="noConversion"/>
  </si>
  <si>
    <t>재료포장</t>
    <phoneticPr fontId="1" type="noConversion"/>
  </si>
  <si>
    <t>계좌이체</t>
    <phoneticPr fontId="1" type="noConversion"/>
  </si>
  <si>
    <t>600*2100*1800 2열 3단 
600*600*1800 3단</t>
    <phoneticPr fontId="1" type="noConversion"/>
  </si>
  <si>
    <t>600*</t>
    <phoneticPr fontId="1" type="noConversion"/>
  </si>
  <si>
    <t>재료포장</t>
    <phoneticPr fontId="1" type="noConversion"/>
  </si>
  <si>
    <t>카드</t>
    <phoneticPr fontId="1" type="noConversion"/>
  </si>
  <si>
    <t>앵글선반</t>
    <phoneticPr fontId="1" type="noConversion"/>
  </si>
  <si>
    <t>카드,현금</t>
    <phoneticPr fontId="1" type="noConversion"/>
  </si>
  <si>
    <t xml:space="preserve"> 1차전 1,460,000</t>
    <phoneticPr fontId="1" type="noConversion"/>
  </si>
  <si>
    <t>블라인드</t>
    <phoneticPr fontId="1" type="noConversion"/>
  </si>
  <si>
    <t>영남알프스 110동302호</t>
    <phoneticPr fontId="1" type="noConversion"/>
  </si>
  <si>
    <t>황토방2차204동401호</t>
    <phoneticPr fontId="1" type="noConversion"/>
  </si>
  <si>
    <t>계좌이체</t>
    <phoneticPr fontId="1" type="noConversion"/>
  </si>
  <si>
    <t>블라인드</t>
    <phoneticPr fontId="1" type="noConversion"/>
  </si>
  <si>
    <t>현금</t>
    <phoneticPr fontId="1" type="noConversion"/>
  </si>
  <si>
    <t>청구 언양 103동709호</t>
    <phoneticPr fontId="1" type="noConversion"/>
  </si>
  <si>
    <t>시스템</t>
    <phoneticPr fontId="1" type="noConversion"/>
  </si>
  <si>
    <t>필그린아파트12호</t>
    <phoneticPr fontId="1" type="noConversion"/>
  </si>
  <si>
    <t>재설치</t>
    <phoneticPr fontId="1" type="noConversion"/>
  </si>
  <si>
    <t>계좌이체</t>
    <phoneticPr fontId="1" type="noConversion"/>
  </si>
  <si>
    <t>언양읍 헌양길275</t>
    <phoneticPr fontId="1" type="noConversion"/>
  </si>
  <si>
    <t>시스템</t>
    <phoneticPr fontId="1" type="noConversion"/>
  </si>
  <si>
    <t>계산서발행</t>
    <phoneticPr fontId="1" type="noConversion"/>
  </si>
  <si>
    <t xml:space="preserve">더샾 아파트 </t>
    <phoneticPr fontId="1" type="noConversion"/>
  </si>
  <si>
    <t>미입</t>
    <phoneticPr fontId="1" type="noConversion"/>
  </si>
  <si>
    <t>앵글선반</t>
    <phoneticPr fontId="1" type="noConversion"/>
  </si>
  <si>
    <t>옥현주공</t>
    <phoneticPr fontId="1" type="noConversion"/>
  </si>
  <si>
    <t>시스템 부산사장님</t>
    <phoneticPr fontId="1" type="noConversion"/>
  </si>
  <si>
    <t>미입</t>
    <phoneticPr fontId="1" type="noConversion"/>
  </si>
  <si>
    <t>계좌이체</t>
    <phoneticPr fontId="1" type="noConversion"/>
  </si>
  <si>
    <t>2차전 2,927,000</t>
    <phoneticPr fontId="1" type="noConversion"/>
  </si>
  <si>
    <t>언양 파출소</t>
    <phoneticPr fontId="1" type="noConversion"/>
  </si>
  <si>
    <t>산내 0</t>
    <phoneticPr fontId="1" type="noConversion"/>
  </si>
  <si>
    <t>계좌이체</t>
    <phoneticPr fontId="1" type="noConversion"/>
  </si>
  <si>
    <t>카드</t>
    <phoneticPr fontId="1" type="noConversion"/>
  </si>
  <si>
    <t>신천엠코타운</t>
    <phoneticPr fontId="1" type="noConversion"/>
  </si>
  <si>
    <t xml:space="preserve">두왕로 </t>
    <phoneticPr fontId="1" type="noConversion"/>
  </si>
  <si>
    <t>시스템</t>
    <phoneticPr fontId="1" type="noConversion"/>
  </si>
  <si>
    <t>앵글</t>
    <phoneticPr fontId="1" type="noConversion"/>
  </si>
  <si>
    <t>앵글</t>
    <phoneticPr fontId="1" type="noConversion"/>
  </si>
  <si>
    <t>시스템</t>
    <phoneticPr fontId="1" type="noConversion"/>
  </si>
  <si>
    <t>계좌이체</t>
    <phoneticPr fontId="1" type="noConversion"/>
  </si>
  <si>
    <t>카드</t>
    <phoneticPr fontId="1" type="noConversion"/>
  </si>
  <si>
    <t>블라인드</t>
    <phoneticPr fontId="1" type="noConversion"/>
  </si>
  <si>
    <t xml:space="preserve">성안동 </t>
    <phoneticPr fontId="1" type="noConversion"/>
  </si>
  <si>
    <t>시스템</t>
    <phoneticPr fontId="1" type="noConversion"/>
  </si>
  <si>
    <t>미입</t>
    <phoneticPr fontId="1" type="noConversion"/>
  </si>
  <si>
    <t>미입</t>
    <phoneticPr fontId="1" type="noConversion"/>
  </si>
  <si>
    <t>계좌이체</t>
    <phoneticPr fontId="1" type="noConversion"/>
  </si>
  <si>
    <t>앵글</t>
    <phoneticPr fontId="1" type="noConversion"/>
  </si>
  <si>
    <t>재료포장</t>
    <phoneticPr fontId="1" type="noConversion"/>
  </si>
  <si>
    <t>쌍용하나빌리지</t>
    <phoneticPr fontId="1" type="noConversion"/>
  </si>
  <si>
    <t>규정이집</t>
    <phoneticPr fontId="1" type="noConversion"/>
  </si>
  <si>
    <t>미입</t>
    <phoneticPr fontId="1" type="noConversion"/>
  </si>
  <si>
    <t>3차전 2,434,600</t>
    <phoneticPr fontId="1" type="noConversion"/>
  </si>
  <si>
    <t>앵글선반</t>
    <phoneticPr fontId="1" type="noConversion"/>
  </si>
  <si>
    <t>현금</t>
    <phoneticPr fontId="1" type="noConversion"/>
  </si>
  <si>
    <t>카드</t>
    <phoneticPr fontId="1" type="noConversion"/>
  </si>
  <si>
    <t>앵글서납</t>
    <phoneticPr fontId="1" type="noConversion"/>
  </si>
  <si>
    <t>지내리마을</t>
    <phoneticPr fontId="1" type="noConversion"/>
  </si>
  <si>
    <t>통도사 절</t>
    <phoneticPr fontId="1" type="noConversion"/>
  </si>
  <si>
    <t>시스템</t>
    <phoneticPr fontId="1" type="noConversion"/>
  </si>
  <si>
    <t>평창3차 현대아파트</t>
    <phoneticPr fontId="1" type="noConversion"/>
  </si>
  <si>
    <t>현금</t>
    <phoneticPr fontId="1" type="noConversion"/>
  </si>
  <si>
    <t>재료포장</t>
    <phoneticPr fontId="1" type="noConversion"/>
  </si>
  <si>
    <t>계좌이체</t>
    <phoneticPr fontId="1" type="noConversion"/>
  </si>
  <si>
    <t>앵글선반</t>
    <phoneticPr fontId="1" type="noConversion"/>
  </si>
  <si>
    <t>동아청구아파트201동103호</t>
    <phoneticPr fontId="1" type="noConversion"/>
  </si>
  <si>
    <t>시스템</t>
    <phoneticPr fontId="1" type="noConversion"/>
  </si>
  <si>
    <t>시스템</t>
    <phoneticPr fontId="1" type="noConversion"/>
  </si>
  <si>
    <t>앵글</t>
    <phoneticPr fontId="1" type="noConversion"/>
  </si>
  <si>
    <t>계산서</t>
    <phoneticPr fontId="1" type="noConversion"/>
  </si>
  <si>
    <t>유니큰</t>
    <phoneticPr fontId="1" type="noConversion"/>
  </si>
  <si>
    <t>계좌이체</t>
    <phoneticPr fontId="1" type="noConversion"/>
  </si>
  <si>
    <t>한샘대리점사장님</t>
    <phoneticPr fontId="1" type="noConversion"/>
  </si>
  <si>
    <t>미입</t>
    <phoneticPr fontId="1" type="noConversion"/>
  </si>
  <si>
    <t>시스템</t>
    <phoneticPr fontId="1" type="noConversion"/>
  </si>
  <si>
    <t>구영리 우미린1차3</t>
    <phoneticPr fontId="1" type="noConversion"/>
  </si>
  <si>
    <t>약사아이파크</t>
    <phoneticPr fontId="1" type="noConversion"/>
  </si>
  <si>
    <t>구영리 주택2층</t>
    <phoneticPr fontId="1" type="noConversion"/>
  </si>
  <si>
    <t>계좌이체</t>
    <phoneticPr fontId="1" type="noConversion"/>
  </si>
  <si>
    <t>시장 사장님</t>
    <phoneticPr fontId="1" type="noConversion"/>
  </si>
  <si>
    <t>계좌이체</t>
    <phoneticPr fontId="1" type="noConversion"/>
  </si>
  <si>
    <t>미입</t>
    <phoneticPr fontId="1" type="noConversion"/>
  </si>
  <si>
    <t>대공원 아이파크 101동</t>
    <phoneticPr fontId="1" type="noConversion"/>
  </si>
  <si>
    <t>계좌이체</t>
    <phoneticPr fontId="1" type="noConversion"/>
  </si>
  <si>
    <t xml:space="preserve">센트리지 </t>
    <phoneticPr fontId="1" type="noConversion"/>
  </si>
  <si>
    <t>계좌이체</t>
    <phoneticPr fontId="1" type="noConversion"/>
  </si>
  <si>
    <t>카드</t>
    <phoneticPr fontId="1" type="noConversion"/>
  </si>
  <si>
    <t>반천 현대아파트</t>
    <phoneticPr fontId="1" type="noConversion"/>
  </si>
  <si>
    <t>반천현대아파트</t>
    <phoneticPr fontId="1" type="noConversion"/>
  </si>
  <si>
    <t>웅촌 2층 상가</t>
    <phoneticPr fontId="1" type="noConversion"/>
  </si>
  <si>
    <t>계산서</t>
    <phoneticPr fontId="1" type="noConversion"/>
  </si>
  <si>
    <t>카드</t>
    <phoneticPr fontId="1" type="noConversion"/>
  </si>
  <si>
    <t>자바라</t>
    <phoneticPr fontId="1" type="noConversion"/>
  </si>
  <si>
    <t>앵글</t>
    <phoneticPr fontId="1" type="noConversion"/>
  </si>
  <si>
    <t>앵글</t>
    <phoneticPr fontId="1" type="noConversion"/>
  </si>
  <si>
    <t>계좌이체</t>
    <phoneticPr fontId="1" type="noConversion"/>
  </si>
  <si>
    <t>재료포장</t>
    <phoneticPr fontId="1" type="noConversion"/>
  </si>
  <si>
    <t>계좌이체</t>
    <phoneticPr fontId="1" type="noConversion"/>
  </si>
  <si>
    <t>ktx</t>
    <phoneticPr fontId="1" type="noConversion"/>
  </si>
  <si>
    <t>블라인드</t>
    <phoneticPr fontId="1" type="noConversion"/>
  </si>
  <si>
    <t>카드</t>
    <phoneticPr fontId="1" type="noConversion"/>
  </si>
  <si>
    <t>삼환나우빌</t>
    <phoneticPr fontId="1" type="noConversion"/>
  </si>
  <si>
    <t>미입</t>
    <phoneticPr fontId="1" type="noConversion"/>
  </si>
  <si>
    <t>카드</t>
    <phoneticPr fontId="1" type="noConversion"/>
  </si>
  <si>
    <t>계좌이체</t>
    <phoneticPr fontId="1" type="noConversion"/>
  </si>
  <si>
    <t>시스템</t>
    <phoneticPr fontId="1" type="noConversion"/>
  </si>
  <si>
    <t>설빙</t>
    <phoneticPr fontId="1" type="noConversion"/>
  </si>
  <si>
    <t>재표포장</t>
    <phoneticPr fontId="1" type="noConversion"/>
  </si>
  <si>
    <t>앵글</t>
    <phoneticPr fontId="1" type="noConversion"/>
  </si>
  <si>
    <t>언양 알프스빌라</t>
    <phoneticPr fontId="1" type="noConversion"/>
  </si>
  <si>
    <t>앵글</t>
    <phoneticPr fontId="1" type="noConversion"/>
  </si>
  <si>
    <t>엘파크301호</t>
    <phoneticPr fontId="1" type="noConversion"/>
  </si>
  <si>
    <t>앵글선반</t>
    <phoneticPr fontId="1" type="noConversion"/>
  </si>
  <si>
    <t>계좌이체</t>
    <phoneticPr fontId="1" type="noConversion"/>
  </si>
  <si>
    <t>재료포장</t>
    <phoneticPr fontId="1" type="noConversion"/>
  </si>
  <si>
    <t>계좌이체</t>
    <phoneticPr fontId="1" type="noConversion"/>
  </si>
  <si>
    <t>앵글선반</t>
    <phoneticPr fontId="1" type="noConversion"/>
  </si>
  <si>
    <t>1차전 4,420,000</t>
    <phoneticPr fontId="1" type="noConversion"/>
  </si>
  <si>
    <t>계좌이체</t>
    <phoneticPr fontId="1" type="noConversion"/>
  </si>
  <si>
    <t>빌라 4층</t>
    <phoneticPr fontId="1" type="noConversion"/>
  </si>
  <si>
    <t>재료포장</t>
    <phoneticPr fontId="1" type="noConversion"/>
  </si>
  <si>
    <t>620 앵글</t>
    <phoneticPr fontId="1" type="noConversion"/>
  </si>
  <si>
    <t>시스템</t>
    <phoneticPr fontId="1" type="noConversion"/>
  </si>
  <si>
    <t>재료포장</t>
    <phoneticPr fontId="1" type="noConversion"/>
  </si>
  <si>
    <t>앵글선반</t>
    <phoneticPr fontId="1" type="noConversion"/>
  </si>
  <si>
    <t>계좌이체</t>
    <phoneticPr fontId="1" type="noConversion"/>
  </si>
  <si>
    <t>4차전 8,368,000</t>
    <phoneticPr fontId="1" type="noConversion"/>
  </si>
  <si>
    <t>현금</t>
    <phoneticPr fontId="1" type="noConversion"/>
  </si>
  <si>
    <t>무거한라</t>
    <phoneticPr fontId="1" type="noConversion"/>
  </si>
  <si>
    <t>달동 4층 건물</t>
    <phoneticPr fontId="1" type="noConversion"/>
  </si>
  <si>
    <t>앵글선반</t>
    <phoneticPr fontId="1" type="noConversion"/>
  </si>
  <si>
    <t>시스템</t>
    <phoneticPr fontId="1" type="noConversion"/>
  </si>
  <si>
    <t>앵글</t>
    <phoneticPr fontId="1" type="noConversion"/>
  </si>
  <si>
    <t>앵글,블라인드</t>
    <phoneticPr fontId="1" type="noConversion"/>
  </si>
  <si>
    <t>계좌이체</t>
    <phoneticPr fontId="1" type="noConversion"/>
  </si>
  <si>
    <t>계좌이체</t>
    <phoneticPr fontId="1" type="noConversion"/>
  </si>
  <si>
    <t>재료배달</t>
    <phoneticPr fontId="1" type="noConversion"/>
  </si>
  <si>
    <t>문수아이파크</t>
    <phoneticPr fontId="1" type="noConversion"/>
  </si>
  <si>
    <t>미입</t>
    <phoneticPr fontId="1" type="noConversion"/>
  </si>
  <si>
    <t>펜트리 온담</t>
    <phoneticPr fontId="1" type="noConversion"/>
  </si>
  <si>
    <t>신한</t>
    <phoneticPr fontId="1" type="noConversion"/>
  </si>
  <si>
    <t xml:space="preserve">리슈빌 </t>
    <phoneticPr fontId="1" type="noConversion"/>
  </si>
  <si>
    <t xml:space="preserve">상북 </t>
    <phoneticPr fontId="1" type="noConversion"/>
  </si>
  <si>
    <t>카드</t>
    <phoneticPr fontId="1" type="noConversion"/>
  </si>
  <si>
    <t>재료포장</t>
    <phoneticPr fontId="1" type="noConversion"/>
  </si>
  <si>
    <t>재료포장</t>
    <phoneticPr fontId="1" type="noConversion"/>
  </si>
  <si>
    <t>계좌이체</t>
    <phoneticPr fontId="1" type="noConversion"/>
  </si>
  <si>
    <t>푸르지오</t>
    <phoneticPr fontId="1" type="noConversion"/>
  </si>
  <si>
    <t>우미린</t>
    <phoneticPr fontId="1" type="noConversion"/>
  </si>
  <si>
    <t>미입</t>
    <phoneticPr fontId="1" type="noConversion"/>
  </si>
  <si>
    <t>미입</t>
    <phoneticPr fontId="1" type="noConversion"/>
  </si>
  <si>
    <t>계좌이체</t>
    <phoneticPr fontId="1" type="noConversion"/>
  </si>
  <si>
    <t>더 샾</t>
    <phoneticPr fontId="1" type="noConversion"/>
  </si>
  <si>
    <t>카드</t>
    <phoneticPr fontId="1" type="noConversion"/>
  </si>
  <si>
    <t>재설치</t>
    <phoneticPr fontId="1" type="noConversion"/>
  </si>
  <si>
    <t>옥현주공</t>
    <phoneticPr fontId="1" type="noConversion"/>
  </si>
  <si>
    <t>상북 엔진오일공장</t>
    <phoneticPr fontId="1" type="noConversion"/>
  </si>
  <si>
    <t>미입</t>
    <phoneticPr fontId="1" type="noConversion"/>
  </si>
  <si>
    <t>미입</t>
    <phoneticPr fontId="1" type="noConversion"/>
  </si>
  <si>
    <t>시스템</t>
    <phoneticPr fontId="1" type="noConversion"/>
  </si>
  <si>
    <t>2차전 3,890,000</t>
    <phoneticPr fontId="1" type="noConversion"/>
  </si>
  <si>
    <t>재료포장</t>
    <phoneticPr fontId="1" type="noConversion"/>
  </si>
  <si>
    <t>앵글선반</t>
    <phoneticPr fontId="1" type="noConversion"/>
  </si>
  <si>
    <t>앵글선반</t>
    <phoneticPr fontId="1" type="noConversion"/>
  </si>
  <si>
    <t>차량안쪽 앵글선반</t>
    <phoneticPr fontId="1" type="noConversion"/>
  </si>
  <si>
    <t>계좌이체</t>
    <phoneticPr fontId="1" type="noConversion"/>
  </si>
  <si>
    <t>재료포장</t>
    <phoneticPr fontId="1" type="noConversion"/>
  </si>
  <si>
    <t>시스템</t>
    <phoneticPr fontId="1" type="noConversion"/>
  </si>
  <si>
    <t>영남알프스꽃집</t>
    <phoneticPr fontId="1" type="noConversion"/>
  </si>
  <si>
    <t>앵글선반</t>
    <phoneticPr fontId="1" type="noConversion"/>
  </si>
  <si>
    <t>계좌이체</t>
    <phoneticPr fontId="1" type="noConversion"/>
  </si>
  <si>
    <t>계좌이체</t>
    <phoneticPr fontId="1" type="noConversion"/>
  </si>
  <si>
    <t>미입</t>
    <phoneticPr fontId="1" type="noConversion"/>
  </si>
  <si>
    <t>계좌이체</t>
    <phoneticPr fontId="1" type="noConversion"/>
  </si>
  <si>
    <t>계좌이체</t>
    <phoneticPr fontId="1" type="noConversion"/>
  </si>
  <si>
    <t>업스퀘어cgv</t>
    <phoneticPr fontId="1" type="noConversion"/>
  </si>
  <si>
    <t>재료포장</t>
    <phoneticPr fontId="1" type="noConversion"/>
  </si>
  <si>
    <t>재료포장</t>
    <phoneticPr fontId="1" type="noConversion"/>
  </si>
  <si>
    <t>차안쪽설치'</t>
    <phoneticPr fontId="1" type="noConversion"/>
  </si>
  <si>
    <t>앵글선반</t>
    <phoneticPr fontId="1" type="noConversion"/>
  </si>
  <si>
    <t>앵글선반</t>
    <phoneticPr fontId="1" type="noConversion"/>
  </si>
  <si>
    <t>경량렉 앵글선반</t>
    <phoneticPr fontId="1" type="noConversion"/>
  </si>
  <si>
    <t>앵글선반</t>
    <phoneticPr fontId="1" type="noConversion"/>
  </si>
  <si>
    <t>세양청구104동1802호</t>
    <phoneticPr fontId="1" type="noConversion"/>
  </si>
  <si>
    <t>남구 극동아파트사장님</t>
    <phoneticPr fontId="1" type="noConversion"/>
  </si>
  <si>
    <t>3차전 4,302,150</t>
    <phoneticPr fontId="1" type="noConversion"/>
  </si>
  <si>
    <t>4차전</t>
    <phoneticPr fontId="1" type="noConversion"/>
  </si>
  <si>
    <t>카드</t>
    <phoneticPr fontId="1" type="noConversion"/>
  </si>
  <si>
    <t>신흥길83-42</t>
    <phoneticPr fontId="1" type="noConversion"/>
  </si>
  <si>
    <t>600*2000*2100 2열 5단 경량렉</t>
    <phoneticPr fontId="1" type="noConversion"/>
  </si>
  <si>
    <t>재료포장</t>
    <phoneticPr fontId="1" type="noConversion"/>
  </si>
  <si>
    <t>11MM합판볼트</t>
    <phoneticPr fontId="1" type="noConversion"/>
  </si>
  <si>
    <t>카드</t>
    <phoneticPr fontId="1" type="noConversion"/>
  </si>
  <si>
    <t>416 앵글</t>
    <phoneticPr fontId="1" type="noConversion"/>
  </si>
  <si>
    <t>계좌이체</t>
    <phoneticPr fontId="1" type="noConversion"/>
  </si>
  <si>
    <t>동문</t>
    <phoneticPr fontId="1" type="noConversion"/>
  </si>
  <si>
    <t>신정홈타운</t>
    <phoneticPr fontId="1" type="noConversion"/>
  </si>
  <si>
    <t>성안 벽산아파트</t>
    <phoneticPr fontId="1" type="noConversion"/>
  </si>
  <si>
    <t>데시앙</t>
    <phoneticPr fontId="1" type="noConversion"/>
  </si>
  <si>
    <t>남구 아파트</t>
    <phoneticPr fontId="1" type="noConversion"/>
  </si>
  <si>
    <t>문수산더샾</t>
    <phoneticPr fontId="1" type="noConversion"/>
  </si>
  <si>
    <t>신정홈타운</t>
    <phoneticPr fontId="1" type="noConversion"/>
  </si>
  <si>
    <t>삼호동 미용실2층</t>
    <phoneticPr fontId="1" type="noConversion"/>
  </si>
  <si>
    <t>교동 리슈빌</t>
    <phoneticPr fontId="1" type="noConversion"/>
  </si>
  <si>
    <t>25년 3월</t>
  </si>
  <si>
    <t>25년 4월</t>
  </si>
  <si>
    <t>25년 5월</t>
  </si>
  <si>
    <t>25년 6월</t>
  </si>
  <si>
    <t>25년 7월</t>
  </si>
  <si>
    <t>25년 8월</t>
  </si>
  <si>
    <t>25년 9월</t>
  </si>
  <si>
    <t>25년 10월</t>
  </si>
  <si>
    <t>25년 11월</t>
  </si>
  <si>
    <t>25년 12월</t>
  </si>
  <si>
    <t>계좌이체</t>
    <phoneticPr fontId="1" type="noConversion"/>
  </si>
  <si>
    <t xml:space="preserve">자당 </t>
    <phoneticPr fontId="1" type="noConversion"/>
  </si>
  <si>
    <t>아일랜드장</t>
    <phoneticPr fontId="1" type="noConversion"/>
  </si>
  <si>
    <t>거울장</t>
    <phoneticPr fontId="1" type="noConversion"/>
  </si>
  <si>
    <t>큰이불장</t>
    <phoneticPr fontId="1" type="noConversion"/>
  </si>
  <si>
    <t>작은이불장</t>
    <phoneticPr fontId="1" type="noConversion"/>
  </si>
  <si>
    <t>600~900 1단 추가시</t>
    <phoneticPr fontId="1" type="noConversion"/>
  </si>
  <si>
    <t>코너 선반 추가시</t>
    <phoneticPr fontId="1" type="noConversion"/>
  </si>
  <si>
    <t>400~500 1단 추가시</t>
    <phoneticPr fontId="1" type="noConversion"/>
  </si>
  <si>
    <t>1단 서랍장</t>
    <phoneticPr fontId="1" type="noConversion"/>
  </si>
  <si>
    <t>2단 서랍장</t>
    <phoneticPr fontId="1" type="noConversion"/>
  </si>
  <si>
    <t>3단 서랍장</t>
    <phoneticPr fontId="1" type="noConversion"/>
  </si>
  <si>
    <t>4단 서랍장</t>
    <phoneticPr fontId="1" type="noConversion"/>
  </si>
  <si>
    <t>시스템</t>
    <phoneticPr fontId="1" type="noConversion"/>
  </si>
  <si>
    <t>블라인드</t>
    <phoneticPr fontId="1" type="noConversion"/>
  </si>
  <si>
    <t>남구 짜장면집</t>
    <phoneticPr fontId="1" type="noConversion"/>
  </si>
  <si>
    <t>미입</t>
    <phoneticPr fontId="1" type="noConversion"/>
  </si>
  <si>
    <t>계좌이체</t>
    <phoneticPr fontId="1" type="noConversion"/>
  </si>
  <si>
    <t>400*800*1800 5단 2개 
300*500*1800 5단 1개</t>
    <phoneticPr fontId="1" type="noConversion"/>
  </si>
  <si>
    <t>재설치 후 재 시공</t>
    <phoneticPr fontId="1" type="noConversion"/>
  </si>
  <si>
    <t>600*700*1800 3단
600*700*1800 4단</t>
    <phoneticPr fontId="1" type="noConversion"/>
  </si>
  <si>
    <t>계좌이체</t>
    <phoneticPr fontId="1" type="noConversion"/>
  </si>
  <si>
    <t>시스템</t>
    <phoneticPr fontId="1" type="noConversion"/>
  </si>
  <si>
    <t>시스템</t>
    <phoneticPr fontId="1" type="noConversion"/>
  </si>
  <si>
    <t>미입</t>
    <phoneticPr fontId="1" type="noConversion"/>
  </si>
  <si>
    <t>에뜰 온담</t>
    <phoneticPr fontId="1" type="noConversion"/>
  </si>
  <si>
    <t>이편한세상 온담</t>
    <phoneticPr fontId="1" type="noConversion"/>
  </si>
  <si>
    <t>이편한세상 온담</t>
    <phoneticPr fontId="1" type="noConversion"/>
  </si>
  <si>
    <t>강동 서희스타힐즈
110동3001호</t>
    <phoneticPr fontId="1" type="noConversion"/>
  </si>
  <si>
    <t>시스템 블라인드 커튼 앵글</t>
    <phoneticPr fontId="1" type="noConversion"/>
  </si>
  <si>
    <t>블라인드</t>
    <phoneticPr fontId="1" type="noConversion"/>
  </si>
  <si>
    <t>블라인드 커튼</t>
    <phoneticPr fontId="1" type="noConversion"/>
  </si>
  <si>
    <t>재료포장</t>
    <phoneticPr fontId="1" type="noConversion"/>
  </si>
  <si>
    <t>앵글선반</t>
    <phoneticPr fontId="1" type="noConversion"/>
  </si>
  <si>
    <t>카드</t>
    <phoneticPr fontId="1" type="noConversion"/>
  </si>
  <si>
    <t>재료포장</t>
    <phoneticPr fontId="1" type="noConversion"/>
  </si>
  <si>
    <t>재료포장 앵글선반
300*2000*900 2열 3단</t>
    <phoneticPr fontId="1" type="noConversion"/>
  </si>
  <si>
    <t>카드</t>
    <phoneticPr fontId="1" type="noConversion"/>
  </si>
  <si>
    <t xml:space="preserve">재료포장 </t>
    <phoneticPr fontId="1" type="noConversion"/>
  </si>
  <si>
    <t>620 흰색</t>
    <phoneticPr fontId="1" type="noConversion"/>
  </si>
  <si>
    <t>시스템</t>
    <phoneticPr fontId="1" type="noConversion"/>
  </si>
  <si>
    <t>시스템</t>
    <phoneticPr fontId="1" type="noConversion"/>
  </si>
  <si>
    <t>화봉동886-10</t>
    <phoneticPr fontId="1" type="noConversion"/>
  </si>
  <si>
    <t>계좌이체</t>
    <phoneticPr fontId="1" type="noConversion"/>
  </si>
  <si>
    <t>카드</t>
    <phoneticPr fontId="1" type="noConversion"/>
  </si>
  <si>
    <t>계좌이체</t>
    <phoneticPr fontId="1" type="noConversion"/>
  </si>
  <si>
    <t>카드</t>
    <phoneticPr fontId="1" type="noConversion"/>
  </si>
  <si>
    <t>시스템</t>
    <phoneticPr fontId="1" type="noConversion"/>
  </si>
  <si>
    <t>유곡이편한세상</t>
    <phoneticPr fontId="1" type="noConversion"/>
  </si>
  <si>
    <t>미입</t>
    <phoneticPr fontId="1" type="noConversion"/>
  </si>
  <si>
    <t>재료포장</t>
    <phoneticPr fontId="1" type="noConversion"/>
  </si>
  <si>
    <t>시스템</t>
    <phoneticPr fontId="1" type="noConversion"/>
  </si>
  <si>
    <t>시스템</t>
    <phoneticPr fontId="1" type="noConversion"/>
  </si>
  <si>
    <t>중구 학성1길 창우 
크리스탈1201호</t>
    <phoneticPr fontId="1" type="noConversion"/>
  </si>
  <si>
    <t xml:space="preserve">다운동 </t>
    <phoneticPr fontId="1" type="noConversion"/>
  </si>
  <si>
    <t>현금</t>
    <phoneticPr fontId="1" type="noConversion"/>
  </si>
  <si>
    <t>계좌이체</t>
    <phoneticPr fontId="1" type="noConversion"/>
  </si>
  <si>
    <t>현금</t>
    <phoneticPr fontId="1" type="noConversion"/>
  </si>
  <si>
    <t>카드</t>
    <phoneticPr fontId="1" type="noConversion"/>
  </si>
  <si>
    <t>계산서발행</t>
    <phoneticPr fontId="1" type="noConversion"/>
  </si>
  <si>
    <t>알토하우스</t>
    <phoneticPr fontId="1" type="noConversion"/>
  </si>
  <si>
    <t>재료포장</t>
    <phoneticPr fontId="1" type="noConversion"/>
  </si>
  <si>
    <t>앵글선반</t>
    <phoneticPr fontId="1" type="noConversion"/>
  </si>
  <si>
    <t>시스템</t>
    <phoneticPr fontId="1" type="noConversion"/>
  </si>
  <si>
    <t>카드</t>
    <phoneticPr fontId="1" type="noConversion"/>
  </si>
  <si>
    <t>무거한라1605호</t>
    <phoneticPr fontId="1" type="noConversion"/>
  </si>
  <si>
    <t>문수산더샾</t>
    <phoneticPr fontId="1" type="noConversion"/>
  </si>
  <si>
    <t>시스템 재설치</t>
    <phoneticPr fontId="1" type="noConversion"/>
  </si>
  <si>
    <t>시스템 재설치</t>
    <phoneticPr fontId="1" type="noConversion"/>
  </si>
  <si>
    <t>앵글선반</t>
    <phoneticPr fontId="1" type="noConversion"/>
  </si>
  <si>
    <t>재료포장</t>
    <phoneticPr fontId="1" type="noConversion"/>
  </si>
  <si>
    <t>앵글선반</t>
    <phoneticPr fontId="1" type="noConversion"/>
  </si>
  <si>
    <t>차량용 앵글</t>
    <phoneticPr fontId="1" type="noConversion"/>
  </si>
  <si>
    <t>1차전 2,865,000</t>
    <phoneticPr fontId="1" type="noConversion"/>
  </si>
  <si>
    <t>반천현대</t>
    <phoneticPr fontId="1" type="noConversion"/>
  </si>
  <si>
    <t xml:space="preserve">시스템 </t>
    <phoneticPr fontId="1" type="noConversion"/>
  </si>
  <si>
    <t>리슈빌 103동702호</t>
    <phoneticPr fontId="1" type="noConversion"/>
  </si>
  <si>
    <t>앵글선반</t>
    <phoneticPr fontId="1" type="noConversion"/>
  </si>
  <si>
    <t>두동</t>
    <phoneticPr fontId="1" type="noConversion"/>
  </si>
  <si>
    <t>상북 엔진오일</t>
    <phoneticPr fontId="1" type="noConversion"/>
  </si>
  <si>
    <t>미입</t>
    <phoneticPr fontId="1" type="noConversion"/>
  </si>
  <si>
    <t>시스템</t>
    <phoneticPr fontId="1" type="noConversion"/>
  </si>
  <si>
    <t xml:space="preserve">600*2000*1800 2열 5단 테고 </t>
    <phoneticPr fontId="1" type="noConversion"/>
  </si>
  <si>
    <t>무거현대아파트</t>
    <phoneticPr fontId="1" type="noConversion"/>
  </si>
  <si>
    <t>극동스타</t>
    <phoneticPr fontId="1" type="noConversion"/>
  </si>
  <si>
    <t>재료포장</t>
    <phoneticPr fontId="1" type="noConversion"/>
  </si>
  <si>
    <t>문수로아이파크1차</t>
    <phoneticPr fontId="1" type="noConversion"/>
  </si>
  <si>
    <t>카드</t>
    <phoneticPr fontId="1" type="noConversion"/>
  </si>
  <si>
    <t>계좌이체</t>
    <phoneticPr fontId="1" type="noConversion"/>
  </si>
  <si>
    <t>계좌이체</t>
    <phoneticPr fontId="1" type="noConversion"/>
  </si>
  <si>
    <t>계좌이체</t>
    <phoneticPr fontId="1" type="noConversion"/>
  </si>
  <si>
    <t>미입</t>
    <phoneticPr fontId="1" type="noConversion"/>
  </si>
  <si>
    <t>재료포장</t>
    <phoneticPr fontId="1" type="noConversion"/>
  </si>
  <si>
    <t>알토하우스</t>
    <phoneticPr fontId="1" type="noConversion"/>
  </si>
  <si>
    <t>커튼</t>
    <phoneticPr fontId="1" type="noConversion"/>
  </si>
  <si>
    <t>계좌이체</t>
    <phoneticPr fontId="1" type="noConversion"/>
  </si>
  <si>
    <t>차량안설치</t>
    <phoneticPr fontId="1" type="noConversion"/>
  </si>
  <si>
    <t>앵글선반</t>
    <phoneticPr fontId="1" type="noConversion"/>
  </si>
  <si>
    <t>시스템</t>
    <phoneticPr fontId="1" type="noConversion"/>
  </si>
  <si>
    <t>재료포장</t>
    <phoneticPr fontId="1" type="noConversion"/>
  </si>
  <si>
    <t>500*1100*2100 3단</t>
    <phoneticPr fontId="1" type="noConversion"/>
  </si>
  <si>
    <t>삼남읍 주택</t>
    <phoneticPr fontId="1" type="noConversion"/>
  </si>
  <si>
    <t>월평아파트</t>
    <phoneticPr fontId="1" type="noConversion"/>
  </si>
  <si>
    <t>미입</t>
    <phoneticPr fontId="1" type="noConversion"/>
  </si>
  <si>
    <t>현금</t>
    <phoneticPr fontId="1" type="noConversion"/>
  </si>
  <si>
    <t>재설치</t>
    <phoneticPr fontId="1" type="noConversion"/>
  </si>
  <si>
    <t>시스템</t>
    <phoneticPr fontId="1" type="noConversion"/>
  </si>
  <si>
    <t>미입</t>
    <phoneticPr fontId="1" type="noConversion"/>
  </si>
  <si>
    <t xml:space="preserve"> 2차전 5,252,000원</t>
    <phoneticPr fontId="1" type="noConversion"/>
  </si>
  <si>
    <t>문수로아이파크
101동802호</t>
    <phoneticPr fontId="1" type="noConversion"/>
  </si>
  <si>
    <t>시스템 2공간</t>
    <phoneticPr fontId="1" type="noConversion"/>
  </si>
  <si>
    <t>미입</t>
    <phoneticPr fontId="1" type="noConversion"/>
  </si>
  <si>
    <t>카드</t>
    <phoneticPr fontId="1" type="noConversion"/>
  </si>
  <si>
    <t>재료포장</t>
    <phoneticPr fontId="1" type="noConversion"/>
  </si>
  <si>
    <t>현금</t>
    <phoneticPr fontId="1" type="noConversion"/>
  </si>
  <si>
    <t>앵글</t>
    <phoneticPr fontId="1" type="noConversion"/>
  </si>
  <si>
    <t>앵글</t>
    <phoneticPr fontId="1" type="noConversion"/>
  </si>
  <si>
    <t>에일린의뜰109동1003호</t>
    <phoneticPr fontId="1" type="noConversion"/>
  </si>
  <si>
    <t>시스템 펜트리</t>
    <phoneticPr fontId="1" type="noConversion"/>
  </si>
  <si>
    <t>계좌이체</t>
    <phoneticPr fontId="1" type="noConversion"/>
  </si>
  <si>
    <t>롯데인벤스가101동</t>
    <phoneticPr fontId="1" type="noConversion"/>
  </si>
  <si>
    <t>펜트리</t>
    <phoneticPr fontId="1" type="noConversion"/>
  </si>
  <si>
    <t>미입</t>
    <phoneticPr fontId="1" type="noConversion"/>
  </si>
  <si>
    <t>동덕현대아파트</t>
    <phoneticPr fontId="1" type="noConversion"/>
  </si>
  <si>
    <t>미입</t>
    <phoneticPr fontId="1" type="noConversion"/>
  </si>
  <si>
    <t>성안청구아파트</t>
    <phoneticPr fontId="1" type="noConversion"/>
  </si>
  <si>
    <t>현금</t>
    <phoneticPr fontId="1" type="noConversion"/>
  </si>
  <si>
    <t xml:space="preserve">아이파크 </t>
    <phoneticPr fontId="1" type="noConversion"/>
  </si>
  <si>
    <t>삼산 대명루첸 102동302호</t>
    <phoneticPr fontId="1" type="noConversion"/>
  </si>
  <si>
    <t>시스템</t>
    <phoneticPr fontId="1" type="noConversion"/>
  </si>
  <si>
    <t>계좌이체</t>
    <phoneticPr fontId="1" type="noConversion"/>
  </si>
  <si>
    <t>다이아몬드빌라501호</t>
    <phoneticPr fontId="1" type="noConversion"/>
  </si>
  <si>
    <t>시스템</t>
    <phoneticPr fontId="1" type="noConversion"/>
  </si>
  <si>
    <t>계좌이체</t>
    <phoneticPr fontId="1" type="noConversion"/>
  </si>
  <si>
    <t>교동주공105동901호</t>
    <phoneticPr fontId="1" type="noConversion"/>
  </si>
  <si>
    <t>앵글선반</t>
    <phoneticPr fontId="1" type="noConversion"/>
  </si>
  <si>
    <t>현금</t>
    <phoneticPr fontId="1" type="noConversion"/>
  </si>
  <si>
    <t>시스템</t>
    <phoneticPr fontId="1" type="noConversion"/>
  </si>
  <si>
    <t>앵글</t>
    <phoneticPr fontId="1" type="noConversion"/>
  </si>
  <si>
    <t>3차전 5,888,000</t>
    <phoneticPr fontId="1" type="noConversion"/>
  </si>
  <si>
    <t>재료포장</t>
    <phoneticPr fontId="1" type="noConversion"/>
  </si>
  <si>
    <t>앵글만</t>
    <phoneticPr fontId="1" type="noConversion"/>
  </si>
  <si>
    <t>카드</t>
    <phoneticPr fontId="1" type="noConversion"/>
  </si>
  <si>
    <t>이편한세상107덩</t>
    <phoneticPr fontId="1" type="noConversion"/>
  </si>
  <si>
    <t>앵글 선반 , 블라인드</t>
    <phoneticPr fontId="1" type="noConversion"/>
  </si>
  <si>
    <t>계좌이체</t>
    <phoneticPr fontId="1" type="noConversion"/>
  </si>
  <si>
    <t>동문아뮤티</t>
    <phoneticPr fontId="1" type="noConversion"/>
  </si>
  <si>
    <t>미입</t>
    <phoneticPr fontId="1" type="noConversion"/>
  </si>
  <si>
    <t>계좌이체</t>
    <phoneticPr fontId="1" type="noConversion"/>
  </si>
  <si>
    <t>무거동 청구하이츠508호</t>
    <phoneticPr fontId="1" type="noConversion"/>
  </si>
  <si>
    <t>시스템,앵글,블라인드</t>
    <phoneticPr fontId="1" type="noConversion"/>
  </si>
  <si>
    <t>업스퀘어</t>
    <phoneticPr fontId="1" type="noConversion"/>
  </si>
  <si>
    <t>경량렉</t>
    <phoneticPr fontId="1" type="noConversion"/>
  </si>
  <si>
    <t>현금</t>
    <phoneticPr fontId="1" type="noConversion"/>
  </si>
  <si>
    <t>카드</t>
    <phoneticPr fontId="1" type="noConversion"/>
  </si>
  <si>
    <t>드레스룸</t>
    <phoneticPr fontId="1" type="noConversion"/>
  </si>
  <si>
    <t>드레스룸,앵글선반</t>
    <phoneticPr fontId="1" type="noConversion"/>
  </si>
  <si>
    <t>에이스빌라 3층</t>
    <phoneticPr fontId="1" type="noConversion"/>
  </si>
  <si>
    <t>옥동 월드메르디앙</t>
    <phoneticPr fontId="1" type="noConversion"/>
  </si>
  <si>
    <t>골든 주상복합</t>
    <phoneticPr fontId="1" type="noConversion"/>
  </si>
  <si>
    <t>시스템</t>
    <phoneticPr fontId="1" type="noConversion"/>
  </si>
  <si>
    <t>재료포장</t>
    <phoneticPr fontId="1" type="noConversion"/>
  </si>
  <si>
    <t>계좌이체</t>
    <phoneticPr fontId="1" type="noConversion"/>
  </si>
  <si>
    <t>앵글</t>
    <phoneticPr fontId="1" type="noConversion"/>
  </si>
  <si>
    <t>앵글</t>
    <phoneticPr fontId="1" type="noConversion"/>
  </si>
  <si>
    <t>현금</t>
    <phoneticPr fontId="1" type="noConversion"/>
  </si>
  <si>
    <t>세원w 1차 아파트2층</t>
    <phoneticPr fontId="1" type="noConversion"/>
  </si>
  <si>
    <t>계좌이체</t>
    <phoneticPr fontId="1" type="noConversion"/>
  </si>
  <si>
    <t>계좌이체</t>
    <phoneticPr fontId="1" type="noConversion"/>
  </si>
  <si>
    <t>신정푸르지오</t>
    <phoneticPr fontId="1" type="noConversion"/>
  </si>
  <si>
    <t>시스템</t>
    <phoneticPr fontId="1" type="noConversion"/>
  </si>
  <si>
    <t>시스템</t>
    <phoneticPr fontId="1" type="noConversion"/>
  </si>
  <si>
    <t xml:space="preserve">동구 </t>
    <phoneticPr fontId="1" type="noConversion"/>
  </si>
  <si>
    <t>재료포장</t>
    <phoneticPr fontId="1" type="noConversion"/>
  </si>
  <si>
    <t>앵글선반</t>
    <phoneticPr fontId="1" type="noConversion"/>
  </si>
  <si>
    <t>미입</t>
    <phoneticPr fontId="1" type="noConversion"/>
  </si>
  <si>
    <t>미입</t>
    <phoneticPr fontId="1" type="noConversion"/>
  </si>
  <si>
    <t>4차전 8,880,000원</t>
    <phoneticPr fontId="1" type="noConversion"/>
  </si>
  <si>
    <t>서울주문화센터</t>
    <phoneticPr fontId="1" type="noConversion"/>
  </si>
  <si>
    <t>경량렉</t>
    <phoneticPr fontId="1" type="noConversion"/>
  </si>
  <si>
    <t>카드</t>
    <phoneticPr fontId="1" type="noConversion"/>
  </si>
  <si>
    <t>삼남 저온창고 11자</t>
    <phoneticPr fontId="1" type="noConversion"/>
  </si>
  <si>
    <t>500*3600*1800 3열 4단</t>
    <phoneticPr fontId="1" type="noConversion"/>
  </si>
  <si>
    <t>계좌이체</t>
    <phoneticPr fontId="1" type="noConversion"/>
  </si>
  <si>
    <t>유곡동477-7 종가2길
 5-15 3층</t>
    <phoneticPr fontId="1" type="noConversion"/>
  </si>
  <si>
    <t>시스템</t>
    <phoneticPr fontId="1" type="noConversion"/>
  </si>
  <si>
    <t xml:space="preserve">슈퍼1층 </t>
    <phoneticPr fontId="1" type="noConversion"/>
  </si>
  <si>
    <t>앵글</t>
    <phoneticPr fontId="1" type="noConversion"/>
  </si>
  <si>
    <t>성안동 아드리아2차801호</t>
    <phoneticPr fontId="1" type="noConversion"/>
  </si>
  <si>
    <t>시스템</t>
    <phoneticPr fontId="1" type="noConversion"/>
  </si>
  <si>
    <t>계좌이체</t>
    <phoneticPr fontId="1" type="noConversion"/>
  </si>
  <si>
    <t>문수로아이파크1단지2차
203동1201호</t>
    <phoneticPr fontId="1" type="noConversion"/>
  </si>
  <si>
    <t>시스템</t>
    <phoneticPr fontId="1" type="noConversion"/>
  </si>
  <si>
    <t>미입</t>
    <phoneticPr fontId="1" type="noConversion"/>
  </si>
  <si>
    <t>연형이집</t>
    <phoneticPr fontId="1" type="noConversion"/>
  </si>
  <si>
    <t xml:space="preserve">커튼 블라인드 </t>
    <phoneticPr fontId="1" type="noConversion"/>
  </si>
  <si>
    <t>크로바아파트</t>
    <phoneticPr fontId="1" type="noConversion"/>
  </si>
  <si>
    <t>시스템</t>
    <phoneticPr fontId="1" type="noConversion"/>
  </si>
  <si>
    <t>미입</t>
    <phoneticPr fontId="1" type="noConversion"/>
  </si>
  <si>
    <t>남산포스코</t>
    <phoneticPr fontId="1" type="noConversion"/>
  </si>
  <si>
    <t>우정혁신 202동303호</t>
    <phoneticPr fontId="1" type="noConversion"/>
  </si>
  <si>
    <t>미입</t>
    <phoneticPr fontId="1" type="noConversion"/>
  </si>
  <si>
    <t>유준건설</t>
    <phoneticPr fontId="1" type="noConversion"/>
  </si>
  <si>
    <t>재료포장</t>
    <phoneticPr fontId="1" type="noConversion"/>
  </si>
  <si>
    <t>카드</t>
    <phoneticPr fontId="1" type="noConversion"/>
  </si>
  <si>
    <t>계좌이체</t>
    <phoneticPr fontId="1" type="noConversion"/>
  </si>
  <si>
    <t>앵글선반</t>
    <phoneticPr fontId="1" type="noConversion"/>
  </si>
  <si>
    <t>시스템</t>
    <phoneticPr fontId="1" type="noConversion"/>
  </si>
  <si>
    <t>시스템</t>
    <phoneticPr fontId="1" type="noConversion"/>
  </si>
  <si>
    <t>시스템</t>
    <phoneticPr fontId="1" type="noConversion"/>
  </si>
  <si>
    <t>앵글선반</t>
    <phoneticPr fontId="1" type="noConversion"/>
  </si>
  <si>
    <t>재료포장</t>
    <phoneticPr fontId="1" type="noConversion"/>
  </si>
  <si>
    <t>계좌이체</t>
    <phoneticPr fontId="1" type="noConversion"/>
  </si>
  <si>
    <t>계좌이체</t>
    <phoneticPr fontId="1" type="noConversion"/>
  </si>
  <si>
    <t>카드</t>
    <phoneticPr fontId="1" type="noConversion"/>
  </si>
  <si>
    <t>남외푸르지오109동1004호</t>
    <phoneticPr fontId="1" type="noConversion"/>
  </si>
  <si>
    <t>골드클래스106동1001호</t>
    <phoneticPr fontId="1" type="noConversion"/>
  </si>
  <si>
    <t>효성해링턴203동402호</t>
    <phoneticPr fontId="1" type="noConversion"/>
  </si>
  <si>
    <t>1차전 5,760,000</t>
    <phoneticPr fontId="1" type="noConversion"/>
  </si>
  <si>
    <t>고려아연 사원아파트11동308호</t>
    <phoneticPr fontId="1" type="noConversion"/>
  </si>
  <si>
    <t>시스템</t>
    <phoneticPr fontId="1" type="noConversion"/>
  </si>
  <si>
    <t>달동 어울림103동106호</t>
    <phoneticPr fontId="1" type="noConversion"/>
  </si>
  <si>
    <t>계좌이체</t>
    <phoneticPr fontId="1" type="noConversion"/>
  </si>
  <si>
    <t>카드</t>
    <phoneticPr fontId="1" type="noConversion"/>
  </si>
  <si>
    <t>골든클래스</t>
    <phoneticPr fontId="1" type="noConversion"/>
  </si>
  <si>
    <t>계좌이체</t>
    <phoneticPr fontId="1" type="noConversion"/>
  </si>
  <si>
    <t>앵글</t>
    <phoneticPr fontId="1" type="noConversion"/>
  </si>
  <si>
    <t>앵글</t>
    <phoneticPr fontId="1" type="noConversion"/>
  </si>
  <si>
    <t>꽃대나리로 삼산 우방101동501호</t>
    <phoneticPr fontId="1" type="noConversion"/>
  </si>
  <si>
    <t>시스템</t>
    <phoneticPr fontId="1" type="noConversion"/>
  </si>
  <si>
    <t>블라인드</t>
    <phoneticPr fontId="1" type="noConversion"/>
  </si>
  <si>
    <t>시스템,커튼,블라인드</t>
    <phoneticPr fontId="1" type="noConversion"/>
  </si>
  <si>
    <t>재료포장</t>
    <phoneticPr fontId="1" type="noConversion"/>
  </si>
  <si>
    <t>재료포장</t>
    <phoneticPr fontId="1" type="noConversion"/>
  </si>
  <si>
    <t>앵글</t>
    <phoneticPr fontId="1" type="noConversion"/>
  </si>
  <si>
    <t>계좌이체</t>
    <phoneticPr fontId="1" type="noConversion"/>
  </si>
  <si>
    <t>계좌이체</t>
    <phoneticPr fontId="1" type="noConversion"/>
  </si>
  <si>
    <t>삼남읍 작괘들길17 수산로얄팰리스303호</t>
    <phoneticPr fontId="1" type="noConversion"/>
  </si>
  <si>
    <t>삼남읍 작괘들길17 수산로얄팰리스303호</t>
    <phoneticPr fontId="1" type="noConversion"/>
  </si>
  <si>
    <t>회야리버아파트101동1105호</t>
    <phoneticPr fontId="1" type="noConversion"/>
  </si>
  <si>
    <t>2025년 6월  매출현황</t>
    <phoneticPr fontId="1" type="noConversion"/>
  </si>
  <si>
    <t>2025년 5월  매출현황</t>
    <phoneticPr fontId="1" type="noConversion"/>
  </si>
  <si>
    <t>2025년 4월  매출현황</t>
    <phoneticPr fontId="1" type="noConversion"/>
  </si>
  <si>
    <t>2025년 3월  매출현황</t>
    <phoneticPr fontId="1" type="noConversion"/>
  </si>
  <si>
    <t>2025년 2월  매출현황</t>
    <phoneticPr fontId="1" type="noConversion"/>
  </si>
  <si>
    <t>통도사</t>
    <phoneticPr fontId="1" type="noConversion"/>
  </si>
  <si>
    <t>상북이편한세상104동2002호</t>
    <phoneticPr fontId="1" type="noConversion"/>
  </si>
  <si>
    <t>시스템</t>
    <phoneticPr fontId="1" type="noConversion"/>
  </si>
  <si>
    <t>계좌이체</t>
    <phoneticPr fontId="1" type="noConversion"/>
  </si>
  <si>
    <t>계좌이체</t>
    <phoneticPr fontId="1" type="noConversion"/>
  </si>
  <si>
    <t>계좌이체</t>
    <phoneticPr fontId="1" type="noConversion"/>
  </si>
  <si>
    <t>앵글선반</t>
    <phoneticPr fontId="1" type="noConversion"/>
  </si>
  <si>
    <t>시스템</t>
    <phoneticPr fontId="1" type="noConversion"/>
  </si>
  <si>
    <t>앵글</t>
    <phoneticPr fontId="1" type="noConversion"/>
  </si>
  <si>
    <t>앵글</t>
    <phoneticPr fontId="1" type="noConversion"/>
  </si>
  <si>
    <t>게좌이체</t>
    <phoneticPr fontId="1" type="noConversion"/>
  </si>
  <si>
    <t>영남알프스116동1103호</t>
    <phoneticPr fontId="1" type="noConversion"/>
  </si>
  <si>
    <t>문수애시앙102동1105호</t>
    <phoneticPr fontId="1" type="noConversion"/>
  </si>
  <si>
    <t>재료포장</t>
    <phoneticPr fontId="1" type="noConversion"/>
  </si>
  <si>
    <t>재료포장</t>
    <phoneticPr fontId="1" type="noConversion"/>
  </si>
  <si>
    <t>카드</t>
    <phoneticPr fontId="1" type="noConversion"/>
  </si>
  <si>
    <t>계좌이체</t>
    <phoneticPr fontId="1" type="noConversion"/>
  </si>
  <si>
    <t>재료포장</t>
    <phoneticPr fontId="1" type="noConversion"/>
  </si>
  <si>
    <t>앵글</t>
    <phoneticPr fontId="1" type="noConversion"/>
  </si>
  <si>
    <t>2차전 7,641,000원</t>
    <phoneticPr fontId="1" type="noConversion"/>
  </si>
  <si>
    <t>재료포장</t>
    <phoneticPr fontId="1" type="noConversion"/>
  </si>
  <si>
    <t>앵글</t>
    <phoneticPr fontId="1" type="noConversion"/>
  </si>
  <si>
    <t>현금</t>
    <phoneticPr fontId="1" type="noConversion"/>
  </si>
  <si>
    <t>강동푸르지오</t>
    <phoneticPr fontId="1" type="noConversion"/>
  </si>
  <si>
    <t>시스템</t>
    <phoneticPr fontId="1" type="noConversion"/>
  </si>
  <si>
    <t>앵글</t>
    <phoneticPr fontId="1" type="noConversion"/>
  </si>
  <si>
    <t>두서 기왓집</t>
    <phoneticPr fontId="1" type="noConversion"/>
  </si>
  <si>
    <t>동구 패밀리 현대아파트</t>
    <phoneticPr fontId="1" type="noConversion"/>
  </si>
  <si>
    <t>시스템,블라인드</t>
    <phoneticPr fontId="1" type="noConversion"/>
  </si>
  <si>
    <t>시스템</t>
    <phoneticPr fontId="1" type="noConversion"/>
  </si>
  <si>
    <t>시스템,앵글</t>
    <phoneticPr fontId="1" type="noConversion"/>
  </si>
  <si>
    <t>계좌이체</t>
    <phoneticPr fontId="1" type="noConversion"/>
  </si>
  <si>
    <t>재료포장</t>
    <phoneticPr fontId="1" type="noConversion"/>
  </si>
  <si>
    <t>평창리비에르</t>
    <phoneticPr fontId="1" type="noConversion"/>
  </si>
  <si>
    <t>레미안</t>
    <phoneticPr fontId="1" type="noConversion"/>
  </si>
  <si>
    <t>5차전 5,710,000</t>
    <phoneticPr fontId="1" type="noConversion"/>
  </si>
  <si>
    <t>계좌이체</t>
    <phoneticPr fontId="1" type="noConversion"/>
  </si>
  <si>
    <t>계좌이체</t>
    <phoneticPr fontId="1" type="noConversion"/>
  </si>
  <si>
    <t>3차전 6,189,000원</t>
    <phoneticPr fontId="1" type="noConversion"/>
  </si>
  <si>
    <t>53건</t>
    <phoneticPr fontId="1" type="noConversion"/>
  </si>
  <si>
    <t>재료포장</t>
    <phoneticPr fontId="1" type="noConversion"/>
  </si>
  <si>
    <t>이편한세상</t>
    <phoneticPr fontId="1" type="noConversion"/>
  </si>
  <si>
    <t>미입</t>
    <phoneticPr fontId="1" type="noConversion"/>
  </si>
  <si>
    <t>300*1000*1200 4단</t>
    <phoneticPr fontId="1" type="noConversion"/>
  </si>
  <si>
    <t>500*1000*2100 3단</t>
    <phoneticPr fontId="1" type="noConversion"/>
  </si>
  <si>
    <t>앵글 3조</t>
    <phoneticPr fontId="1" type="noConversion"/>
  </si>
  <si>
    <t>신정홈타운</t>
    <phoneticPr fontId="1" type="noConversion"/>
  </si>
  <si>
    <t>계좌이체</t>
    <phoneticPr fontId="1" type="noConversion"/>
  </si>
  <si>
    <t>계좌이체</t>
    <phoneticPr fontId="1" type="noConversion"/>
  </si>
  <si>
    <t>송정반도유보라</t>
    <phoneticPr fontId="1" type="noConversion"/>
  </si>
  <si>
    <t>시스템</t>
    <phoneticPr fontId="1" type="noConversion"/>
  </si>
  <si>
    <t xml:space="preserve">굴화메르디앙 </t>
    <phoneticPr fontId="1" type="noConversion"/>
  </si>
  <si>
    <t>미입</t>
    <phoneticPr fontId="1" type="noConversion"/>
  </si>
  <si>
    <t>계좌이체</t>
    <phoneticPr fontId="1" type="noConversion"/>
  </si>
  <si>
    <t>골든클래스</t>
    <phoneticPr fontId="1" type="noConversion"/>
  </si>
  <si>
    <t>호림한식뷔페</t>
    <phoneticPr fontId="1" type="noConversion"/>
  </si>
  <si>
    <t>앵글</t>
    <phoneticPr fontId="1" type="noConversion"/>
  </si>
  <si>
    <t>옥현주공</t>
    <phoneticPr fontId="1" type="noConversion"/>
  </si>
  <si>
    <t>코아루 오피스텔</t>
    <phoneticPr fontId="1" type="noConversion"/>
  </si>
  <si>
    <t>앵글</t>
    <phoneticPr fontId="1" type="noConversion"/>
  </si>
  <si>
    <t>미입</t>
    <phoneticPr fontId="1" type="noConversion"/>
  </si>
  <si>
    <t>우성스마트</t>
    <phoneticPr fontId="1" type="noConversion"/>
  </si>
  <si>
    <t>카드</t>
    <phoneticPr fontId="1" type="noConversion"/>
  </si>
  <si>
    <t>카드</t>
    <phoneticPr fontId="1" type="noConversion"/>
  </si>
  <si>
    <t>블라인드</t>
    <phoneticPr fontId="1" type="noConversion"/>
  </si>
  <si>
    <t>우성스마트</t>
    <phoneticPr fontId="1" type="noConversion"/>
  </si>
  <si>
    <t>시스템</t>
    <phoneticPr fontId="1" type="noConversion"/>
  </si>
  <si>
    <t>동구</t>
    <phoneticPr fontId="1" type="noConversion"/>
  </si>
  <si>
    <t>정기형님</t>
    <phoneticPr fontId="1" type="noConversion"/>
  </si>
  <si>
    <t>현금</t>
    <phoneticPr fontId="1" type="noConversion"/>
  </si>
  <si>
    <t>계좌이체</t>
    <phoneticPr fontId="1" type="noConversion"/>
  </si>
  <si>
    <t>미입</t>
    <phoneticPr fontId="1" type="noConversion"/>
  </si>
  <si>
    <t>커튼</t>
    <phoneticPr fontId="1" type="noConversion"/>
  </si>
  <si>
    <t>재료포장</t>
    <phoneticPr fontId="1" type="noConversion"/>
  </si>
  <si>
    <t>미입</t>
    <phoneticPr fontId="1" type="noConversion"/>
  </si>
  <si>
    <t>재료포장</t>
    <phoneticPr fontId="1" type="noConversion"/>
  </si>
  <si>
    <t>커튼</t>
    <phoneticPr fontId="1" type="noConversion"/>
  </si>
  <si>
    <t>앵글</t>
    <phoneticPr fontId="1" type="noConversion"/>
  </si>
  <si>
    <t>시스템</t>
    <phoneticPr fontId="1" type="noConversion"/>
  </si>
  <si>
    <t>미입</t>
    <phoneticPr fontId="1" type="noConversion"/>
  </si>
  <si>
    <t>kcc스위첸</t>
    <phoneticPr fontId="1" type="noConversion"/>
  </si>
  <si>
    <t>아데라움106동1908호
(상상)</t>
    <phoneticPr fontId="1" type="noConversion"/>
  </si>
  <si>
    <t>시스템 펜트리</t>
    <phoneticPr fontId="1" type="noConversion"/>
  </si>
  <si>
    <t>미입</t>
    <phoneticPr fontId="1" type="noConversion"/>
  </si>
  <si>
    <t>미입</t>
    <phoneticPr fontId="1" type="noConversion"/>
  </si>
  <si>
    <t>우성아파트103동307호</t>
    <phoneticPr fontId="1" type="noConversion"/>
  </si>
  <si>
    <t>시스템 펜트리선반</t>
    <phoneticPr fontId="1" type="noConversion"/>
  </si>
  <si>
    <t>에일린의뜰2차 204동2202호</t>
    <phoneticPr fontId="1" type="noConversion"/>
  </si>
  <si>
    <t>시스템</t>
    <phoneticPr fontId="1" type="noConversion"/>
  </si>
  <si>
    <t>계좌이체</t>
    <phoneticPr fontId="1" type="noConversion"/>
  </si>
  <si>
    <t>서사시티 프라디움902동1003호</t>
    <phoneticPr fontId="1" type="noConversion"/>
  </si>
  <si>
    <t>시스템</t>
    <phoneticPr fontId="1" type="noConversion"/>
  </si>
  <si>
    <t>석정가든</t>
    <phoneticPr fontId="1" type="noConversion"/>
  </si>
  <si>
    <t>블라인드</t>
    <phoneticPr fontId="1" type="noConversion"/>
  </si>
  <si>
    <t>앵글</t>
    <phoneticPr fontId="1" type="noConversion"/>
  </si>
  <si>
    <t>계좌이체</t>
    <phoneticPr fontId="1" type="noConversion"/>
  </si>
  <si>
    <t>카드</t>
    <phoneticPr fontId="1" type="noConversion"/>
  </si>
  <si>
    <t>카드</t>
    <phoneticPr fontId="1" type="noConversion"/>
  </si>
  <si>
    <t>쌍용하나빌리지</t>
    <phoneticPr fontId="1" type="noConversion"/>
  </si>
  <si>
    <t>앵글</t>
    <phoneticPr fontId="1" type="noConversion"/>
  </si>
  <si>
    <t>계좌이체</t>
    <phoneticPr fontId="1" type="noConversion"/>
  </si>
  <si>
    <t>재료포장</t>
    <phoneticPr fontId="1" type="noConversion"/>
  </si>
  <si>
    <t>시스템</t>
    <phoneticPr fontId="1" type="noConversion"/>
  </si>
  <si>
    <t>미입</t>
    <phoneticPr fontId="1" type="noConversion"/>
  </si>
  <si>
    <t>신정동 우남팜파스102동404호</t>
    <phoneticPr fontId="1" type="noConversion"/>
  </si>
  <si>
    <t>호수공원루첸108동2505호</t>
    <phoneticPr fontId="1" type="noConversion"/>
  </si>
  <si>
    <t>미입</t>
    <phoneticPr fontId="1" type="noConversion"/>
  </si>
  <si>
    <t>재료배달</t>
    <phoneticPr fontId="1" type="noConversion"/>
  </si>
  <si>
    <t>앵글</t>
    <phoneticPr fontId="1" type="noConversion"/>
  </si>
  <si>
    <t>앵글선반</t>
    <phoneticPr fontId="1" type="noConversion"/>
  </si>
  <si>
    <t>1차전 5,997,000</t>
    <phoneticPr fontId="1" type="noConversion"/>
  </si>
  <si>
    <t>재료포장</t>
    <phoneticPr fontId="1" type="noConversion"/>
  </si>
  <si>
    <t>국태아파트 102동610호</t>
    <phoneticPr fontId="1" type="noConversion"/>
  </si>
  <si>
    <t>앵글</t>
    <phoneticPr fontId="1" type="noConversion"/>
  </si>
  <si>
    <t>앵글</t>
    <phoneticPr fontId="1" type="noConversion"/>
  </si>
  <si>
    <t>삼남읍 어딘가</t>
    <phoneticPr fontId="1" type="noConversion"/>
  </si>
  <si>
    <t>제니스병원</t>
    <phoneticPr fontId="1" type="noConversion"/>
  </si>
  <si>
    <t>블라인드 시스템</t>
    <phoneticPr fontId="1" type="noConversion"/>
  </si>
  <si>
    <t>계좌이체</t>
    <phoneticPr fontId="1" type="noConversion"/>
  </si>
  <si>
    <t>계좌이체</t>
    <phoneticPr fontId="1" type="noConversion"/>
  </si>
  <si>
    <t>계좌이체</t>
    <phoneticPr fontId="1" type="noConversion"/>
  </si>
  <si>
    <t>앵글</t>
    <phoneticPr fontId="1" type="noConversion"/>
  </si>
  <si>
    <t>계좌이체</t>
    <phoneticPr fontId="1" type="noConversion"/>
  </si>
  <si>
    <t>시스템</t>
    <phoneticPr fontId="1" type="noConversion"/>
  </si>
  <si>
    <t>시니어클럽</t>
    <phoneticPr fontId="1" type="noConversion"/>
  </si>
  <si>
    <t>아성타워맨션</t>
    <phoneticPr fontId="1" type="noConversion"/>
  </si>
  <si>
    <t>염포로 108동705호</t>
    <phoneticPr fontId="1" type="noConversion"/>
  </si>
  <si>
    <t>블라인드</t>
    <phoneticPr fontId="1" type="noConversion"/>
  </si>
  <si>
    <t>계좌이체</t>
    <phoneticPr fontId="1" type="noConversion"/>
  </si>
  <si>
    <t>CGV</t>
    <phoneticPr fontId="1" type="noConversion"/>
  </si>
  <si>
    <t>경량렉</t>
    <phoneticPr fontId="1" type="noConversion"/>
  </si>
  <si>
    <t>굴화주공205동401호</t>
    <phoneticPr fontId="1" type="noConversion"/>
  </si>
  <si>
    <t>시스템</t>
    <phoneticPr fontId="1" type="noConversion"/>
  </si>
  <si>
    <t>미입</t>
    <phoneticPr fontId="1" type="noConversion"/>
  </si>
  <si>
    <t>2차전 5,444,400</t>
    <phoneticPr fontId="1" type="noConversion"/>
  </si>
  <si>
    <t>재료포장</t>
    <phoneticPr fontId="1" type="noConversion"/>
  </si>
  <si>
    <t>계좌이체</t>
    <phoneticPr fontId="1" type="noConversion"/>
  </si>
  <si>
    <t>계좌이체</t>
    <phoneticPr fontId="1" type="noConversion"/>
  </si>
  <si>
    <t>골든캐슬103동2301호</t>
    <phoneticPr fontId="1" type="noConversion"/>
  </si>
  <si>
    <t>서사시티 프라디움903동401호</t>
    <phoneticPr fontId="1" type="noConversion"/>
  </si>
  <si>
    <t>시스템</t>
    <phoneticPr fontId="1" type="noConversion"/>
  </si>
  <si>
    <t>유준건설</t>
    <phoneticPr fontId="1" type="noConversion"/>
  </si>
  <si>
    <t>앵글</t>
    <phoneticPr fontId="1" type="noConversion"/>
  </si>
  <si>
    <t>재료배달</t>
    <phoneticPr fontId="1" type="noConversion"/>
  </si>
  <si>
    <t>앵글</t>
    <phoneticPr fontId="1" type="noConversion"/>
  </si>
  <si>
    <t>미입</t>
    <phoneticPr fontId="1" type="noConversion"/>
  </si>
  <si>
    <t>계좌이체</t>
    <phoneticPr fontId="1" type="noConversion"/>
  </si>
  <si>
    <t>앵글</t>
    <phoneticPr fontId="1" type="noConversion"/>
  </si>
  <si>
    <t>계산서발행</t>
    <phoneticPr fontId="1" type="noConversion"/>
  </si>
  <si>
    <t>카드</t>
    <phoneticPr fontId="1" type="noConversion"/>
  </si>
  <si>
    <t>재료포장</t>
    <phoneticPr fontId="1" type="noConversion"/>
  </si>
  <si>
    <t>재료포장</t>
    <phoneticPr fontId="1" type="noConversion"/>
  </si>
  <si>
    <t>재설치</t>
    <phoneticPr fontId="1" type="noConversion"/>
  </si>
  <si>
    <t>시스템</t>
    <phoneticPr fontId="1" type="noConversion"/>
  </si>
  <si>
    <t>게좌이체</t>
    <phoneticPr fontId="1" type="noConversion"/>
  </si>
  <si>
    <t>재료포장</t>
    <phoneticPr fontId="1" type="noConversion"/>
  </si>
  <si>
    <t>재료포장</t>
    <phoneticPr fontId="1" type="noConversion"/>
  </si>
  <si>
    <t>카드</t>
    <phoneticPr fontId="1" type="noConversion"/>
  </si>
  <si>
    <t>앵글</t>
    <phoneticPr fontId="1" type="noConversion"/>
  </si>
  <si>
    <t>재료포장</t>
    <phoneticPr fontId="1" type="noConversion"/>
  </si>
  <si>
    <t>앵글</t>
    <phoneticPr fontId="1" type="noConversion"/>
  </si>
  <si>
    <t>카드</t>
    <phoneticPr fontId="1" type="noConversion"/>
  </si>
  <si>
    <t>시스템  재설치</t>
    <phoneticPr fontId="1" type="noConversion"/>
  </si>
  <si>
    <t>미입</t>
    <phoneticPr fontId="1" type="noConversion"/>
  </si>
  <si>
    <t>앵글</t>
    <phoneticPr fontId="1" type="noConversion"/>
  </si>
  <si>
    <t>재료포장</t>
    <phoneticPr fontId="1" type="noConversion"/>
  </si>
  <si>
    <t>미입</t>
    <phoneticPr fontId="1" type="noConversion"/>
  </si>
  <si>
    <t>앵글선반</t>
    <phoneticPr fontId="1" type="noConversion"/>
  </si>
  <si>
    <t>시스템</t>
    <phoneticPr fontId="1" type="noConversion"/>
  </si>
  <si>
    <t>계좌이체</t>
    <phoneticPr fontId="1" type="noConversion"/>
  </si>
  <si>
    <t>구영 우미린705-603호</t>
    <phoneticPr fontId="1" type="noConversion"/>
  </si>
  <si>
    <t>3차전 5,862,000</t>
    <phoneticPr fontId="1" type="noConversion"/>
  </si>
  <si>
    <t>4차전</t>
    <phoneticPr fontId="1" type="noConversion"/>
  </si>
  <si>
    <t>신정홈타운 105동1911호</t>
    <phoneticPr fontId="1" type="noConversion"/>
  </si>
  <si>
    <t>동서그린맨션502호 펜트리</t>
    <phoneticPr fontId="1" type="noConversion"/>
  </si>
  <si>
    <t>시스템</t>
    <phoneticPr fontId="1" type="noConversion"/>
  </si>
  <si>
    <t>시스템</t>
    <phoneticPr fontId="1" type="noConversion"/>
  </si>
  <si>
    <t>시스템 추가설치</t>
    <phoneticPr fontId="1" type="noConversion"/>
  </si>
  <si>
    <t>계좌이체</t>
    <phoneticPr fontId="1" type="noConversion"/>
  </si>
  <si>
    <t>북구 매곡 에뜰110동2502호</t>
    <phoneticPr fontId="1" type="noConversion"/>
  </si>
  <si>
    <t>남창강변로93 대안현대아파트107동1505호</t>
    <phoneticPr fontId="1" type="noConversion"/>
  </si>
  <si>
    <t>코리아에너지터미널</t>
    <phoneticPr fontId="1" type="noConversion"/>
  </si>
  <si>
    <t>앵글선반</t>
    <phoneticPr fontId="1" type="noConversion"/>
  </si>
  <si>
    <t>계산서 발행</t>
    <phoneticPr fontId="1" type="noConversion"/>
  </si>
  <si>
    <t>시스템</t>
    <phoneticPr fontId="1" type="noConversion"/>
  </si>
  <si>
    <t>시스템</t>
    <phoneticPr fontId="1" type="noConversion"/>
  </si>
  <si>
    <t>계좌이체</t>
    <phoneticPr fontId="1" type="noConversion"/>
  </si>
  <si>
    <t>미입</t>
    <phoneticPr fontId="1" type="noConversion"/>
  </si>
  <si>
    <t>문수애시앙104동1303호</t>
    <phoneticPr fontId="1" type="noConversion"/>
  </si>
  <si>
    <t>미입</t>
    <phoneticPr fontId="1" type="noConversion"/>
  </si>
  <si>
    <t>재료배달</t>
    <phoneticPr fontId="1" type="noConversion"/>
  </si>
  <si>
    <t>계좌이체</t>
    <phoneticPr fontId="1" type="noConversion"/>
  </si>
  <si>
    <t>계좌이체</t>
    <phoneticPr fontId="1" type="noConversion"/>
  </si>
  <si>
    <t>온양문화복지센터</t>
    <phoneticPr fontId="1" type="noConversion"/>
  </si>
  <si>
    <t>블라인드</t>
    <phoneticPr fontId="1" type="noConversion"/>
  </si>
  <si>
    <t>카드</t>
    <phoneticPr fontId="1" type="noConversion"/>
  </si>
  <si>
    <t>카드</t>
    <phoneticPr fontId="1" type="noConversion"/>
  </si>
  <si>
    <t>동구 해피보트어린이집</t>
    <phoneticPr fontId="1" type="noConversion"/>
  </si>
  <si>
    <t>앵글선반</t>
    <phoneticPr fontId="1" type="noConversion"/>
  </si>
  <si>
    <t>달천아이파크109동1101호</t>
    <phoneticPr fontId="1" type="noConversion"/>
  </si>
  <si>
    <t>온담</t>
    <phoneticPr fontId="1" type="noConversion"/>
  </si>
  <si>
    <t>재료포장</t>
    <phoneticPr fontId="1" type="noConversion"/>
  </si>
  <si>
    <t>앵글</t>
    <phoneticPr fontId="1" type="noConversion"/>
  </si>
  <si>
    <t>계좌이체</t>
    <phoneticPr fontId="1" type="noConversion"/>
  </si>
  <si>
    <t>미입</t>
    <phoneticPr fontId="1" type="noConversion"/>
  </si>
  <si>
    <t>계좌이체</t>
    <phoneticPr fontId="1" type="noConversion"/>
  </si>
  <si>
    <t>미입</t>
    <phoneticPr fontId="1" type="noConversion"/>
  </si>
  <si>
    <t>시스템</t>
    <phoneticPr fontId="1" type="noConversion"/>
  </si>
  <si>
    <t>시스템</t>
    <phoneticPr fontId="1" type="noConversion"/>
  </si>
  <si>
    <t>시스템</t>
    <phoneticPr fontId="1" type="noConversion"/>
  </si>
  <si>
    <t>우정혁신 lh아파트</t>
    <phoneticPr fontId="1" type="noConversion"/>
  </si>
  <si>
    <t>온양 한라401호</t>
    <phoneticPr fontId="1" type="noConversion"/>
  </si>
  <si>
    <t>앵글</t>
    <phoneticPr fontId="1" type="noConversion"/>
  </si>
  <si>
    <t>계좌이체</t>
    <phoneticPr fontId="1" type="noConversion"/>
  </si>
  <si>
    <t>동구 현우피닉스</t>
    <phoneticPr fontId="1" type="noConversion"/>
  </si>
  <si>
    <t>2025년 8월  매출현황</t>
    <phoneticPr fontId="1" type="noConversion"/>
  </si>
  <si>
    <t>온담 북구 풍경채</t>
    <phoneticPr fontId="1" type="noConversion"/>
  </si>
  <si>
    <t>미입</t>
    <phoneticPr fontId="1" type="noConversion"/>
  </si>
  <si>
    <t>재료포장</t>
    <phoneticPr fontId="1" type="noConversion"/>
  </si>
  <si>
    <t>앵글</t>
    <phoneticPr fontId="1" type="noConversion"/>
  </si>
  <si>
    <t>남창 시니어클럽</t>
    <phoneticPr fontId="1" type="noConversion"/>
  </si>
  <si>
    <t>미입</t>
    <phoneticPr fontId="1" type="noConversion"/>
  </si>
  <si>
    <t>계좌이체</t>
    <phoneticPr fontId="1" type="noConversion"/>
  </si>
  <si>
    <t>석남유치원</t>
    <phoneticPr fontId="1" type="noConversion"/>
  </si>
  <si>
    <t>반천현대아파트</t>
    <phoneticPr fontId="1" type="noConversion"/>
  </si>
  <si>
    <t>계좌이체</t>
    <phoneticPr fontId="1" type="noConversion"/>
  </si>
  <si>
    <t>운혁이집</t>
    <phoneticPr fontId="1" type="noConversion"/>
  </si>
  <si>
    <t>시스템</t>
    <phoneticPr fontId="1" type="noConversion"/>
  </si>
  <si>
    <t>계좌이체</t>
    <phoneticPr fontId="1" type="noConversion"/>
  </si>
  <si>
    <t>계좌이체</t>
    <phoneticPr fontId="1" type="noConversion"/>
  </si>
  <si>
    <t>북구 신천</t>
    <phoneticPr fontId="1" type="noConversion"/>
  </si>
  <si>
    <t>우방유화102동1401호</t>
    <phoneticPr fontId="1" type="noConversion"/>
  </si>
  <si>
    <t>시스템</t>
    <phoneticPr fontId="1" type="noConversion"/>
  </si>
  <si>
    <t>앵글</t>
    <phoneticPr fontId="1" type="noConversion"/>
  </si>
  <si>
    <t>재료포장</t>
    <phoneticPr fontId="1" type="noConversion"/>
  </si>
  <si>
    <t>블루모터스</t>
    <phoneticPr fontId="1" type="noConversion"/>
  </si>
  <si>
    <t>카드</t>
    <phoneticPr fontId="1" type="noConversion"/>
  </si>
  <si>
    <t>대곡박물관</t>
    <phoneticPr fontId="1" type="noConversion"/>
  </si>
  <si>
    <t xml:space="preserve">앵글 </t>
    <phoneticPr fontId="1" type="noConversion"/>
  </si>
  <si>
    <t>시스템</t>
    <phoneticPr fontId="1" type="noConversion"/>
  </si>
  <si>
    <t>힐스테이트</t>
    <phoneticPr fontId="1" type="noConversion"/>
  </si>
  <si>
    <t>시스템</t>
    <phoneticPr fontId="1" type="noConversion"/>
  </si>
  <si>
    <t>계좌이체</t>
    <phoneticPr fontId="1" type="noConversion"/>
  </si>
  <si>
    <t>재료포장</t>
    <phoneticPr fontId="1" type="noConversion"/>
  </si>
  <si>
    <t>카드</t>
    <phoneticPr fontId="1" type="noConversion"/>
  </si>
  <si>
    <t>계산선발행</t>
    <phoneticPr fontId="1" type="noConversion"/>
  </si>
  <si>
    <t>우미린2차702동201호</t>
    <phoneticPr fontId="1" type="noConversion"/>
  </si>
  <si>
    <t>시스템</t>
    <phoneticPr fontId="1" type="noConversion"/>
  </si>
  <si>
    <t>미입</t>
    <phoneticPr fontId="1" type="noConversion"/>
  </si>
  <si>
    <t>2차전 4,580,000</t>
    <phoneticPr fontId="1" type="noConversion"/>
  </si>
  <si>
    <t>카드</t>
    <phoneticPr fontId="1" type="noConversion"/>
  </si>
  <si>
    <t>앵글</t>
    <phoneticPr fontId="1" type="noConversion"/>
  </si>
  <si>
    <t>앵글</t>
    <phoneticPr fontId="1" type="noConversion"/>
  </si>
  <si>
    <t>계좌이체</t>
    <phoneticPr fontId="1" type="noConversion"/>
  </si>
  <si>
    <t>시스템</t>
    <phoneticPr fontId="1" type="noConversion"/>
  </si>
  <si>
    <t>3차전 1,740,000</t>
    <phoneticPr fontId="1" type="noConversion"/>
  </si>
  <si>
    <t>계좌이체</t>
    <phoneticPr fontId="1" type="noConversion"/>
  </si>
  <si>
    <t>계좌이체</t>
    <phoneticPr fontId="1" type="noConversion"/>
  </si>
  <si>
    <t>시스템</t>
    <phoneticPr fontId="1" type="noConversion"/>
  </si>
  <si>
    <t>앵글</t>
    <phoneticPr fontId="1" type="noConversion"/>
  </si>
  <si>
    <t>앵글</t>
    <phoneticPr fontId="1" type="noConversion"/>
  </si>
  <si>
    <t xml:space="preserve">4차전 </t>
    <phoneticPr fontId="1" type="noConversion"/>
  </si>
  <si>
    <t>앵글</t>
    <phoneticPr fontId="1" type="noConversion"/>
  </si>
  <si>
    <t>앵글</t>
    <phoneticPr fontId="1" type="noConversion"/>
  </si>
  <si>
    <t>두서필 주택</t>
    <phoneticPr fontId="1" type="noConversion"/>
  </si>
  <si>
    <t>시스템</t>
    <phoneticPr fontId="1" type="noConversion"/>
  </si>
  <si>
    <t>시스템 , 커튼 블라인드</t>
    <phoneticPr fontId="1" type="noConversion"/>
  </si>
  <si>
    <t>우정혁신 동원1차 103동405호</t>
    <phoneticPr fontId="1" type="noConversion"/>
  </si>
  <si>
    <t>미입</t>
    <phoneticPr fontId="1" type="noConversion"/>
  </si>
  <si>
    <t>북구 쌍용 아진1차 105동1508호</t>
    <phoneticPr fontId="1" type="noConversion"/>
  </si>
  <si>
    <t>계좌이체</t>
    <phoneticPr fontId="1" type="noConversion"/>
  </si>
  <si>
    <t>재료포장</t>
    <phoneticPr fontId="1" type="noConversion"/>
  </si>
  <si>
    <t>재료포장</t>
    <phoneticPr fontId="1" type="noConversion"/>
  </si>
  <si>
    <t>신한디아채</t>
    <phoneticPr fontId="1" type="noConversion"/>
  </si>
  <si>
    <t>게좌이체</t>
    <phoneticPr fontId="1" type="noConversion"/>
  </si>
  <si>
    <t>게좌이체</t>
    <phoneticPr fontId="1" type="noConversion"/>
  </si>
  <si>
    <t>카드</t>
    <phoneticPr fontId="1" type="noConversion"/>
  </si>
  <si>
    <t>반만입금</t>
    <phoneticPr fontId="1" type="noConversion"/>
  </si>
  <si>
    <t>일송수암빌라</t>
    <phoneticPr fontId="1" type="noConversion"/>
  </si>
  <si>
    <t>시스템</t>
    <phoneticPr fontId="1" type="noConversion"/>
  </si>
  <si>
    <t>미입</t>
    <phoneticPr fontId="1" type="noConversion"/>
  </si>
  <si>
    <t>평창리비에르</t>
    <phoneticPr fontId="1" type="noConversion"/>
  </si>
  <si>
    <t>제니스병원</t>
    <phoneticPr fontId="1" type="noConversion"/>
  </si>
  <si>
    <t>미입</t>
    <phoneticPr fontId="1" type="noConversion"/>
  </si>
  <si>
    <t>계좌이체</t>
    <phoneticPr fontId="1" type="noConversion"/>
  </si>
  <si>
    <t>시스템</t>
    <phoneticPr fontId="1" type="noConversion"/>
  </si>
  <si>
    <t>한신아파트202동1609호</t>
    <phoneticPr fontId="1" type="noConversion"/>
  </si>
  <si>
    <t>시스템 재설치</t>
    <phoneticPr fontId="1" type="noConversion"/>
  </si>
  <si>
    <t>앵글</t>
    <phoneticPr fontId="1" type="noConversion"/>
  </si>
  <si>
    <t>미입</t>
    <phoneticPr fontId="1" type="noConversion"/>
  </si>
  <si>
    <t>재료포장 ks가구</t>
    <phoneticPr fontId="1" type="noConversion"/>
  </si>
  <si>
    <t>문석이집</t>
    <phoneticPr fontId="1" type="noConversion"/>
  </si>
  <si>
    <t>리치빌</t>
    <phoneticPr fontId="1" type="noConversion"/>
  </si>
  <si>
    <t>커튼 블라인드</t>
    <phoneticPr fontId="1" type="noConversion"/>
  </si>
  <si>
    <t>극동101동602호</t>
    <phoneticPr fontId="1" type="noConversion"/>
  </si>
  <si>
    <t>600*700*1800 5단</t>
    <phoneticPr fontId="1" type="noConversion"/>
  </si>
  <si>
    <t>카드</t>
    <phoneticPr fontId="1" type="noConversion"/>
  </si>
  <si>
    <t>카드,현금</t>
    <phoneticPr fontId="1" type="noConversion"/>
  </si>
  <si>
    <t>시스템</t>
    <phoneticPr fontId="1" type="noConversion"/>
  </si>
  <si>
    <t>태범이형님 아이필</t>
    <phoneticPr fontId="1" type="noConversion"/>
  </si>
  <si>
    <t>남외 에일린의뜰</t>
    <phoneticPr fontId="1" type="noConversion"/>
  </si>
  <si>
    <t>시스템 펜트리</t>
    <phoneticPr fontId="1" type="noConversion"/>
  </si>
  <si>
    <t>미입</t>
    <phoneticPr fontId="1" type="noConversion"/>
  </si>
  <si>
    <t>커튼</t>
    <phoneticPr fontId="1" type="noConversion"/>
  </si>
  <si>
    <t>시스템,앵글</t>
    <phoneticPr fontId="1" type="noConversion"/>
  </si>
  <si>
    <t>문수로 에일린의뜰</t>
    <phoneticPr fontId="1" type="noConversion"/>
  </si>
  <si>
    <t>재료포장</t>
    <phoneticPr fontId="1" type="noConversion"/>
  </si>
  <si>
    <t>앵글</t>
    <phoneticPr fontId="1" type="noConversion"/>
  </si>
  <si>
    <t>계좌이체</t>
    <phoneticPr fontId="1" type="noConversion"/>
  </si>
  <si>
    <t>신한다솜</t>
    <phoneticPr fontId="1" type="noConversion"/>
  </si>
  <si>
    <t>계좌이체</t>
    <phoneticPr fontId="1" type="noConversion"/>
  </si>
  <si>
    <t>시스템</t>
    <phoneticPr fontId="1" type="noConversion"/>
  </si>
  <si>
    <t>1차전 6,183,000</t>
    <phoneticPr fontId="1" type="noConversion"/>
  </si>
  <si>
    <t>규정이집</t>
    <phoneticPr fontId="1" type="noConversion"/>
  </si>
  <si>
    <t>시스템</t>
    <phoneticPr fontId="1" type="noConversion"/>
  </si>
  <si>
    <t>시스템</t>
    <phoneticPr fontId="1" type="noConversion"/>
  </si>
  <si>
    <t>태범이형님</t>
    <phoneticPr fontId="1" type="noConversion"/>
  </si>
  <si>
    <t>에일린의뜰 3차 303동601호</t>
    <phoneticPr fontId="1" type="noConversion"/>
  </si>
  <si>
    <t>옥동성도아파트102동1413</t>
    <phoneticPr fontId="1" type="noConversion"/>
  </si>
  <si>
    <t>시스템</t>
    <phoneticPr fontId="1" type="noConversion"/>
  </si>
  <si>
    <t>시스템</t>
    <phoneticPr fontId="1" type="noConversion"/>
  </si>
  <si>
    <t>미입</t>
    <phoneticPr fontId="1" type="noConversion"/>
  </si>
  <si>
    <t>미입</t>
    <phoneticPr fontId="1" type="noConversion"/>
  </si>
  <si>
    <t>계좌이체</t>
    <phoneticPr fontId="1" type="noConversion"/>
  </si>
  <si>
    <t>범서현대아파트</t>
    <phoneticPr fontId="1" type="noConversion"/>
  </si>
  <si>
    <t>시스템 펜트리</t>
    <phoneticPr fontId="1" type="noConversion"/>
  </si>
  <si>
    <t>계좌이체</t>
    <phoneticPr fontId="1" type="noConversion"/>
  </si>
  <si>
    <t>동원1차 104동1902호</t>
    <phoneticPr fontId="1" type="noConversion"/>
  </si>
  <si>
    <t>시스템</t>
    <phoneticPr fontId="1" type="noConversion"/>
  </si>
  <si>
    <t>계좌이체</t>
    <phoneticPr fontId="1" type="noConversion"/>
  </si>
  <si>
    <t>대공원 월드메르디앙</t>
    <phoneticPr fontId="1" type="noConversion"/>
  </si>
  <si>
    <t>울주군청</t>
    <phoneticPr fontId="1" type="noConversion"/>
  </si>
  <si>
    <t>앵글선반</t>
    <phoneticPr fontId="1" type="noConversion"/>
  </si>
  <si>
    <t>미입</t>
    <phoneticPr fontId="1" type="noConversion"/>
  </si>
  <si>
    <t>약사레미안306동104호</t>
    <phoneticPr fontId="1" type="noConversion"/>
  </si>
  <si>
    <t>시스템</t>
    <phoneticPr fontId="1" type="noConversion"/>
  </si>
  <si>
    <t>2차전 6,355,000</t>
    <phoneticPr fontId="1" type="noConversion"/>
  </si>
  <si>
    <t>현대중공업</t>
    <phoneticPr fontId="1" type="noConversion"/>
  </si>
  <si>
    <t>앵글선반ㄷ자</t>
    <phoneticPr fontId="1" type="noConversion"/>
  </si>
  <si>
    <t>미입</t>
    <phoneticPr fontId="1" type="noConversion"/>
  </si>
  <si>
    <t>달동힐스테이트</t>
    <phoneticPr fontId="1" type="noConversion"/>
  </si>
  <si>
    <t>시스템</t>
    <phoneticPr fontId="1" type="noConversion"/>
  </si>
  <si>
    <t>장현동 골드클래스</t>
    <phoneticPr fontId="1" type="noConversion"/>
  </si>
  <si>
    <t>시스템</t>
    <phoneticPr fontId="1" type="noConversion"/>
  </si>
  <si>
    <t>스카이빌라 달동</t>
    <phoneticPr fontId="1" type="noConversion"/>
  </si>
  <si>
    <t>블라인드</t>
    <phoneticPr fontId="1" type="noConversion"/>
  </si>
  <si>
    <t xml:space="preserve">에일린의뜰 </t>
    <phoneticPr fontId="1" type="noConversion"/>
  </si>
  <si>
    <t>현대아파트</t>
    <phoneticPr fontId="1" type="noConversion"/>
  </si>
  <si>
    <t>번영로 두산위브</t>
    <phoneticPr fontId="1" type="noConversion"/>
  </si>
  <si>
    <t>시스템 펜트리</t>
    <phoneticPr fontId="1" type="noConversion"/>
  </si>
  <si>
    <t>스카이빌라 달동</t>
    <phoneticPr fontId="1" type="noConversion"/>
  </si>
  <si>
    <t>시스템</t>
    <phoneticPr fontId="1" type="noConversion"/>
  </si>
  <si>
    <t>앵글선반</t>
    <phoneticPr fontId="1" type="noConversion"/>
  </si>
  <si>
    <t>계좌이체</t>
    <phoneticPr fontId="1" type="noConversion"/>
  </si>
  <si>
    <t>옥현주공</t>
    <phoneticPr fontId="1" type="noConversion"/>
  </si>
  <si>
    <t>재설치</t>
    <phoneticPr fontId="1" type="noConversion"/>
  </si>
  <si>
    <t>미입</t>
    <phoneticPr fontId="1" type="noConversion"/>
  </si>
  <si>
    <t>신한다아채101동1106동</t>
    <phoneticPr fontId="1" type="noConversion"/>
  </si>
  <si>
    <t>시스템</t>
    <phoneticPr fontId="1" type="noConversion"/>
  </si>
  <si>
    <t>3차전 4,577,000원</t>
    <phoneticPr fontId="1" type="noConversion"/>
  </si>
  <si>
    <t>강변 이편한세상</t>
    <phoneticPr fontId="1" type="noConversion"/>
  </si>
  <si>
    <t>시스템</t>
    <phoneticPr fontId="1" type="noConversion"/>
  </si>
  <si>
    <t>카드</t>
    <phoneticPr fontId="1" type="noConversion"/>
  </si>
  <si>
    <t>앵글</t>
    <phoneticPr fontId="1" type="noConversion"/>
  </si>
  <si>
    <t>재료포장</t>
    <phoneticPr fontId="1" type="noConversion"/>
  </si>
  <si>
    <t>엔진오일공장 상북</t>
    <phoneticPr fontId="1" type="noConversion"/>
  </si>
  <si>
    <t>미입</t>
    <phoneticPr fontId="1" type="noConversion"/>
  </si>
  <si>
    <t>서사프라디움시티</t>
    <phoneticPr fontId="1" type="noConversion"/>
  </si>
  <si>
    <t>시스템</t>
    <phoneticPr fontId="1" type="noConversion"/>
  </si>
  <si>
    <t>미입</t>
    <phoneticPr fontId="1" type="noConversion"/>
  </si>
  <si>
    <t>카드</t>
    <phoneticPr fontId="1" type="noConversion"/>
  </si>
  <si>
    <t>재료포장</t>
    <phoneticPr fontId="1" type="noConversion"/>
  </si>
  <si>
    <t>재료포장</t>
    <phoneticPr fontId="1" type="noConversion"/>
  </si>
  <si>
    <t>앵글</t>
    <phoneticPr fontId="1" type="noConversion"/>
  </si>
  <si>
    <t>계좌이체</t>
    <phoneticPr fontId="1" type="noConversion"/>
  </si>
  <si>
    <t>시스템</t>
    <phoneticPr fontId="1" type="noConversion"/>
  </si>
  <si>
    <t>에코하이츠101동</t>
    <phoneticPr fontId="1" type="noConversion"/>
  </si>
  <si>
    <t>계좌이체</t>
    <phoneticPr fontId="1" type="noConversion"/>
  </si>
  <si>
    <t>4차전</t>
    <phoneticPr fontId="1" type="noConversion"/>
  </si>
  <si>
    <t>4차전 5,900,000원</t>
    <phoneticPr fontId="1" type="noConversion"/>
  </si>
  <si>
    <t>도산도서관</t>
    <phoneticPr fontId="1" type="noConversion"/>
  </si>
  <si>
    <t>앵글</t>
    <phoneticPr fontId="1" type="noConversion"/>
  </si>
  <si>
    <t>카드</t>
    <phoneticPr fontId="1" type="noConversion"/>
  </si>
  <si>
    <t>상북면 거리지곡2길 10-3 1</t>
    <phoneticPr fontId="1" type="noConversion"/>
  </si>
  <si>
    <t>상북면 거리지곡2길 10-3 1</t>
    <phoneticPr fontId="1" type="noConversion"/>
  </si>
  <si>
    <t>시스템 펜트리</t>
    <phoneticPr fontId="1" type="noConversion"/>
  </si>
  <si>
    <t>시스템</t>
    <phoneticPr fontId="1" type="noConversion"/>
  </si>
  <si>
    <t>계좌이체</t>
    <phoneticPr fontId="1" type="noConversion"/>
  </si>
  <si>
    <t>계좌이체</t>
    <phoneticPr fontId="1" type="noConversion"/>
  </si>
  <si>
    <t>동문</t>
    <phoneticPr fontId="1" type="noConversion"/>
  </si>
  <si>
    <t>펜트리</t>
    <phoneticPr fontId="1" type="noConversion"/>
  </si>
  <si>
    <t>미입</t>
    <phoneticPr fontId="1" type="noConversion"/>
  </si>
  <si>
    <t>재료포장</t>
    <phoneticPr fontId="1" type="noConversion"/>
  </si>
  <si>
    <t>계좌이체</t>
    <phoneticPr fontId="1" type="noConversion"/>
  </si>
  <si>
    <t>계좌이체</t>
    <phoneticPr fontId="1" type="noConversion"/>
  </si>
  <si>
    <t>계좌이체</t>
    <phoneticPr fontId="1" type="noConversion"/>
  </si>
  <si>
    <t>계좌이체</t>
    <phoneticPr fontId="1" type="noConversion"/>
  </si>
  <si>
    <t>계좌이체</t>
    <phoneticPr fontId="1" type="noConversion"/>
  </si>
  <si>
    <t>재료포장</t>
    <phoneticPr fontId="1" type="noConversion"/>
  </si>
  <si>
    <t>시스템</t>
    <phoneticPr fontId="1" type="noConversion"/>
  </si>
  <si>
    <t>재료포장</t>
    <phoneticPr fontId="1" type="noConversion"/>
  </si>
  <si>
    <t>동구</t>
    <phoneticPr fontId="1" type="noConversion"/>
  </si>
  <si>
    <t>시스템 펜트리장</t>
    <phoneticPr fontId="1" type="noConversion"/>
  </si>
  <si>
    <t>앵글</t>
    <phoneticPr fontId="1" type="noConversion"/>
  </si>
  <si>
    <t>앵글</t>
    <phoneticPr fontId="1" type="noConversion"/>
  </si>
  <si>
    <t>미입</t>
    <phoneticPr fontId="1" type="noConversion"/>
  </si>
  <si>
    <t>계좌이체</t>
    <phoneticPr fontId="1" type="noConversion"/>
  </si>
  <si>
    <t>신정홈타운</t>
    <phoneticPr fontId="1" type="noConversion"/>
  </si>
  <si>
    <t>카드</t>
    <phoneticPr fontId="1" type="noConversion"/>
  </si>
  <si>
    <t>엔진오일공장</t>
    <phoneticPr fontId="1" type="noConversion"/>
  </si>
  <si>
    <t>재료포장</t>
    <phoneticPr fontId="1" type="noConversion"/>
  </si>
  <si>
    <t>앵글 2조</t>
    <phoneticPr fontId="1" type="noConversion"/>
  </si>
  <si>
    <t>카드</t>
    <phoneticPr fontId="1" type="noConversion"/>
  </si>
  <si>
    <t>계좌이체</t>
    <phoneticPr fontId="1" type="noConversion"/>
  </si>
  <si>
    <t>계좌이체</t>
    <phoneticPr fontId="1" type="noConversion"/>
  </si>
  <si>
    <t>신정푸르지오</t>
    <phoneticPr fontId="1" type="noConversion"/>
  </si>
  <si>
    <t>시스템</t>
    <phoneticPr fontId="1" type="noConversion"/>
  </si>
  <si>
    <t>계좌이체</t>
    <phoneticPr fontId="1" type="noConversion"/>
  </si>
  <si>
    <t>계좌이체</t>
    <phoneticPr fontId="1" type="noConversion"/>
  </si>
  <si>
    <t>시스템</t>
    <phoneticPr fontId="1" type="noConversion"/>
  </si>
  <si>
    <t>시스템</t>
    <phoneticPr fontId="1" type="noConversion"/>
  </si>
  <si>
    <t>재료포장</t>
    <phoneticPr fontId="1" type="noConversion"/>
  </si>
  <si>
    <t>앵글 3조</t>
    <phoneticPr fontId="1" type="noConversion"/>
  </si>
  <si>
    <t>카드</t>
    <phoneticPr fontId="1" type="noConversion"/>
  </si>
  <si>
    <t>재료포장</t>
    <phoneticPr fontId="1" type="noConversion"/>
  </si>
  <si>
    <t>엥글</t>
    <phoneticPr fontId="1" type="noConversion"/>
  </si>
  <si>
    <t>현금</t>
    <phoneticPr fontId="1" type="noConversion"/>
  </si>
  <si>
    <t>문수로아이파크</t>
    <phoneticPr fontId="1" type="noConversion"/>
  </si>
  <si>
    <t>펜트리장</t>
    <phoneticPr fontId="1" type="noConversion"/>
  </si>
  <si>
    <t>어울림 아파트</t>
    <phoneticPr fontId="1" type="noConversion"/>
  </si>
  <si>
    <t>계좌이체</t>
    <phoneticPr fontId="1" type="noConversion"/>
  </si>
  <si>
    <t>삼신현대아파트</t>
    <phoneticPr fontId="1" type="noConversion"/>
  </si>
  <si>
    <t>시스템</t>
    <phoneticPr fontId="1" type="noConversion"/>
  </si>
  <si>
    <t>계좌이체 (계산서)</t>
    <phoneticPr fontId="1" type="noConversion"/>
  </si>
  <si>
    <t>미입</t>
    <phoneticPr fontId="1" type="noConversion"/>
  </si>
  <si>
    <t>굿모닝힐</t>
    <phoneticPr fontId="1" type="noConversion"/>
  </si>
  <si>
    <t>계좌이체</t>
    <phoneticPr fontId="1" type="noConversion"/>
  </si>
  <si>
    <t>3단서랍장</t>
    <phoneticPr fontId="1" type="noConversion"/>
  </si>
  <si>
    <t>앵글</t>
    <phoneticPr fontId="1" type="noConversion"/>
  </si>
  <si>
    <t>재료포장</t>
    <phoneticPr fontId="1" type="noConversion"/>
  </si>
  <si>
    <t>앵글</t>
    <phoneticPr fontId="1" type="noConversion"/>
  </si>
  <si>
    <t>우정lh2단지 206동 303호</t>
    <phoneticPr fontId="1" type="noConversion"/>
  </si>
  <si>
    <t>시스템</t>
    <phoneticPr fontId="1" type="noConversion"/>
  </si>
  <si>
    <t>태봉아파트 마을회관</t>
    <phoneticPr fontId="1" type="noConversion"/>
  </si>
  <si>
    <t>블라인드</t>
    <phoneticPr fontId="1" type="noConversion"/>
  </si>
  <si>
    <t>1차전 4.157.000</t>
    <phoneticPr fontId="1" type="noConversion"/>
  </si>
  <si>
    <t>2차전 1,490,000</t>
    <phoneticPr fontId="1" type="noConversion"/>
  </si>
  <si>
    <t>재료포장</t>
    <phoneticPr fontId="1" type="noConversion"/>
  </si>
  <si>
    <t>lh 아파트 북구</t>
    <phoneticPr fontId="1" type="noConversion"/>
  </si>
  <si>
    <t>앵글</t>
    <phoneticPr fontId="1" type="noConversion"/>
  </si>
  <si>
    <t>카드</t>
    <phoneticPr fontId="1" type="noConversion"/>
  </si>
  <si>
    <t>계좌이체</t>
    <phoneticPr fontId="1" type="noConversion"/>
  </si>
  <si>
    <t>이편한세상</t>
    <phoneticPr fontId="1" type="noConversion"/>
  </si>
  <si>
    <t>앵글</t>
    <phoneticPr fontId="1" type="noConversion"/>
  </si>
  <si>
    <t>카드</t>
    <phoneticPr fontId="1" type="noConversion"/>
  </si>
  <si>
    <t>남구 컨테이너안쪽</t>
    <phoneticPr fontId="1" type="noConversion"/>
  </si>
  <si>
    <t>마을회관</t>
    <phoneticPr fontId="1" type="noConversion"/>
  </si>
  <si>
    <t>계좌이체</t>
    <phoneticPr fontId="1" type="noConversion"/>
  </si>
  <si>
    <t>앵글</t>
    <phoneticPr fontId="1" type="noConversion"/>
  </si>
  <si>
    <t>앵글</t>
    <phoneticPr fontId="1" type="noConversion"/>
  </si>
  <si>
    <t>문수로 아이파크</t>
    <phoneticPr fontId="1" type="noConversion"/>
  </si>
  <si>
    <t>시스템</t>
    <phoneticPr fontId="1" type="noConversion"/>
  </si>
  <si>
    <t>미입</t>
    <phoneticPr fontId="1" type="noConversion"/>
  </si>
  <si>
    <t>이편한세상103도601호</t>
    <phoneticPr fontId="1" type="noConversion"/>
  </si>
  <si>
    <t>앵글</t>
    <phoneticPr fontId="1" type="noConversion"/>
  </si>
  <si>
    <t>계좌이체</t>
    <phoneticPr fontId="1" type="noConversion"/>
  </si>
  <si>
    <t>북구 염포쪽</t>
    <phoneticPr fontId="1" type="noConversion"/>
  </si>
  <si>
    <t>시스템 기둥</t>
    <phoneticPr fontId="1" type="noConversion"/>
  </si>
  <si>
    <t>미입</t>
    <phoneticPr fontId="1" type="noConversion"/>
  </si>
  <si>
    <t>시스템</t>
    <phoneticPr fontId="1" type="noConversion"/>
  </si>
  <si>
    <t>카드</t>
    <phoneticPr fontId="1" type="noConversion"/>
  </si>
  <si>
    <t>아담빌라</t>
    <phoneticPr fontId="1" type="noConversion"/>
  </si>
  <si>
    <t>시스템</t>
    <phoneticPr fontId="1" type="noConversion"/>
  </si>
  <si>
    <t>계좌이체</t>
    <phoneticPr fontId="1" type="noConversion"/>
  </si>
  <si>
    <t>삼환나르띠에</t>
    <phoneticPr fontId="1" type="noConversion"/>
  </si>
  <si>
    <t>카드</t>
    <phoneticPr fontId="1" type="noConversion"/>
  </si>
  <si>
    <t>앵글 미입</t>
    <phoneticPr fontId="1" type="noConversion"/>
  </si>
  <si>
    <t xml:space="preserve">굴화 </t>
    <phoneticPr fontId="1" type="noConversion"/>
  </si>
  <si>
    <t>아토 우정혁신</t>
    <phoneticPr fontId="1" type="noConversion"/>
  </si>
  <si>
    <t>시스템 펜트리장</t>
    <phoneticPr fontId="1" type="noConversion"/>
  </si>
  <si>
    <t>미입</t>
    <phoneticPr fontId="1" type="noConversion"/>
  </si>
  <si>
    <t>업스퀘어 속옷가게</t>
    <phoneticPr fontId="1" type="noConversion"/>
  </si>
  <si>
    <t xml:space="preserve">앵글 </t>
    <phoneticPr fontId="1" type="noConversion"/>
  </si>
  <si>
    <t>계좌이체</t>
    <phoneticPr fontId="1" type="noConversion"/>
  </si>
  <si>
    <t>작가선생님</t>
    <phoneticPr fontId="1" type="noConversion"/>
  </si>
  <si>
    <t>동부주공103동</t>
    <phoneticPr fontId="1" type="noConversion"/>
  </si>
  <si>
    <t>계좌이체</t>
    <phoneticPr fontId="1" type="noConversion"/>
  </si>
  <si>
    <t>앵글</t>
    <phoneticPr fontId="1" type="noConversion"/>
  </si>
  <si>
    <t>시스템 펜트리장</t>
    <phoneticPr fontId="1" type="noConversion"/>
  </si>
  <si>
    <t>신복현대아파트</t>
    <phoneticPr fontId="1" type="noConversion"/>
  </si>
  <si>
    <t>카드</t>
    <phoneticPr fontId="1" type="noConversion"/>
  </si>
  <si>
    <t>시스템</t>
    <phoneticPr fontId="1" type="noConversion"/>
  </si>
  <si>
    <t>남외에뜰 아토</t>
    <phoneticPr fontId="1" type="noConversion"/>
  </si>
  <si>
    <t>다운 a-507동802호</t>
    <phoneticPr fontId="1" type="noConversion"/>
  </si>
  <si>
    <t>시스템장</t>
    <phoneticPr fontId="1" type="noConversion"/>
  </si>
  <si>
    <t>롯데스카이캐슬1002호</t>
    <phoneticPr fontId="1" type="noConversion"/>
  </si>
  <si>
    <t>시스템장ㄷ자</t>
    <phoneticPr fontId="1" type="noConversion"/>
  </si>
  <si>
    <t>계약금10만원</t>
    <phoneticPr fontId="1" type="noConversion"/>
  </si>
  <si>
    <t>상부르네상스104동603호</t>
    <phoneticPr fontId="1" type="noConversion"/>
  </si>
  <si>
    <t>스카이캐슬</t>
    <phoneticPr fontId="1" type="noConversion"/>
  </si>
  <si>
    <t>블라인드</t>
    <phoneticPr fontId="1" type="noConversion"/>
  </si>
  <si>
    <t>계좌이체</t>
    <phoneticPr fontId="1" type="noConversion"/>
  </si>
  <si>
    <t>동문아파트</t>
    <phoneticPr fontId="1" type="noConversion"/>
  </si>
  <si>
    <t>시스템</t>
    <phoneticPr fontId="1" type="noConversion"/>
  </si>
  <si>
    <t>재료포장</t>
    <phoneticPr fontId="1" type="noConversion"/>
  </si>
  <si>
    <t>엔진오일 공장</t>
    <phoneticPr fontId="1" type="noConversion"/>
  </si>
  <si>
    <t>시스템</t>
    <phoneticPr fontId="1" type="noConversion"/>
  </si>
  <si>
    <t>시스템</t>
    <phoneticPr fontId="1" type="noConversion"/>
  </si>
  <si>
    <t>계좌이체</t>
    <phoneticPr fontId="1" type="noConversion"/>
  </si>
  <si>
    <t>어울림 101동501호</t>
    <phoneticPr fontId="1" type="noConversion"/>
  </si>
  <si>
    <t>시스템</t>
    <phoneticPr fontId="1" type="noConversion"/>
  </si>
  <si>
    <t>계좌이체</t>
    <phoneticPr fontId="1" type="noConversion"/>
  </si>
  <si>
    <t>줌파크 101동1704호</t>
    <phoneticPr fontId="1" type="noConversion"/>
  </si>
  <si>
    <t>서사프라디움시티914동1303호</t>
    <phoneticPr fontId="1" type="noConversion"/>
  </si>
  <si>
    <t>서사프라디움시티913동304호</t>
    <phoneticPr fontId="1" type="noConversion"/>
  </si>
  <si>
    <t>재료포장ㅇ</t>
    <phoneticPr fontId="1" type="noConversion"/>
  </si>
  <si>
    <t>앵글</t>
    <phoneticPr fontId="1" type="noConversion"/>
  </si>
  <si>
    <t>계좌이체</t>
    <phoneticPr fontId="1" type="noConversion"/>
  </si>
  <si>
    <t>카드</t>
    <phoneticPr fontId="1" type="noConversion"/>
  </si>
  <si>
    <t>앵글</t>
    <phoneticPr fontId="1" type="noConversion"/>
  </si>
  <si>
    <t>재표포장</t>
    <phoneticPr fontId="1" type="noConversion"/>
  </si>
  <si>
    <t>계좌이체</t>
    <phoneticPr fontId="1" type="noConversion"/>
  </si>
  <si>
    <t>블라인드 3창</t>
    <phoneticPr fontId="1" type="noConversion"/>
  </si>
  <si>
    <t>평창현대</t>
    <phoneticPr fontId="1" type="noConversion"/>
  </si>
  <si>
    <t>동문굿모닝힐</t>
    <phoneticPr fontId="1" type="noConversion"/>
  </si>
  <si>
    <t>계좌이체</t>
    <phoneticPr fontId="1" type="noConversion"/>
  </si>
  <si>
    <t>시스템</t>
    <phoneticPr fontId="1" type="noConversion"/>
  </si>
  <si>
    <t>시스템 펜트리장</t>
    <phoneticPr fontId="1" type="noConversion"/>
  </si>
  <si>
    <t>유곡 푸르지오 유준</t>
    <phoneticPr fontId="1" type="noConversion"/>
  </si>
  <si>
    <t>미입</t>
    <phoneticPr fontId="1" type="noConversion"/>
  </si>
  <si>
    <t>다운a-5 507동802호</t>
    <phoneticPr fontId="1" type="noConversion"/>
  </si>
  <si>
    <t>블라인드 , 커튼</t>
    <phoneticPr fontId="1" type="noConversion"/>
  </si>
  <si>
    <t>서사프라디움시티0</t>
    <phoneticPr fontId="1" type="noConversion"/>
  </si>
  <si>
    <t xml:space="preserve">커튼 </t>
    <phoneticPr fontId="1" type="noConversion"/>
  </si>
  <si>
    <t>계좌이체</t>
    <phoneticPr fontId="1" type="noConversion"/>
  </si>
  <si>
    <t>재료포장</t>
    <phoneticPr fontId="1" type="noConversion"/>
  </si>
  <si>
    <t>앵글</t>
    <phoneticPr fontId="1" type="noConversion"/>
  </si>
  <si>
    <t>계좌이체</t>
    <phoneticPr fontId="1" type="noConversion"/>
  </si>
  <si>
    <t>동문 굿모닝힐</t>
    <phoneticPr fontId="1" type="noConversion"/>
  </si>
  <si>
    <t>시스템 선반</t>
    <phoneticPr fontId="1" type="noConversion"/>
  </si>
  <si>
    <t>미입</t>
    <phoneticPr fontId="1" type="noConversion"/>
  </si>
  <si>
    <t>1차전 7,221,000</t>
    <phoneticPr fontId="1" type="noConversion"/>
  </si>
  <si>
    <t>정관읍 모전리730 이지더 3차 312동302호</t>
    <phoneticPr fontId="1" type="noConversion"/>
  </si>
  <si>
    <t>시스템선반</t>
    <phoneticPr fontId="1" type="noConversion"/>
  </si>
  <si>
    <t>시스템선반</t>
    <phoneticPr fontId="1" type="noConversion"/>
  </si>
  <si>
    <t>옥동삼익102동</t>
    <phoneticPr fontId="1" type="noConversion"/>
  </si>
  <si>
    <t>시스템선반</t>
    <phoneticPr fontId="1" type="noConversion"/>
  </si>
  <si>
    <t>남외푸르지오(아토)</t>
    <phoneticPr fontId="1" type="noConversion"/>
  </si>
  <si>
    <t>재료포장</t>
    <phoneticPr fontId="1" type="noConversion"/>
  </si>
  <si>
    <t>카드</t>
    <phoneticPr fontId="1" type="noConversion"/>
  </si>
  <si>
    <t>삼환나우빌103동702호</t>
    <phoneticPr fontId="1" type="noConversion"/>
  </si>
  <si>
    <t>앵글</t>
    <phoneticPr fontId="1" type="noConversion"/>
  </si>
  <si>
    <t>코리아에너지</t>
    <phoneticPr fontId="1" type="noConversion"/>
  </si>
  <si>
    <t>앵글</t>
    <phoneticPr fontId="1" type="noConversion"/>
  </si>
  <si>
    <t>계산서발행</t>
    <phoneticPr fontId="1" type="noConversion"/>
  </si>
  <si>
    <t>롯데인벤스가101동1304호</t>
    <phoneticPr fontId="1" type="noConversion"/>
  </si>
  <si>
    <t>태화동 짜장면집</t>
    <phoneticPr fontId="1" type="noConversion"/>
  </si>
  <si>
    <t>앵글</t>
    <phoneticPr fontId="1" type="noConversion"/>
  </si>
  <si>
    <t>미입</t>
    <phoneticPr fontId="1" type="noConversion"/>
  </si>
  <si>
    <t>옥현주공309동601호</t>
    <phoneticPr fontId="1" type="noConversion"/>
  </si>
  <si>
    <t>시스템</t>
    <phoneticPr fontId="1" type="noConversion"/>
  </si>
  <si>
    <t>재료포장</t>
    <phoneticPr fontId="1" type="noConversion"/>
  </si>
  <si>
    <t>앵글</t>
    <phoneticPr fontId="1" type="noConversion"/>
  </si>
  <si>
    <t>카드</t>
    <phoneticPr fontId="1" type="noConversion"/>
  </si>
  <si>
    <t>강희집</t>
    <phoneticPr fontId="1" type="noConversion"/>
  </si>
  <si>
    <t>시스템</t>
    <phoneticPr fontId="1" type="noConversion"/>
  </si>
  <si>
    <t>계좌이체</t>
    <phoneticPr fontId="1" type="noConversion"/>
  </si>
  <si>
    <t>계좌이체</t>
    <phoneticPr fontId="1" type="noConversion"/>
  </si>
  <si>
    <t>북구 벽산 블루밍102동1904호</t>
    <phoneticPr fontId="1" type="noConversion"/>
  </si>
  <si>
    <t>시스템</t>
    <phoneticPr fontId="1" type="noConversion"/>
  </si>
  <si>
    <t>재설치</t>
    <phoneticPr fontId="1" type="noConversion"/>
  </si>
  <si>
    <t>솔쓸개 삼남</t>
    <phoneticPr fontId="1" type="noConversion"/>
  </si>
  <si>
    <t>현금</t>
    <phoneticPr fontId="1" type="noConversion"/>
  </si>
  <si>
    <t>아담빌라101동302호</t>
    <phoneticPr fontId="1" type="noConversion"/>
  </si>
  <si>
    <t>앵글</t>
    <phoneticPr fontId="1" type="noConversion"/>
  </si>
  <si>
    <t>현금</t>
    <phoneticPr fontId="1" type="noConversion"/>
  </si>
  <si>
    <t>평창 리비에르</t>
    <phoneticPr fontId="1" type="noConversion"/>
  </si>
  <si>
    <t>시스템 펜트리</t>
    <phoneticPr fontId="1" type="noConversion"/>
  </si>
  <si>
    <t>미입</t>
    <phoneticPr fontId="1" type="noConversion"/>
  </si>
  <si>
    <t>미입</t>
    <phoneticPr fontId="1" type="noConversion"/>
  </si>
  <si>
    <t>시스템</t>
    <phoneticPr fontId="1" type="noConversion"/>
  </si>
  <si>
    <t>카드</t>
    <phoneticPr fontId="1" type="noConversion"/>
  </si>
  <si>
    <t>옥동 아이파크</t>
    <phoneticPr fontId="1" type="noConversion"/>
  </si>
  <si>
    <t>미입</t>
    <phoneticPr fontId="1" type="noConversion"/>
  </si>
  <si>
    <t>성안동861-27</t>
    <phoneticPr fontId="1" type="noConversion"/>
  </si>
  <si>
    <t>시스템</t>
    <phoneticPr fontId="1" type="noConversion"/>
  </si>
  <si>
    <t>엑소디움102동4201호</t>
    <phoneticPr fontId="1" type="noConversion"/>
  </si>
  <si>
    <t>시스템 펜트리</t>
    <phoneticPr fontId="1" type="noConversion"/>
  </si>
  <si>
    <t>선암에코하이츠103동1204호</t>
    <phoneticPr fontId="1" type="noConversion"/>
  </si>
  <si>
    <t>계좌이체</t>
    <phoneticPr fontId="1" type="noConversion"/>
  </si>
  <si>
    <t>유곡에뜰(무궁화)</t>
    <phoneticPr fontId="1" type="noConversion"/>
  </si>
  <si>
    <t>미입</t>
    <phoneticPr fontId="1" type="noConversion"/>
  </si>
  <si>
    <t>달동 힐스테이트</t>
    <phoneticPr fontId="1" type="noConversion"/>
  </si>
  <si>
    <t>3열 3단 시스템</t>
    <phoneticPr fontId="1" type="noConversion"/>
  </si>
  <si>
    <t>현금</t>
    <phoneticPr fontId="1" type="noConversion"/>
  </si>
  <si>
    <t>야음동 롯데캐슬102동601호</t>
    <phoneticPr fontId="1" type="noConversion"/>
  </si>
  <si>
    <t>계좌이체</t>
    <phoneticPr fontId="1" type="noConversion"/>
  </si>
  <si>
    <t>성안동 동남하이츠빌2차403호</t>
    <phoneticPr fontId="1" type="noConversion"/>
  </si>
  <si>
    <t>계좌이체</t>
    <phoneticPr fontId="1" type="noConversion"/>
  </si>
  <si>
    <t>태화동 중국집</t>
    <phoneticPr fontId="1" type="noConversion"/>
  </si>
  <si>
    <t>앵글</t>
    <phoneticPr fontId="1" type="noConversion"/>
  </si>
  <si>
    <t>앵글</t>
    <phoneticPr fontId="1" type="noConversion"/>
  </si>
  <si>
    <t>저온창고</t>
    <phoneticPr fontId="1" type="noConversion"/>
  </si>
  <si>
    <t>카드</t>
    <phoneticPr fontId="1" type="noConversion"/>
  </si>
  <si>
    <t>앵글</t>
    <phoneticPr fontId="1" type="noConversion"/>
  </si>
  <si>
    <t>재료포장</t>
    <phoneticPr fontId="1" type="noConversion"/>
  </si>
  <si>
    <t>야음신선아파트102동1513호</t>
    <phoneticPr fontId="1" type="noConversion"/>
  </si>
  <si>
    <t>시스템</t>
    <phoneticPr fontId="1" type="noConversion"/>
  </si>
  <si>
    <t>재료포장</t>
    <phoneticPr fontId="1" type="noConversion"/>
  </si>
  <si>
    <t>교회옆에 주택 1층 장농뒤</t>
    <phoneticPr fontId="1" type="noConversion"/>
  </si>
  <si>
    <t>시스템</t>
    <phoneticPr fontId="1" type="noConversion"/>
  </si>
  <si>
    <t>미입</t>
    <phoneticPr fontId="1" type="noConversion"/>
  </si>
  <si>
    <t>계좌이체</t>
    <phoneticPr fontId="1" type="noConversion"/>
  </si>
  <si>
    <t>재료포장</t>
    <phoneticPr fontId="1" type="noConversion"/>
  </si>
  <si>
    <t>진영동부아파트104동409호</t>
    <phoneticPr fontId="1" type="noConversion"/>
  </si>
  <si>
    <t>재료포장</t>
    <phoneticPr fontId="1" type="noConversion"/>
  </si>
  <si>
    <t>앵글</t>
    <phoneticPr fontId="1" type="noConversion"/>
  </si>
  <si>
    <t>시스템</t>
    <phoneticPr fontId="1" type="noConversion"/>
  </si>
  <si>
    <t>앵글</t>
    <phoneticPr fontId="1" type="noConversion"/>
  </si>
  <si>
    <t>재료포장</t>
    <phoneticPr fontId="1" type="noConversion"/>
  </si>
  <si>
    <t>시스템</t>
    <phoneticPr fontId="1" type="noConversion"/>
  </si>
  <si>
    <t>시스템</t>
    <phoneticPr fontId="1" type="noConversion"/>
  </si>
  <si>
    <t>시스템,커튼,블라인드</t>
    <phoneticPr fontId="1" type="noConversion"/>
  </si>
  <si>
    <t>계좌이체</t>
    <phoneticPr fontId="1" type="noConversion"/>
  </si>
  <si>
    <t>번영로 센트리지401동</t>
    <phoneticPr fontId="1" type="noConversion"/>
  </si>
  <si>
    <t>번영로센트리지502동201호</t>
    <phoneticPr fontId="1" type="noConversion"/>
  </si>
  <si>
    <t>앵글</t>
    <phoneticPr fontId="1" type="noConversion"/>
  </si>
  <si>
    <t>외동읍  방어북토길258-8</t>
    <phoneticPr fontId="1" type="noConversion"/>
  </si>
  <si>
    <t>유로캐슬1608호</t>
    <phoneticPr fontId="1" type="noConversion"/>
  </si>
  <si>
    <t>블라인드</t>
    <phoneticPr fontId="1" type="noConversion"/>
  </si>
  <si>
    <t>계좌이체</t>
    <phoneticPr fontId="1" type="noConversion"/>
  </si>
  <si>
    <t>카드</t>
    <phoneticPr fontId="1" type="noConversion"/>
  </si>
  <si>
    <t>야음롯데캐슬골드106동1002호</t>
    <phoneticPr fontId="1" type="noConversion"/>
  </si>
  <si>
    <t>반천현대107동1607호</t>
    <phoneticPr fontId="1" type="noConversion"/>
  </si>
  <si>
    <t>유로캐슬1608호</t>
    <phoneticPr fontId="1" type="noConversion"/>
  </si>
  <si>
    <t>계좌이체</t>
    <phoneticPr fontId="1" type="noConversion"/>
  </si>
  <si>
    <t>계좌이체</t>
    <phoneticPr fontId="1" type="noConversion"/>
  </si>
  <si>
    <t>계좌이체</t>
    <phoneticPr fontId="1" type="noConversion"/>
  </si>
  <si>
    <t>시스템</t>
    <phoneticPr fontId="1" type="noConversion"/>
  </si>
  <si>
    <t>경동청구</t>
    <phoneticPr fontId="1" type="noConversion"/>
  </si>
  <si>
    <t xml:space="preserve">대승시스템 북구 </t>
    <phoneticPr fontId="1" type="noConversion"/>
  </si>
  <si>
    <t>앵글</t>
    <phoneticPr fontId="1" type="noConversion"/>
  </si>
  <si>
    <t>계좌이체</t>
    <phoneticPr fontId="1" type="noConversion"/>
  </si>
  <si>
    <t>물류하는사장님</t>
    <phoneticPr fontId="1" type="noConversion"/>
  </si>
  <si>
    <t>중량렉</t>
    <phoneticPr fontId="1" type="noConversion"/>
  </si>
  <si>
    <t>재료포장</t>
    <phoneticPr fontId="1" type="noConversion"/>
  </si>
  <si>
    <t>미입</t>
    <phoneticPr fontId="1" type="noConversion"/>
  </si>
  <si>
    <t>시스템</t>
    <phoneticPr fontId="1" type="noConversion"/>
  </si>
  <si>
    <t>시스템</t>
    <phoneticPr fontId="1" type="noConversion"/>
  </si>
  <si>
    <t>계좌이체</t>
    <phoneticPr fontId="1" type="noConversion"/>
  </si>
  <si>
    <t>미입</t>
    <phoneticPr fontId="1" type="noConversion"/>
  </si>
  <si>
    <t>재료포장</t>
    <phoneticPr fontId="1" type="noConversion"/>
  </si>
  <si>
    <t>계좌이체</t>
    <phoneticPr fontId="1" type="noConversion"/>
  </si>
  <si>
    <t>앵글</t>
    <phoneticPr fontId="1" type="noConversion"/>
  </si>
  <si>
    <t>쌍용아진 214동603호</t>
    <phoneticPr fontId="1" type="noConversion"/>
  </si>
  <si>
    <t>ket</t>
    <phoneticPr fontId="1" type="noConversion"/>
  </si>
  <si>
    <t>앵글</t>
    <phoneticPr fontId="1" type="noConversion"/>
  </si>
  <si>
    <t>약사 레미안 304동305호</t>
    <phoneticPr fontId="1" type="noConversion"/>
  </si>
  <si>
    <t>시스템 팬트리</t>
    <phoneticPr fontId="1" type="noConversion"/>
  </si>
  <si>
    <t>미입</t>
    <phoneticPr fontId="1" type="noConversion"/>
  </si>
  <si>
    <t>상북 엔진오일공장</t>
    <phoneticPr fontId="1" type="noConversion"/>
  </si>
  <si>
    <t>리비에르210동102호</t>
    <phoneticPr fontId="1" type="noConversion"/>
  </si>
  <si>
    <t>계좌이체</t>
    <phoneticPr fontId="1" type="noConversion"/>
  </si>
  <si>
    <t>재료포장</t>
    <phoneticPr fontId="1" type="noConversion"/>
  </si>
  <si>
    <t>앵글</t>
    <phoneticPr fontId="1" type="noConversion"/>
  </si>
  <si>
    <t>덕하 에일린의뜰 2차 207동1204호</t>
    <phoneticPr fontId="1" type="noConversion"/>
  </si>
  <si>
    <t>시스템</t>
    <phoneticPr fontId="1" type="noConversion"/>
  </si>
  <si>
    <t>다윈 푸드</t>
    <phoneticPr fontId="1" type="noConversion"/>
  </si>
  <si>
    <t>다윈푸드</t>
    <phoneticPr fontId="1" type="noConversion"/>
  </si>
  <si>
    <t>미입</t>
    <phoneticPr fontId="1" type="noConversion"/>
  </si>
  <si>
    <t>미입</t>
    <phoneticPr fontId="1" type="noConversion"/>
  </si>
  <si>
    <t>시스템</t>
    <phoneticPr fontId="1" type="noConversion"/>
  </si>
  <si>
    <t>애글</t>
    <phoneticPr fontId="1" type="noConversion"/>
  </si>
  <si>
    <t>미입</t>
    <phoneticPr fontId="1" type="noConversion"/>
  </si>
  <si>
    <t>계좌이체</t>
    <phoneticPr fontId="1" type="noConversion"/>
  </si>
  <si>
    <t>삼산아트갤러리</t>
    <phoneticPr fontId="1" type="noConversion"/>
  </si>
  <si>
    <t>시스템</t>
    <phoneticPr fontId="1" type="noConversion"/>
  </si>
  <si>
    <t>굴화메르디앙</t>
    <phoneticPr fontId="1" type="noConversion"/>
  </si>
  <si>
    <t>미입</t>
    <phoneticPr fontId="1" type="noConversion"/>
  </si>
  <si>
    <t>시스템 펜트리</t>
    <phoneticPr fontId="1" type="noConversion"/>
  </si>
  <si>
    <t>재설치</t>
    <phoneticPr fontId="1" type="noConversion"/>
  </si>
  <si>
    <t>송정풍경채106동1403호</t>
    <phoneticPr fontId="1" type="noConversion"/>
  </si>
  <si>
    <t>카드</t>
    <phoneticPr fontId="1" type="noConversion"/>
  </si>
  <si>
    <t>시스템,앵글</t>
    <phoneticPr fontId="1" type="noConversion"/>
  </si>
  <si>
    <t>온양 이편한세상102동1702호</t>
    <phoneticPr fontId="1" type="noConversion"/>
  </si>
  <si>
    <t>우미린2차308동801호</t>
    <phoneticPr fontId="1" type="noConversion"/>
  </si>
  <si>
    <t>신천동 한라신천지아파트1009호</t>
    <phoneticPr fontId="1" type="noConversion"/>
  </si>
  <si>
    <t>시스템 해체작업</t>
    <phoneticPr fontId="1" type="noConversion"/>
  </si>
  <si>
    <t>010-3574-3043</t>
    <phoneticPr fontId="1" type="noConversion"/>
  </si>
  <si>
    <t>앵글</t>
    <phoneticPr fontId="1" type="noConversion"/>
  </si>
  <si>
    <t>1차전 6,860,300</t>
    <phoneticPr fontId="1" type="noConversion"/>
  </si>
  <si>
    <t>롯데 인베스가202동803호</t>
    <phoneticPr fontId="1" type="noConversion"/>
  </si>
  <si>
    <t>시스템</t>
    <phoneticPr fontId="1" type="noConversion"/>
  </si>
  <si>
    <t>계좌이체</t>
    <phoneticPr fontId="1" type="noConversion"/>
  </si>
  <si>
    <t>펜트리선반</t>
    <phoneticPr fontId="1" type="noConversion"/>
  </si>
  <si>
    <t>우정선경(온담)</t>
    <phoneticPr fontId="1" type="noConversion"/>
  </si>
  <si>
    <t>구영 푸르지오102동1805호</t>
    <phoneticPr fontId="1" type="noConversion"/>
  </si>
  <si>
    <t>시스템 펜트리</t>
    <phoneticPr fontId="1" type="noConversion"/>
  </si>
  <si>
    <t>미입</t>
    <phoneticPr fontId="1" type="noConversion"/>
  </si>
  <si>
    <t>천상빠리바게트</t>
    <phoneticPr fontId="1" type="noConversion"/>
  </si>
  <si>
    <t>구영리 토익학원</t>
    <phoneticPr fontId="1" type="noConversion"/>
  </si>
  <si>
    <t>앵글</t>
    <phoneticPr fontId="1" type="noConversion"/>
  </si>
  <si>
    <t>계좌이체</t>
    <phoneticPr fontId="1" type="noConversion"/>
  </si>
  <si>
    <t>카드</t>
    <phoneticPr fontId="1" type="noConversion"/>
  </si>
  <si>
    <t>재료포장</t>
    <phoneticPr fontId="1" type="noConversion"/>
  </si>
  <si>
    <t xml:space="preserve">앵글선반 </t>
    <phoneticPr fontId="1" type="noConversion"/>
  </si>
  <si>
    <t>카드</t>
    <phoneticPr fontId="1" type="noConversion"/>
  </si>
  <si>
    <t>재료포장</t>
    <phoneticPr fontId="1" type="noConversion"/>
  </si>
  <si>
    <t xml:space="preserve">앵글 </t>
    <phoneticPr fontId="1" type="noConversion"/>
  </si>
  <si>
    <t>현금</t>
    <phoneticPr fontId="1" type="noConversion"/>
  </si>
  <si>
    <t>합판</t>
    <phoneticPr fontId="1" type="noConversion"/>
  </si>
  <si>
    <t>신천지 무거한라1009호</t>
    <phoneticPr fontId="1" type="noConversion"/>
  </si>
  <si>
    <t>시스템 재설치</t>
    <phoneticPr fontId="1" type="noConversion"/>
  </si>
  <si>
    <t>계좌이체</t>
    <phoneticPr fontId="1" type="noConversion"/>
  </si>
  <si>
    <t>옥동삼익102동1602호</t>
    <phoneticPr fontId="1" type="noConversion"/>
  </si>
  <si>
    <t>시스템 펜트리</t>
    <phoneticPr fontId="1" type="noConversion"/>
  </si>
  <si>
    <t>계좌이체</t>
    <phoneticPr fontId="1" type="noConversion"/>
  </si>
  <si>
    <t>재료포장</t>
    <phoneticPr fontId="1" type="noConversion"/>
  </si>
  <si>
    <t>앵글</t>
    <phoneticPr fontId="1" type="noConversion"/>
  </si>
  <si>
    <t>현금</t>
    <phoneticPr fontId="1" type="noConversion"/>
  </si>
  <si>
    <t>복산아이파크(태범)</t>
    <phoneticPr fontId="1" type="noConversion"/>
  </si>
  <si>
    <t>시스템장</t>
    <phoneticPr fontId="1" type="noConversion"/>
  </si>
  <si>
    <t>미입</t>
    <phoneticPr fontId="1" type="noConversion"/>
  </si>
  <si>
    <t>2차전 7,544,000</t>
    <phoneticPr fontId="1" type="noConversion"/>
  </si>
  <si>
    <t>삼환나우빌</t>
    <phoneticPr fontId="1" type="noConversion"/>
  </si>
  <si>
    <t>재표포장</t>
    <phoneticPr fontId="1" type="noConversion"/>
  </si>
  <si>
    <t>앵글선반</t>
    <phoneticPr fontId="1" type="noConversion"/>
  </si>
  <si>
    <t>카드</t>
    <phoneticPr fontId="1" type="noConversion"/>
  </si>
  <si>
    <t>고려아연15동503호</t>
    <phoneticPr fontId="1" type="noConversion"/>
  </si>
  <si>
    <t>시스템 앵글</t>
    <phoneticPr fontId="1" type="noConversion"/>
  </si>
  <si>
    <t>계좌이체</t>
    <phoneticPr fontId="1" type="noConversion"/>
  </si>
  <si>
    <t>미입</t>
    <phoneticPr fontId="1" type="noConversion"/>
  </si>
  <si>
    <t>시스템 4공간 (태범이형님)</t>
    <phoneticPr fontId="1" type="noConversion"/>
  </si>
  <si>
    <t>계좌이체</t>
    <phoneticPr fontId="1" type="noConversion"/>
  </si>
  <si>
    <t>월드메르디앙</t>
    <phoneticPr fontId="1" type="noConversion"/>
  </si>
  <si>
    <t>태화동짜장면집</t>
    <phoneticPr fontId="1" type="noConversion"/>
  </si>
  <si>
    <t>계산서 발행완료</t>
    <phoneticPr fontId="1" type="noConversion"/>
  </si>
  <si>
    <t>미입</t>
    <phoneticPr fontId="1" type="noConversion"/>
  </si>
  <si>
    <t xml:space="preserve">시스템 </t>
    <phoneticPr fontId="1" type="noConversion"/>
  </si>
  <si>
    <t>계좌이체</t>
    <phoneticPr fontId="1" type="noConversion"/>
  </si>
  <si>
    <t>삼성달동아파트</t>
    <phoneticPr fontId="1" type="noConversion"/>
  </si>
  <si>
    <t>시스템</t>
    <phoneticPr fontId="1" type="noConversion"/>
  </si>
  <si>
    <t>계좌이체</t>
    <phoneticPr fontId="1" type="noConversion"/>
  </si>
  <si>
    <t>경남팰리스</t>
    <phoneticPr fontId="1" type="noConversion"/>
  </si>
  <si>
    <t>시스템</t>
    <phoneticPr fontId="1" type="noConversion"/>
  </si>
  <si>
    <t>재료배달</t>
    <phoneticPr fontId="1" type="noConversion"/>
  </si>
  <si>
    <t>앵글선반</t>
    <phoneticPr fontId="1" type="noConversion"/>
  </si>
  <si>
    <t>재료포장</t>
    <phoneticPr fontId="1" type="noConversion"/>
  </si>
  <si>
    <t>앵글선반</t>
    <phoneticPr fontId="1" type="noConversion"/>
  </si>
  <si>
    <t>계좌이체</t>
    <phoneticPr fontId="1" type="noConversion"/>
  </si>
  <si>
    <t>카드</t>
    <phoneticPr fontId="1" type="noConversion"/>
  </si>
  <si>
    <t>재료포장</t>
    <phoneticPr fontId="1" type="noConversion"/>
  </si>
  <si>
    <t>620 앵그 화이트</t>
    <phoneticPr fontId="1" type="noConversion"/>
  </si>
  <si>
    <t>앵글선반</t>
    <phoneticPr fontId="1" type="noConversion"/>
  </si>
  <si>
    <t>재료포장</t>
    <phoneticPr fontId="1" type="noConversion"/>
  </si>
  <si>
    <t>현금</t>
    <phoneticPr fontId="1" type="noConversion"/>
  </si>
  <si>
    <t>앵글선반</t>
    <phoneticPr fontId="1" type="noConversion"/>
  </si>
  <si>
    <t>풍경채103동205호</t>
    <phoneticPr fontId="1" type="noConversion"/>
  </si>
  <si>
    <t>신정푸르지오</t>
    <phoneticPr fontId="1" type="noConversion"/>
  </si>
  <si>
    <t>시스템 펜트리</t>
    <phoneticPr fontId="1" type="noConversion"/>
  </si>
  <si>
    <t>미입</t>
    <phoneticPr fontId="1" type="noConversion"/>
  </si>
  <si>
    <t>재료포장</t>
    <phoneticPr fontId="1" type="noConversion"/>
  </si>
  <si>
    <t>계산서발행</t>
    <phoneticPr fontId="1" type="noConversion"/>
  </si>
  <si>
    <t>앵글</t>
    <phoneticPr fontId="1" type="noConversion"/>
  </si>
  <si>
    <t>대현더샵</t>
    <phoneticPr fontId="1" type="noConversion"/>
  </si>
  <si>
    <t>재료포장</t>
    <phoneticPr fontId="1" type="noConversion"/>
  </si>
  <si>
    <t>앵글</t>
    <phoneticPr fontId="1" type="noConversion"/>
  </si>
  <si>
    <t>계좌이체</t>
    <phoneticPr fontId="1" type="noConversion"/>
  </si>
  <si>
    <t>계산서발행</t>
    <phoneticPr fontId="1" type="noConversion"/>
  </si>
  <si>
    <t>앵글 추가분</t>
    <phoneticPr fontId="1" type="noConversion"/>
  </si>
  <si>
    <t>카드</t>
    <phoneticPr fontId="1" type="noConversion"/>
  </si>
  <si>
    <t>재료포장</t>
    <phoneticPr fontId="1" type="noConversion"/>
  </si>
  <si>
    <t>대현더샵</t>
    <phoneticPr fontId="1" type="noConversion"/>
  </si>
  <si>
    <t>시스템</t>
    <phoneticPr fontId="1" type="noConversion"/>
  </si>
  <si>
    <t>미입</t>
    <phoneticPr fontId="1" type="noConversion"/>
  </si>
  <si>
    <t>미입</t>
    <phoneticPr fontId="1" type="noConversion"/>
  </si>
  <si>
    <t>성준이집</t>
    <phoneticPr fontId="1" type="noConversion"/>
  </si>
  <si>
    <t>삼산평창현대602-2101</t>
    <phoneticPr fontId="1" type="noConversion"/>
  </si>
  <si>
    <t>시스템</t>
    <phoneticPr fontId="1" type="noConversion"/>
  </si>
  <si>
    <t>2025년 12월  매출현황</t>
    <phoneticPr fontId="1" type="noConversion"/>
  </si>
  <si>
    <t>시스템</t>
    <phoneticPr fontId="1" type="noConversion"/>
  </si>
  <si>
    <t>계좌이체</t>
    <phoneticPr fontId="1" type="noConversion"/>
  </si>
  <si>
    <t>코리아에너지터미널</t>
    <phoneticPr fontId="1" type="noConversion"/>
  </si>
  <si>
    <t>앵글선반</t>
    <phoneticPr fontId="1" type="noConversion"/>
  </si>
  <si>
    <t>시스템</t>
    <phoneticPr fontId="1" type="noConversion"/>
  </si>
  <si>
    <t>미입</t>
    <phoneticPr fontId="1" type="noConversion"/>
  </si>
  <si>
    <t>주택 3층 금오디자인</t>
    <phoneticPr fontId="1" type="noConversion"/>
  </si>
  <si>
    <t>시스템</t>
    <phoneticPr fontId="1" type="noConversion"/>
  </si>
  <si>
    <t>서사프라디움시티9113동</t>
    <phoneticPr fontId="1" type="noConversion"/>
  </si>
  <si>
    <t>미입</t>
    <phoneticPr fontId="1" type="noConversion"/>
  </si>
  <si>
    <t>계좌이체</t>
    <phoneticPr fontId="1" type="noConversion"/>
  </si>
  <si>
    <t>계좌이체 계산서</t>
    <phoneticPr fontId="1" type="noConversion"/>
  </si>
  <si>
    <t>빌리브리버런트104동403호</t>
    <phoneticPr fontId="1" type="noConversion"/>
  </si>
  <si>
    <t>시스템 재설치</t>
    <phoneticPr fontId="1" type="noConversion"/>
  </si>
  <si>
    <t>계좌이체</t>
    <phoneticPr fontId="1" type="noConversion"/>
  </si>
  <si>
    <t>미입</t>
    <phoneticPr fontId="1" type="noConversion"/>
  </si>
  <si>
    <t>포항 해병대아파트</t>
    <phoneticPr fontId="1" type="noConversion"/>
  </si>
  <si>
    <t xml:space="preserve">경주 </t>
    <phoneticPr fontId="1" type="noConversion"/>
  </si>
  <si>
    <t>시스템 재료배달</t>
    <phoneticPr fontId="1" type="noConversion"/>
  </si>
  <si>
    <t>4차전 4,371,000</t>
    <phoneticPr fontId="1" type="noConversion"/>
  </si>
  <si>
    <t>펜트리장</t>
    <phoneticPr fontId="1" type="noConversion"/>
  </si>
  <si>
    <t>언양 옷가게</t>
    <phoneticPr fontId="1" type="noConversion"/>
  </si>
  <si>
    <t>앵글선반</t>
    <phoneticPr fontId="1" type="noConversion"/>
  </si>
  <si>
    <t>계좌이체</t>
    <phoneticPr fontId="1" type="noConversion"/>
  </si>
  <si>
    <t>시스템</t>
    <phoneticPr fontId="1" type="noConversion"/>
  </si>
  <si>
    <t>쌍용하나빌리지106-801</t>
    <phoneticPr fontId="1" type="noConversion"/>
  </si>
  <si>
    <t>현금</t>
    <phoneticPr fontId="1" type="noConversion"/>
  </si>
  <si>
    <t>계좌이체</t>
    <phoneticPr fontId="1" type="noConversion"/>
  </si>
  <si>
    <t>장현동 에일린의뜰</t>
    <phoneticPr fontId="1" type="noConversion"/>
  </si>
  <si>
    <t>시스템</t>
    <phoneticPr fontId="1" type="noConversion"/>
  </si>
  <si>
    <t>계좌이체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</si>
</sst>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mm&quot;월&quot;\ dd&quot;일&quot;"/>
    <numFmt numFmtId="177" formatCode="0.0"/>
  </numFmts>
  <fonts count="7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rgb="FFFFC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sz val="10"/>
      <color rgb="FF000000"/>
      <name val="-윤명조120"/>
      <family val="3"/>
      <charset val="129"/>
    </font>
    <font>
      <b/>
      <sz val="9"/>
      <color theme="7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20"/>
      <color theme="7"/>
      <name val="맑은 고딕"/>
      <family val="3"/>
      <charset val="129"/>
      <scheme val="minor"/>
    </font>
    <font>
      <b/>
      <sz val="9"/>
      <color rgb="FF002060"/>
      <name val="맑은 고딕"/>
      <family val="3"/>
      <charset val="129"/>
      <scheme val="minor"/>
    </font>
    <font>
      <b/>
      <sz val="9"/>
      <color rgb="FF7030A0"/>
      <name val="맑은 고딕"/>
      <family val="3"/>
      <charset val="129"/>
      <scheme val="minor"/>
    </font>
    <font>
      <b/>
      <sz val="9"/>
      <color rgb="FF00B0F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26"/>
      <color rgb="FFFF0000"/>
      <name val="맑은 고딕"/>
      <family val="3"/>
      <charset val="129"/>
      <scheme val="minor"/>
    </font>
    <font>
      <b/>
      <sz val="9"/>
      <color rgb="FF0070C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9"/>
      <color rgb="FFC00000"/>
      <name val="맑은 고딕"/>
      <family val="3"/>
      <charset val="129"/>
      <scheme val="minor"/>
    </font>
    <font>
      <b/>
      <sz val="36"/>
      <color rgb="FFFF0000"/>
      <name val="맑은 고딕"/>
      <family val="3"/>
      <charset val="129"/>
      <scheme val="minor"/>
    </font>
    <font>
      <b/>
      <sz val="9"/>
      <color theme="7" tint="-0.249977111117893"/>
      <name val="맑은 고딕"/>
      <family val="3"/>
      <charset val="129"/>
      <scheme val="minor"/>
    </font>
    <font>
      <b/>
      <sz val="9"/>
      <color rgb="FF00B050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24"/>
      <color rgb="FFFF0000"/>
      <name val="맑은 고딕"/>
      <family val="3"/>
      <charset val="129"/>
      <scheme val="minor"/>
    </font>
    <font>
      <b/>
      <sz val="22"/>
      <color rgb="FFFF0000"/>
      <name val="맑은 고딕"/>
      <family val="3"/>
      <charset val="129"/>
      <scheme val="minor"/>
    </font>
    <font>
      <b/>
      <sz val="18"/>
      <color rgb="FF00B05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20"/>
      <color rgb="FF0070C0"/>
      <name val="맑은 고딕"/>
      <family val="3"/>
      <charset val="129"/>
      <scheme val="minor"/>
    </font>
    <font>
      <b/>
      <sz val="22"/>
      <color rgb="FF0070C0"/>
      <name val="맑은 고딕"/>
      <family val="3"/>
      <charset val="129"/>
      <scheme val="minor"/>
    </font>
    <font>
      <b/>
      <sz val="16"/>
      <color theme="7" tint="-0.249977111117893"/>
      <name val="맑은 고딕"/>
      <family val="3"/>
      <charset val="129"/>
      <scheme val="minor"/>
    </font>
    <font>
      <b/>
      <sz val="14"/>
      <color rgb="FF00B05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8"/>
      <color theme="7" tint="-0.249977111117893"/>
      <name val="맑은 고딕"/>
      <family val="3"/>
      <charset val="129"/>
      <scheme val="minor"/>
    </font>
    <font>
      <b/>
      <sz val="16"/>
      <color rgb="FF00B050"/>
      <name val="맑은 고딕"/>
      <family val="3"/>
      <charset val="129"/>
      <scheme val="minor"/>
    </font>
    <font>
      <b/>
      <sz val="11"/>
      <color rgb="FFFF0000"/>
      <name val="Verdana"/>
      <family val="2"/>
    </font>
    <font>
      <b/>
      <sz val="24"/>
      <color rgb="FF0070C0"/>
      <name val="맑은 고딕"/>
      <family val="3"/>
      <charset val="129"/>
      <scheme val="minor"/>
    </font>
    <font>
      <b/>
      <sz val="18"/>
      <color rgb="FF0070C0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9"/>
      <color rgb="FFFFFF0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20"/>
      <color theme="7" tint="-0.249977111117893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8"/>
      <color rgb="FF000000"/>
      <name val="Arial"/>
      <family val="2"/>
    </font>
    <font>
      <b/>
      <sz val="18"/>
      <color rgb="FF0000FF"/>
      <name val="Arial"/>
      <family val="2"/>
    </font>
    <font>
      <b/>
      <sz val="18"/>
      <color rgb="FF2E64FE"/>
      <name val="Arial"/>
      <family val="2"/>
    </font>
    <font>
      <b/>
      <sz val="14"/>
      <color rgb="FF4488FF"/>
      <name val="Arial"/>
      <family val="2"/>
    </font>
    <font>
      <b/>
      <sz val="14"/>
      <color rgb="FF2E64FE"/>
      <name val="Arial"/>
      <family val="2"/>
    </font>
    <font>
      <sz val="10"/>
      <color rgb="FF2E2E2E"/>
      <name val="Arial"/>
      <family val="2"/>
    </font>
    <font>
      <b/>
      <sz val="11"/>
      <color rgb="FF000000"/>
      <name val="Arial"/>
      <family val="2"/>
    </font>
    <font>
      <b/>
      <sz val="12"/>
      <color rgb="FF2E64FE"/>
      <name val="Arial"/>
      <family val="2"/>
    </font>
    <font>
      <sz val="10"/>
      <color rgb="FF000000"/>
      <name val="Arial"/>
      <family val="2"/>
    </font>
    <font>
      <b/>
      <sz val="11"/>
      <color rgb="FFF03F08"/>
      <name val="Arial"/>
      <family val="2"/>
    </font>
    <font>
      <b/>
      <sz val="10"/>
      <color rgb="FF000000"/>
      <name val="Arial"/>
      <family val="2"/>
    </font>
    <font>
      <b/>
      <u/>
      <sz val="10"/>
      <color rgb="FF2E64FE"/>
      <name val="Arial"/>
      <family val="2"/>
    </font>
    <font>
      <b/>
      <sz val="14"/>
      <color rgb="FF4488FF"/>
      <name val="돋움"/>
      <family val="3"/>
      <charset val="129"/>
    </font>
    <font>
      <sz val="10"/>
      <color rgb="FF2E2E2E"/>
      <name val="돋움"/>
      <family val="3"/>
      <charset val="129"/>
    </font>
    <font>
      <b/>
      <sz val="9"/>
      <color theme="1" tint="4.9989318521683403E-2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</borders>
  <cellStyleXfs count="4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</cellStyleXfs>
  <cellXfs count="935">
    <xf numFmtId="0" fontId="0" fillId="0" borderId="0" xfId="0">
      <alignment vertical="center"/>
    </xf>
    <xf numFmtId="0" fontId="0" fillId="0" borderId="0" xfId="0" applyBorder="1">
      <alignment vertical="center"/>
    </xf>
    <xf numFmtId="41" fontId="0" fillId="0" borderId="0" xfId="0" applyNumberFormat="1" applyBorder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41" fontId="7" fillId="2" borderId="18" xfId="1" applyFont="1" applyFill="1" applyBorder="1">
      <alignment vertical="center"/>
    </xf>
    <xf numFmtId="0" fontId="7" fillId="2" borderId="19" xfId="0" applyFont="1" applyFill="1" applyBorder="1">
      <alignment vertical="center"/>
    </xf>
    <xf numFmtId="0" fontId="8" fillId="2" borderId="3" xfId="0" applyFont="1" applyFill="1" applyBorder="1" applyAlignment="1">
      <alignment horizontal="center" vertical="center"/>
    </xf>
    <xf numFmtId="41" fontId="7" fillId="2" borderId="1" xfId="1" applyFont="1" applyFill="1" applyBorder="1">
      <alignment vertical="center"/>
    </xf>
    <xf numFmtId="0" fontId="7" fillId="2" borderId="4" xfId="0" applyFont="1" applyFill="1" applyBorder="1">
      <alignment vertical="center"/>
    </xf>
    <xf numFmtId="177" fontId="7" fillId="2" borderId="4" xfId="0" applyNumberFormat="1" applyFont="1" applyFill="1" applyBorder="1">
      <alignment vertical="center"/>
    </xf>
    <xf numFmtId="0" fontId="8" fillId="2" borderId="5" xfId="0" applyFont="1" applyFill="1" applyBorder="1" applyAlignment="1">
      <alignment horizontal="center" vertical="center"/>
    </xf>
    <xf numFmtId="41" fontId="7" fillId="2" borderId="6" xfId="1" applyFont="1" applyFill="1" applyBorder="1">
      <alignment vertical="center"/>
    </xf>
    <xf numFmtId="0" fontId="7" fillId="2" borderId="7" xfId="0" applyFont="1" applyFill="1" applyBorder="1">
      <alignment vertical="center"/>
    </xf>
    <xf numFmtId="0" fontId="7" fillId="2" borderId="20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41" fontId="2" fillId="0" borderId="16" xfId="0" applyNumberFormat="1" applyFont="1" applyBorder="1" applyAlignment="1">
      <alignment horizontal="center" vertical="center"/>
    </xf>
    <xf numFmtId="41" fontId="2" fillId="0" borderId="31" xfId="0" applyNumberFormat="1" applyFont="1" applyBorder="1" applyAlignment="1">
      <alignment horizontal="center" vertical="center"/>
    </xf>
    <xf numFmtId="42" fontId="2" fillId="0" borderId="16" xfId="0" applyNumberFormat="1" applyFont="1" applyBorder="1" applyAlignment="1">
      <alignment vertical="center"/>
    </xf>
    <xf numFmtId="0" fontId="14" fillId="0" borderId="0" xfId="2">
      <alignment vertical="center"/>
    </xf>
    <xf numFmtId="0" fontId="16" fillId="0" borderId="0" xfId="0" applyFont="1" applyAlignment="1">
      <alignment horizontal="justify" vertical="center"/>
    </xf>
    <xf numFmtId="0" fontId="0" fillId="0" borderId="16" xfId="0" applyBorder="1" applyAlignment="1">
      <alignment horizontal="center" vertical="center"/>
    </xf>
    <xf numFmtId="1" fontId="0" fillId="0" borderId="0" xfId="0" applyNumberFormat="1">
      <alignment vertical="center"/>
    </xf>
    <xf numFmtId="0" fontId="0" fillId="0" borderId="3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1" fontId="0" fillId="0" borderId="8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>
      <alignment vertical="center"/>
    </xf>
    <xf numFmtId="0" fontId="11" fillId="2" borderId="0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0" fontId="15" fillId="5" borderId="0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horizontal="center" vertical="center"/>
    </xf>
    <xf numFmtId="0" fontId="11" fillId="7" borderId="0" xfId="0" applyFont="1" applyFill="1" applyBorder="1" applyAlignment="1">
      <alignment horizontal="center" vertical="center"/>
    </xf>
    <xf numFmtId="0" fontId="11" fillId="8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5" fillId="2" borderId="3" xfId="0" applyNumberFormat="1" applyFont="1" applyFill="1" applyBorder="1" applyAlignment="1">
      <alignment horizontal="center" vertical="center"/>
    </xf>
    <xf numFmtId="176" fontId="35" fillId="2" borderId="42" xfId="0" applyNumberFormat="1" applyFont="1" applyFill="1" applyBorder="1" applyAlignment="1">
      <alignment vertical="center"/>
    </xf>
    <xf numFmtId="176" fontId="35" fillId="2" borderId="30" xfId="0" applyNumberFormat="1" applyFont="1" applyFill="1" applyBorder="1" applyAlignment="1">
      <alignment vertical="center"/>
    </xf>
    <xf numFmtId="176" fontId="35" fillId="2" borderId="41" xfId="0" applyNumberFormat="1" applyFont="1" applyFill="1" applyBorder="1" applyAlignment="1">
      <alignment vertical="center"/>
    </xf>
    <xf numFmtId="42" fontId="0" fillId="0" borderId="0" xfId="3" applyFont="1">
      <alignment vertical="center"/>
    </xf>
    <xf numFmtId="0" fontId="5" fillId="2" borderId="3" xfId="0" applyNumberFormat="1" applyFont="1" applyFill="1" applyBorder="1" applyAlignment="1">
      <alignment horizontal="center" vertical="center"/>
    </xf>
    <xf numFmtId="41" fontId="5" fillId="2" borderId="23" xfId="0" applyNumberFormat="1" applyFont="1" applyFill="1" applyBorder="1" applyAlignment="1">
      <alignment horizontal="center" vertical="center"/>
    </xf>
    <xf numFmtId="0" fontId="33" fillId="2" borderId="23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23" xfId="0" applyNumberFormat="1" applyFont="1" applyFill="1" applyBorder="1" applyAlignment="1">
      <alignment horizontal="center" vertical="center"/>
    </xf>
    <xf numFmtId="3" fontId="46" fillId="0" borderId="0" xfId="0" applyNumberFormat="1" applyFont="1">
      <alignment vertical="center"/>
    </xf>
    <xf numFmtId="176" fontId="5" fillId="2" borderId="9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23" xfId="0" applyNumberFormat="1" applyFont="1" applyFill="1" applyBorder="1" applyAlignment="1">
      <alignment horizontal="center" vertical="center"/>
    </xf>
    <xf numFmtId="0" fontId="5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23" xfId="0" applyNumberFormat="1" applyFont="1" applyFill="1" applyBorder="1" applyAlignment="1">
      <alignment horizontal="center" vertical="center"/>
    </xf>
    <xf numFmtId="0" fontId="33" fillId="2" borderId="23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/>
    </xf>
    <xf numFmtId="41" fontId="0" fillId="0" borderId="0" xfId="1" applyFont="1">
      <alignment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23" xfId="0" applyNumberFormat="1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23" xfId="0" applyNumberFormat="1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5" fillId="2" borderId="3" xfId="0" applyNumberFormat="1" applyFont="1" applyFill="1" applyBorder="1" applyAlignment="1">
      <alignment horizontal="center" vertical="center"/>
    </xf>
    <xf numFmtId="0" fontId="5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23" xfId="0" applyNumberFormat="1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41" fontId="5" fillId="2" borderId="34" xfId="0" applyNumberFormat="1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32" xfId="0" applyNumberFormat="1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41" fontId="5" fillId="2" borderId="34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41" fontId="5" fillId="2" borderId="23" xfId="0" applyNumberFormat="1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76" fontId="5" fillId="2" borderId="32" xfId="0" applyNumberFormat="1" applyFont="1" applyFill="1" applyBorder="1" applyAlignment="1">
      <alignment horizontal="center" vertical="center"/>
    </xf>
    <xf numFmtId="176" fontId="5" fillId="2" borderId="32" xfId="0" applyNumberFormat="1" applyFont="1" applyFill="1" applyBorder="1" applyAlignment="1">
      <alignment horizontal="center" vertical="center"/>
    </xf>
    <xf numFmtId="41" fontId="5" fillId="2" borderId="34" xfId="0" applyNumberFormat="1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41" fontId="5" fillId="2" borderId="18" xfId="0" applyNumberFormat="1" applyFont="1" applyFill="1" applyBorder="1" applyAlignment="1">
      <alignment horizontal="center" vertical="center"/>
    </xf>
    <xf numFmtId="0" fontId="26" fillId="2" borderId="18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 wrapText="1"/>
    </xf>
    <xf numFmtId="42" fontId="54" fillId="0" borderId="16" xfId="0" applyNumberFormat="1" applyFont="1" applyBorder="1" applyAlignment="1">
      <alignment vertical="center"/>
    </xf>
    <xf numFmtId="176" fontId="5" fillId="2" borderId="3" xfId="0" applyNumberFormat="1" applyFont="1" applyFill="1" applyBorder="1" applyAlignment="1">
      <alignment horizontal="center" vertical="center"/>
    </xf>
    <xf numFmtId="176" fontId="5" fillId="2" borderId="32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41" fontId="5" fillId="2" borderId="34" xfId="0" applyNumberFormat="1" applyFont="1" applyFill="1" applyBorder="1" applyAlignment="1">
      <alignment horizontal="center" vertical="center"/>
    </xf>
    <xf numFmtId="41" fontId="5" fillId="2" borderId="18" xfId="0" applyNumberFormat="1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26" fillId="2" borderId="18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/>
    </xf>
    <xf numFmtId="42" fontId="0" fillId="0" borderId="0" xfId="3" applyFont="1" applyFill="1" applyBorder="1">
      <alignment vertical="center"/>
    </xf>
    <xf numFmtId="176" fontId="5" fillId="2" borderId="3" xfId="0" applyNumberFormat="1" applyFont="1" applyFill="1" applyBorder="1" applyAlignment="1">
      <alignment horizontal="center" vertical="center"/>
    </xf>
    <xf numFmtId="176" fontId="5" fillId="2" borderId="32" xfId="0" applyNumberFormat="1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176" fontId="5" fillId="2" borderId="32" xfId="0" applyNumberFormat="1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41" fontId="5" fillId="2" borderId="34" xfId="0" applyNumberFormat="1" applyFont="1" applyFill="1" applyBorder="1" applyAlignment="1">
      <alignment horizontal="center" vertical="center"/>
    </xf>
    <xf numFmtId="41" fontId="5" fillId="2" borderId="18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26" fillId="2" borderId="18" xfId="0" applyFont="1" applyFill="1" applyBorder="1" applyAlignment="1">
      <alignment horizontal="center" vertical="center" wrapText="1"/>
    </xf>
    <xf numFmtId="0" fontId="5" fillId="0" borderId="17" xfId="0" applyNumberFormat="1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41" fontId="5" fillId="2" borderId="18" xfId="0" applyNumberFormat="1" applyFont="1" applyFill="1" applyBorder="1" applyAlignment="1">
      <alignment horizontal="center" vertical="center"/>
    </xf>
    <xf numFmtId="0" fontId="26" fillId="2" borderId="18" xfId="0" applyFont="1" applyFill="1" applyBorder="1" applyAlignment="1">
      <alignment horizontal="center" vertical="center" wrapText="1"/>
    </xf>
    <xf numFmtId="176" fontId="5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1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41" fontId="5" fillId="2" borderId="18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1" xfId="0" applyNumberFormat="1" applyFont="1" applyFill="1" applyBorder="1" applyAlignment="1">
      <alignment horizontal="center" vertical="center"/>
    </xf>
    <xf numFmtId="0" fontId="26" fillId="2" borderId="18" xfId="0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5" fillId="2" borderId="4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42" fontId="27" fillId="0" borderId="0" xfId="3" applyFont="1">
      <alignment vertical="center"/>
    </xf>
    <xf numFmtId="176" fontId="5" fillId="2" borderId="3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41" fontId="5" fillId="2" borderId="18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1" xfId="0" applyNumberFormat="1" applyFont="1" applyFill="1" applyBorder="1" applyAlignment="1">
      <alignment horizontal="center" vertical="center"/>
    </xf>
    <xf numFmtId="0" fontId="26" fillId="2" borderId="18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1" fontId="5" fillId="2" borderId="1" xfId="0" applyNumberFormat="1" applyFont="1" applyFill="1" applyBorder="1" applyAlignment="1">
      <alignment horizontal="center" vertical="center"/>
    </xf>
    <xf numFmtId="176" fontId="5" fillId="0" borderId="3" xfId="0" applyNumberFormat="1" applyFont="1" applyFill="1" applyBorder="1" applyAlignment="1">
      <alignment horizontal="center" vertical="center"/>
    </xf>
    <xf numFmtId="42" fontId="0" fillId="0" borderId="0" xfId="0" applyNumberFormat="1">
      <alignment vertical="center"/>
    </xf>
    <xf numFmtId="0" fontId="5" fillId="2" borderId="4" xfId="0" applyFont="1" applyFill="1" applyBorder="1" applyAlignment="1">
      <alignment horizontal="center" vertical="center"/>
    </xf>
    <xf numFmtId="176" fontId="5" fillId="0" borderId="3" xfId="0" applyNumberFormat="1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1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41" fontId="5" fillId="2" borderId="18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6" fillId="2" borderId="18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8" fillId="0" borderId="0" xfId="0" applyFont="1" applyAlignment="1">
      <alignment vertical="center" wrapText="1"/>
    </xf>
    <xf numFmtId="0" fontId="60" fillId="0" borderId="48" xfId="0" applyFont="1" applyBorder="1" applyAlignment="1">
      <alignment horizontal="left" vertical="center" wrapText="1" indent="1"/>
    </xf>
    <xf numFmtId="0" fontId="64" fillId="0" borderId="0" xfId="0" applyFont="1" applyAlignment="1">
      <alignment horizontal="left" vertical="center" wrapText="1" indent="1"/>
    </xf>
    <xf numFmtId="0" fontId="63" fillId="0" borderId="0" xfId="0" applyFont="1" applyAlignment="1">
      <alignment horizontal="left" vertical="center" wrapText="1" indent="2"/>
    </xf>
    <xf numFmtId="0" fontId="60" fillId="0" borderId="48" xfId="0" applyFont="1" applyBorder="1" applyAlignment="1">
      <alignment vertical="center" wrapText="1"/>
    </xf>
    <xf numFmtId="176" fontId="5" fillId="0" borderId="3" xfId="0" applyNumberFormat="1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1" fontId="5" fillId="2" borderId="1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41" fontId="5" fillId="2" borderId="18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6" fillId="2" borderId="1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41" fontId="5" fillId="2" borderId="18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1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41" fontId="5" fillId="2" borderId="18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2" fontId="27" fillId="0" borderId="0" xfId="0" applyNumberFormat="1" applyFont="1">
      <alignment vertical="center"/>
    </xf>
    <xf numFmtId="176" fontId="5" fillId="2" borderId="3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41" fontId="5" fillId="2" borderId="18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1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41" fontId="5" fillId="2" borderId="18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1" xfId="0" applyNumberFormat="1" applyFont="1" applyFill="1" applyBorder="1" applyAlignment="1">
      <alignment horizontal="center" vertical="center"/>
    </xf>
    <xf numFmtId="176" fontId="5" fillId="0" borderId="3" xfId="0" applyNumberFormat="1" applyFont="1" applyFill="1" applyBorder="1" applyAlignment="1">
      <alignment horizontal="center" vertical="center"/>
    </xf>
    <xf numFmtId="176" fontId="5" fillId="0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1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41" fontId="5" fillId="2" borderId="18" xfId="0" applyNumberFormat="1" applyFont="1" applyFill="1" applyBorder="1" applyAlignment="1">
      <alignment horizontal="center" vertical="center"/>
    </xf>
    <xf numFmtId="176" fontId="5" fillId="0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76" fontId="5" fillId="2" borderId="3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41" fontId="5" fillId="2" borderId="18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76" fontId="5" fillId="0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1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41" fontId="5" fillId="2" borderId="18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76" fontId="5" fillId="0" borderId="3" xfId="0" applyNumberFormat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176" fontId="5" fillId="0" borderId="3" xfId="0" applyNumberFormat="1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1" fontId="5" fillId="2" borderId="1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41" fontId="5" fillId="2" borderId="18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41" fontId="5" fillId="2" borderId="18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76" fontId="5" fillId="0" borderId="3" xfId="0" applyNumberFormat="1" applyFont="1" applyFill="1" applyBorder="1" applyAlignment="1">
      <alignment horizontal="center" vertical="center"/>
    </xf>
    <xf numFmtId="0" fontId="11" fillId="2" borderId="47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76" fontId="5" fillId="0" borderId="3" xfId="0" applyNumberFormat="1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41" fontId="5" fillId="2" borderId="18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1" fontId="5" fillId="2" borderId="1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76" fontId="5" fillId="0" borderId="3" xfId="0" applyNumberFormat="1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1" fontId="5" fillId="2" borderId="1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41" fontId="5" fillId="2" borderId="18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1" fontId="5" fillId="2" borderId="1" xfId="0" applyNumberFormat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41" fontId="5" fillId="2" borderId="18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10" xfId="0" applyNumberFormat="1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/>
    </xf>
    <xf numFmtId="0" fontId="5" fillId="0" borderId="5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41" fontId="5" fillId="0" borderId="1" xfId="0" applyNumberFormat="1" applyFont="1" applyFill="1" applyBorder="1" applyAlignment="1">
      <alignment horizontal="center" vertical="center"/>
    </xf>
    <xf numFmtId="41" fontId="5" fillId="0" borderId="6" xfId="0" applyNumberFormat="1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176" fontId="5" fillId="0" borderId="3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1" fontId="5" fillId="0" borderId="22" xfId="0" applyNumberFormat="1" applyFont="1" applyFill="1" applyBorder="1" applyAlignment="1">
      <alignment horizontal="center" vertical="center" wrapText="1"/>
    </xf>
    <xf numFmtId="41" fontId="5" fillId="0" borderId="23" xfId="0" applyNumberFormat="1" applyFont="1" applyFill="1" applyBorder="1" applyAlignment="1">
      <alignment horizontal="center" vertical="center"/>
    </xf>
    <xf numFmtId="41" fontId="5" fillId="0" borderId="24" xfId="0" applyNumberFormat="1" applyFont="1" applyFill="1" applyBorder="1" applyAlignment="1">
      <alignment horizontal="center" vertical="center"/>
    </xf>
    <xf numFmtId="41" fontId="5" fillId="0" borderId="25" xfId="0" applyNumberFormat="1" applyFont="1" applyFill="1" applyBorder="1" applyAlignment="1">
      <alignment horizontal="center" vertical="center"/>
    </xf>
    <xf numFmtId="41" fontId="5" fillId="0" borderId="26" xfId="0" applyNumberFormat="1" applyFont="1" applyFill="1" applyBorder="1" applyAlignment="1">
      <alignment horizontal="center" vertical="center"/>
    </xf>
    <xf numFmtId="41" fontId="5" fillId="0" borderId="27" xfId="0" applyNumberFormat="1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 wrapText="1"/>
    </xf>
    <xf numFmtId="176" fontId="5" fillId="2" borderId="3" xfId="0" applyNumberFormat="1" applyFont="1" applyFill="1" applyBorder="1" applyAlignment="1">
      <alignment horizontal="center" vertical="center"/>
    </xf>
    <xf numFmtId="0" fontId="5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1" fontId="5" fillId="2" borderId="1" xfId="0" applyNumberFormat="1" applyFont="1" applyFill="1" applyBorder="1" applyAlignment="1">
      <alignment horizontal="center" vertical="center"/>
    </xf>
    <xf numFmtId="41" fontId="5" fillId="2" borderId="22" xfId="0" applyNumberFormat="1" applyFont="1" applyFill="1" applyBorder="1" applyAlignment="1">
      <alignment horizontal="center" vertical="center" wrapText="1"/>
    </xf>
    <xf numFmtId="41" fontId="5" fillId="2" borderId="23" xfId="0" applyNumberFormat="1" applyFont="1" applyFill="1" applyBorder="1" applyAlignment="1">
      <alignment horizontal="center" vertical="center"/>
    </xf>
    <xf numFmtId="41" fontId="5" fillId="2" borderId="24" xfId="0" applyNumberFormat="1" applyFont="1" applyFill="1" applyBorder="1" applyAlignment="1">
      <alignment horizontal="center" vertical="center"/>
    </xf>
    <xf numFmtId="41" fontId="5" fillId="2" borderId="25" xfId="0" applyNumberFormat="1" applyFont="1" applyFill="1" applyBorder="1" applyAlignment="1">
      <alignment horizontal="center" vertical="center"/>
    </xf>
    <xf numFmtId="41" fontId="5" fillId="2" borderId="26" xfId="0" applyNumberFormat="1" applyFont="1" applyFill="1" applyBorder="1" applyAlignment="1">
      <alignment horizontal="center" vertical="center"/>
    </xf>
    <xf numFmtId="41" fontId="5" fillId="2" borderId="27" xfId="0" applyNumberFormat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 wrapText="1"/>
    </xf>
    <xf numFmtId="176" fontId="5" fillId="2" borderId="32" xfId="0" applyNumberFormat="1" applyFont="1" applyFill="1" applyBorder="1" applyAlignment="1">
      <alignment horizontal="center" vertical="center"/>
    </xf>
    <xf numFmtId="176" fontId="5" fillId="2" borderId="17" xfId="0" applyNumberFormat="1" applyFont="1" applyFill="1" applyBorder="1" applyAlignment="1">
      <alignment horizontal="center" vertical="center"/>
    </xf>
    <xf numFmtId="41" fontId="5" fillId="2" borderId="1" xfId="0" applyNumberFormat="1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176" fontId="5" fillId="2" borderId="9" xfId="0" applyNumberFormat="1" applyFont="1" applyFill="1" applyBorder="1" applyAlignment="1">
      <alignment horizontal="center" vertical="center"/>
    </xf>
    <xf numFmtId="0" fontId="5" fillId="2" borderId="17" xfId="0" applyNumberFormat="1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41" fontId="5" fillId="2" borderId="34" xfId="0" applyNumberFormat="1" applyFont="1" applyFill="1" applyBorder="1" applyAlignment="1">
      <alignment horizontal="center" vertical="center"/>
    </xf>
    <xf numFmtId="41" fontId="5" fillId="2" borderId="18" xfId="0" applyNumberFormat="1" applyFont="1" applyFill="1" applyBorder="1" applyAlignment="1">
      <alignment horizontal="center" vertical="center"/>
    </xf>
    <xf numFmtId="41" fontId="5" fillId="2" borderId="23" xfId="0" applyNumberFormat="1" applyFont="1" applyFill="1" applyBorder="1" applyAlignment="1">
      <alignment horizontal="center" vertical="center" wrapText="1"/>
    </xf>
    <xf numFmtId="41" fontId="5" fillId="2" borderId="24" xfId="0" applyNumberFormat="1" applyFont="1" applyFill="1" applyBorder="1" applyAlignment="1">
      <alignment horizontal="center" vertical="center" wrapText="1"/>
    </xf>
    <xf numFmtId="41" fontId="5" fillId="2" borderId="25" xfId="0" applyNumberFormat="1" applyFont="1" applyFill="1" applyBorder="1" applyAlignment="1">
      <alignment horizontal="center" vertical="center" wrapText="1"/>
    </xf>
    <xf numFmtId="41" fontId="5" fillId="2" borderId="26" xfId="0" applyNumberFormat="1" applyFont="1" applyFill="1" applyBorder="1" applyAlignment="1">
      <alignment horizontal="center" vertical="center" wrapText="1"/>
    </xf>
    <xf numFmtId="41" fontId="5" fillId="2" borderId="27" xfId="0" applyNumberFormat="1" applyFont="1" applyFill="1" applyBorder="1" applyAlignment="1">
      <alignment horizontal="center" vertical="center" wrapText="1"/>
    </xf>
    <xf numFmtId="0" fontId="11" fillId="2" borderId="33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32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/>
    </xf>
    <xf numFmtId="41" fontId="5" fillId="2" borderId="10" xfId="0" applyNumberFormat="1" applyFont="1" applyFill="1" applyBorder="1" applyAlignment="1">
      <alignment horizontal="center" vertical="center"/>
    </xf>
    <xf numFmtId="41" fontId="5" fillId="2" borderId="28" xfId="0" applyNumberFormat="1" applyFont="1" applyFill="1" applyBorder="1" applyAlignment="1">
      <alignment horizontal="center" vertical="center" wrapText="1"/>
    </xf>
    <xf numFmtId="41" fontId="5" fillId="2" borderId="0" xfId="0" applyNumberFormat="1" applyFont="1" applyFill="1" applyBorder="1" applyAlignment="1">
      <alignment horizontal="center" vertical="center" wrapText="1"/>
    </xf>
    <xf numFmtId="41" fontId="5" fillId="2" borderId="29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41" fontId="10" fillId="2" borderId="22" xfId="0" applyNumberFormat="1" applyFont="1" applyFill="1" applyBorder="1" applyAlignment="1">
      <alignment horizontal="center" vertical="center" wrapText="1"/>
    </xf>
    <xf numFmtId="41" fontId="10" fillId="2" borderId="23" xfId="0" applyNumberFormat="1" applyFont="1" applyFill="1" applyBorder="1" applyAlignment="1">
      <alignment horizontal="center" vertical="center" wrapText="1"/>
    </xf>
    <xf numFmtId="41" fontId="10" fillId="2" borderId="24" xfId="0" applyNumberFormat="1" applyFont="1" applyFill="1" applyBorder="1" applyAlignment="1">
      <alignment horizontal="center" vertical="center" wrapText="1"/>
    </xf>
    <xf numFmtId="41" fontId="10" fillId="2" borderId="25" xfId="0" applyNumberFormat="1" applyFont="1" applyFill="1" applyBorder="1" applyAlignment="1">
      <alignment horizontal="center" vertical="center" wrapText="1"/>
    </xf>
    <xf numFmtId="41" fontId="10" fillId="2" borderId="26" xfId="0" applyNumberFormat="1" applyFont="1" applyFill="1" applyBorder="1" applyAlignment="1">
      <alignment horizontal="center" vertical="center" wrapText="1"/>
    </xf>
    <xf numFmtId="41" fontId="10" fillId="2" borderId="27" xfId="0" applyNumberFormat="1" applyFont="1" applyFill="1" applyBorder="1" applyAlignment="1">
      <alignment horizontal="center" vertical="center" wrapText="1"/>
    </xf>
    <xf numFmtId="176" fontId="5" fillId="2" borderId="2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/>
    </xf>
    <xf numFmtId="41" fontId="0" fillId="0" borderId="14" xfId="0" applyNumberFormat="1" applyBorder="1" applyAlignment="1">
      <alignment horizontal="center" vertical="center"/>
    </xf>
    <xf numFmtId="41" fontId="0" fillId="0" borderId="15" xfId="0" applyNumberFormat="1" applyBorder="1" applyAlignment="1">
      <alignment horizontal="center" vertical="center"/>
    </xf>
    <xf numFmtId="41" fontId="0" fillId="0" borderId="12" xfId="0" applyNumberForma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 wrapText="1"/>
    </xf>
    <xf numFmtId="0" fontId="11" fillId="2" borderId="36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34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/>
    </xf>
    <xf numFmtId="0" fontId="21" fillId="2" borderId="34" xfId="0" applyFont="1" applyFill="1" applyBorder="1" applyAlignment="1">
      <alignment horizontal="center" vertical="center" wrapText="1"/>
    </xf>
    <xf numFmtId="0" fontId="21" fillId="2" borderId="18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22" fillId="2" borderId="34" xfId="0" applyFont="1" applyFill="1" applyBorder="1" applyAlignment="1">
      <alignment horizontal="center" vertical="center" wrapText="1"/>
    </xf>
    <xf numFmtId="0" fontId="22" fillId="2" borderId="18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23" fillId="2" borderId="38" xfId="0" applyNumberFormat="1" applyFont="1" applyFill="1" applyBorder="1" applyAlignment="1">
      <alignment horizontal="center" vertical="center"/>
    </xf>
    <xf numFmtId="0" fontId="23" fillId="2" borderId="39" xfId="0" applyNumberFormat="1" applyFont="1" applyFill="1" applyBorder="1" applyAlignment="1">
      <alignment horizontal="center" vertical="center"/>
    </xf>
    <xf numFmtId="0" fontId="23" fillId="2" borderId="40" xfId="0" applyNumberFormat="1" applyFont="1" applyFill="1" applyBorder="1" applyAlignment="1">
      <alignment horizontal="center" vertical="center"/>
    </xf>
    <xf numFmtId="0" fontId="20" fillId="2" borderId="34" xfId="0" applyFont="1" applyFill="1" applyBorder="1" applyAlignment="1">
      <alignment horizontal="center" vertical="center" wrapText="1"/>
    </xf>
    <xf numFmtId="0" fontId="20" fillId="2" borderId="18" xfId="0" applyFont="1" applyFill="1" applyBorder="1" applyAlignment="1">
      <alignment horizontal="center" vertical="center" wrapText="1"/>
    </xf>
    <xf numFmtId="41" fontId="25" fillId="2" borderId="42" xfId="0" applyNumberFormat="1" applyFont="1" applyFill="1" applyBorder="1" applyAlignment="1">
      <alignment horizontal="center" vertical="center"/>
    </xf>
    <xf numFmtId="41" fontId="11" fillId="2" borderId="23" xfId="0" applyNumberFormat="1" applyFont="1" applyFill="1" applyBorder="1" applyAlignment="1">
      <alignment horizontal="center" vertical="center"/>
    </xf>
    <xf numFmtId="41" fontId="11" fillId="2" borderId="43" xfId="0" applyNumberFormat="1" applyFont="1" applyFill="1" applyBorder="1" applyAlignment="1">
      <alignment horizontal="center" vertical="center"/>
    </xf>
    <xf numFmtId="41" fontId="11" fillId="2" borderId="41" xfId="0" applyNumberFormat="1" applyFont="1" applyFill="1" applyBorder="1" applyAlignment="1">
      <alignment horizontal="center" vertical="center"/>
    </xf>
    <xf numFmtId="41" fontId="11" fillId="2" borderId="26" xfId="0" applyNumberFormat="1" applyFont="1" applyFill="1" applyBorder="1" applyAlignment="1">
      <alignment horizontal="center" vertical="center"/>
    </xf>
    <xf numFmtId="41" fontId="11" fillId="2" borderId="36" xfId="0" applyNumberFormat="1" applyFont="1" applyFill="1" applyBorder="1" applyAlignment="1">
      <alignment horizontal="center" vertical="center"/>
    </xf>
    <xf numFmtId="0" fontId="24" fillId="2" borderId="38" xfId="0" applyNumberFormat="1" applyFont="1" applyFill="1" applyBorder="1" applyAlignment="1">
      <alignment horizontal="center" vertical="center"/>
    </xf>
    <xf numFmtId="176" fontId="23" fillId="2" borderId="42" xfId="0" applyNumberFormat="1" applyFont="1" applyFill="1" applyBorder="1" applyAlignment="1">
      <alignment horizontal="center" vertical="center"/>
    </xf>
    <xf numFmtId="176" fontId="23" fillId="2" borderId="23" xfId="0" applyNumberFormat="1" applyFont="1" applyFill="1" applyBorder="1" applyAlignment="1">
      <alignment horizontal="center" vertical="center"/>
    </xf>
    <xf numFmtId="176" fontId="23" fillId="2" borderId="43" xfId="0" applyNumberFormat="1" applyFont="1" applyFill="1" applyBorder="1" applyAlignment="1">
      <alignment horizontal="center" vertical="center"/>
    </xf>
    <xf numFmtId="176" fontId="23" fillId="2" borderId="41" xfId="0" applyNumberFormat="1" applyFont="1" applyFill="1" applyBorder="1" applyAlignment="1">
      <alignment horizontal="center" vertical="center"/>
    </xf>
    <xf numFmtId="176" fontId="23" fillId="2" borderId="26" xfId="0" applyNumberFormat="1" applyFont="1" applyFill="1" applyBorder="1" applyAlignment="1">
      <alignment horizontal="center" vertical="center"/>
    </xf>
    <xf numFmtId="176" fontId="23" fillId="2" borderId="36" xfId="0" applyNumberFormat="1" applyFont="1" applyFill="1" applyBorder="1" applyAlignment="1">
      <alignment horizontal="center" vertical="center"/>
    </xf>
    <xf numFmtId="0" fontId="23" fillId="0" borderId="41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26" fillId="2" borderId="34" xfId="0" applyFont="1" applyFill="1" applyBorder="1" applyAlignment="1">
      <alignment horizontal="center" vertical="center" wrapText="1"/>
    </xf>
    <xf numFmtId="0" fontId="26" fillId="2" borderId="18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/>
    </xf>
    <xf numFmtId="176" fontId="24" fillId="2" borderId="42" xfId="0" applyNumberFormat="1" applyFont="1" applyFill="1" applyBorder="1" applyAlignment="1">
      <alignment horizontal="center" vertical="center"/>
    </xf>
    <xf numFmtId="176" fontId="24" fillId="2" borderId="41" xfId="0" applyNumberFormat="1" applyFont="1" applyFill="1" applyBorder="1" applyAlignment="1">
      <alignment horizontal="center" vertical="center"/>
    </xf>
    <xf numFmtId="176" fontId="24" fillId="2" borderId="23" xfId="0" applyNumberFormat="1" applyFont="1" applyFill="1" applyBorder="1" applyAlignment="1">
      <alignment horizontal="center" vertical="center"/>
    </xf>
    <xf numFmtId="176" fontId="24" fillId="2" borderId="43" xfId="0" applyNumberFormat="1" applyFont="1" applyFill="1" applyBorder="1" applyAlignment="1">
      <alignment horizontal="center" vertical="center"/>
    </xf>
    <xf numFmtId="176" fontId="24" fillId="2" borderId="26" xfId="0" applyNumberFormat="1" applyFont="1" applyFill="1" applyBorder="1" applyAlignment="1">
      <alignment horizontal="center" vertical="center"/>
    </xf>
    <xf numFmtId="176" fontId="24" fillId="2" borderId="36" xfId="0" applyNumberFormat="1" applyFont="1" applyFill="1" applyBorder="1" applyAlignment="1">
      <alignment horizontal="center" vertical="center"/>
    </xf>
    <xf numFmtId="176" fontId="24" fillId="2" borderId="42" xfId="0" applyNumberFormat="1" applyFont="1" applyFill="1" applyBorder="1" applyAlignment="1">
      <alignment horizontal="center" vertical="center" wrapText="1"/>
    </xf>
    <xf numFmtId="176" fontId="24" fillId="2" borderId="41" xfId="0" applyNumberFormat="1" applyFont="1" applyFill="1" applyBorder="1" applyAlignment="1">
      <alignment horizontal="center" vertical="center" wrapText="1"/>
    </xf>
    <xf numFmtId="176" fontId="24" fillId="2" borderId="23" xfId="0" applyNumberFormat="1" applyFont="1" applyFill="1" applyBorder="1" applyAlignment="1">
      <alignment horizontal="center" vertical="center" wrapText="1"/>
    </xf>
    <xf numFmtId="176" fontId="24" fillId="2" borderId="43" xfId="0" applyNumberFormat="1" applyFont="1" applyFill="1" applyBorder="1" applyAlignment="1">
      <alignment horizontal="center" vertical="center" wrapText="1"/>
    </xf>
    <xf numFmtId="176" fontId="24" fillId="2" borderId="26" xfId="0" applyNumberFormat="1" applyFont="1" applyFill="1" applyBorder="1" applyAlignment="1">
      <alignment horizontal="center" vertical="center" wrapText="1"/>
    </xf>
    <xf numFmtId="176" fontId="24" fillId="2" borderId="36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24" fillId="2" borderId="22" xfId="0" applyFont="1" applyFill="1" applyBorder="1" applyAlignment="1">
      <alignment horizontal="center" vertical="center" wrapText="1"/>
    </xf>
    <xf numFmtId="0" fontId="24" fillId="2" borderId="23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4" fillId="2" borderId="26" xfId="0" applyFont="1" applyFill="1" applyBorder="1" applyAlignment="1">
      <alignment horizontal="center" vertical="center" wrapText="1"/>
    </xf>
    <xf numFmtId="0" fontId="24" fillId="2" borderId="2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0" fillId="2" borderId="34" xfId="0" applyFont="1" applyFill="1" applyBorder="1" applyAlignment="1">
      <alignment horizontal="center" vertical="center" wrapText="1"/>
    </xf>
    <xf numFmtId="0" fontId="30" fillId="2" borderId="18" xfId="0" applyFont="1" applyFill="1" applyBorder="1" applyAlignment="1">
      <alignment horizontal="center" vertical="center"/>
    </xf>
    <xf numFmtId="0" fontId="29" fillId="2" borderId="22" xfId="0" applyFont="1" applyFill="1" applyBorder="1" applyAlignment="1">
      <alignment horizontal="center" vertical="center" wrapText="1"/>
    </xf>
    <xf numFmtId="0" fontId="29" fillId="2" borderId="23" xfId="0" applyFont="1" applyFill="1" applyBorder="1" applyAlignment="1">
      <alignment horizontal="center" vertical="center" wrapText="1"/>
    </xf>
    <xf numFmtId="0" fontId="29" fillId="2" borderId="24" xfId="0" applyFont="1" applyFill="1" applyBorder="1" applyAlignment="1">
      <alignment horizontal="center" vertical="center" wrapText="1"/>
    </xf>
    <xf numFmtId="0" fontId="29" fillId="2" borderId="25" xfId="0" applyFont="1" applyFill="1" applyBorder="1" applyAlignment="1">
      <alignment horizontal="center" vertical="center" wrapText="1"/>
    </xf>
    <xf numFmtId="0" fontId="29" fillId="2" borderId="26" xfId="0" applyFont="1" applyFill="1" applyBorder="1" applyAlignment="1">
      <alignment horizontal="center" vertical="center" wrapText="1"/>
    </xf>
    <xf numFmtId="0" fontId="29" fillId="2" borderId="27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/>
    </xf>
    <xf numFmtId="0" fontId="30" fillId="2" borderId="18" xfId="0" applyFont="1" applyFill="1" applyBorder="1" applyAlignment="1">
      <alignment horizontal="center" vertical="center" wrapText="1"/>
    </xf>
    <xf numFmtId="176" fontId="31" fillId="2" borderId="42" xfId="0" applyNumberFormat="1" applyFont="1" applyFill="1" applyBorder="1" applyAlignment="1">
      <alignment horizontal="center" vertical="center" wrapText="1"/>
    </xf>
    <xf numFmtId="176" fontId="31" fillId="2" borderId="23" xfId="0" applyNumberFormat="1" applyFont="1" applyFill="1" applyBorder="1" applyAlignment="1">
      <alignment horizontal="center" vertical="center" wrapText="1"/>
    </xf>
    <xf numFmtId="176" fontId="31" fillId="2" borderId="43" xfId="0" applyNumberFormat="1" applyFont="1" applyFill="1" applyBorder="1" applyAlignment="1">
      <alignment horizontal="center" vertical="center" wrapText="1"/>
    </xf>
    <xf numFmtId="176" fontId="31" fillId="2" borderId="30" xfId="0" applyNumberFormat="1" applyFont="1" applyFill="1" applyBorder="1" applyAlignment="1">
      <alignment horizontal="center" vertical="center" wrapText="1"/>
    </xf>
    <xf numFmtId="176" fontId="31" fillId="2" borderId="0" xfId="0" applyNumberFormat="1" applyFont="1" applyFill="1" applyBorder="1" applyAlignment="1">
      <alignment horizontal="center" vertical="center" wrapText="1"/>
    </xf>
    <xf numFmtId="176" fontId="31" fillId="2" borderId="44" xfId="0" applyNumberFormat="1" applyFont="1" applyFill="1" applyBorder="1" applyAlignment="1">
      <alignment horizontal="center" vertical="center" wrapText="1"/>
    </xf>
    <xf numFmtId="176" fontId="31" fillId="2" borderId="41" xfId="0" applyNumberFormat="1" applyFont="1" applyFill="1" applyBorder="1" applyAlignment="1">
      <alignment horizontal="center" vertical="center" wrapText="1"/>
    </xf>
    <xf numFmtId="176" fontId="31" fillId="2" borderId="26" xfId="0" applyNumberFormat="1" applyFont="1" applyFill="1" applyBorder="1" applyAlignment="1">
      <alignment horizontal="center" vertical="center" wrapText="1"/>
    </xf>
    <xf numFmtId="176" fontId="31" fillId="2" borderId="36" xfId="0" applyNumberFormat="1" applyFont="1" applyFill="1" applyBorder="1" applyAlignment="1">
      <alignment horizontal="center" vertical="center" wrapText="1"/>
    </xf>
    <xf numFmtId="0" fontId="25" fillId="2" borderId="22" xfId="0" applyFont="1" applyFill="1" applyBorder="1" applyAlignment="1">
      <alignment horizontal="center" vertical="center" wrapText="1"/>
    </xf>
    <xf numFmtId="0" fontId="26" fillId="2" borderId="23" xfId="0" applyFont="1" applyFill="1" applyBorder="1" applyAlignment="1">
      <alignment horizontal="center" vertical="center" wrapText="1"/>
    </xf>
    <xf numFmtId="0" fontId="26" fillId="2" borderId="43" xfId="0" applyFont="1" applyFill="1" applyBorder="1" applyAlignment="1">
      <alignment horizontal="center" vertical="center" wrapText="1"/>
    </xf>
    <xf numFmtId="0" fontId="26" fillId="2" borderId="25" xfId="0" applyFont="1" applyFill="1" applyBorder="1" applyAlignment="1">
      <alignment horizontal="center" vertical="center" wrapText="1"/>
    </xf>
    <xf numFmtId="0" fontId="26" fillId="2" borderId="26" xfId="0" applyFont="1" applyFill="1" applyBorder="1" applyAlignment="1">
      <alignment horizontal="center" vertical="center" wrapText="1"/>
    </xf>
    <xf numFmtId="0" fontId="26" fillId="2" borderId="36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/>
    </xf>
    <xf numFmtId="0" fontId="33" fillId="2" borderId="34" xfId="0" applyFont="1" applyFill="1" applyBorder="1" applyAlignment="1">
      <alignment horizontal="center" vertical="center" wrapText="1"/>
    </xf>
    <xf numFmtId="0" fontId="33" fillId="2" borderId="18" xfId="0" applyFont="1" applyFill="1" applyBorder="1" applyAlignment="1">
      <alignment horizontal="center" vertical="center" wrapText="1"/>
    </xf>
    <xf numFmtId="176" fontId="34" fillId="2" borderId="42" xfId="0" applyNumberFormat="1" applyFont="1" applyFill="1" applyBorder="1" applyAlignment="1">
      <alignment horizontal="center" vertical="center"/>
    </xf>
    <xf numFmtId="176" fontId="34" fillId="2" borderId="23" xfId="0" applyNumberFormat="1" applyFont="1" applyFill="1" applyBorder="1" applyAlignment="1">
      <alignment horizontal="center" vertical="center"/>
    </xf>
    <xf numFmtId="176" fontId="34" fillId="2" borderId="43" xfId="0" applyNumberFormat="1" applyFont="1" applyFill="1" applyBorder="1" applyAlignment="1">
      <alignment horizontal="center" vertical="center"/>
    </xf>
    <xf numFmtId="176" fontId="34" fillId="2" borderId="30" xfId="0" applyNumberFormat="1" applyFont="1" applyFill="1" applyBorder="1" applyAlignment="1">
      <alignment horizontal="center" vertical="center"/>
    </xf>
    <xf numFmtId="176" fontId="34" fillId="2" borderId="0" xfId="0" applyNumberFormat="1" applyFont="1" applyFill="1" applyBorder="1" applyAlignment="1">
      <alignment horizontal="center" vertical="center"/>
    </xf>
    <xf numFmtId="176" fontId="34" fillId="2" borderId="44" xfId="0" applyNumberFormat="1" applyFont="1" applyFill="1" applyBorder="1" applyAlignment="1">
      <alignment horizontal="center" vertical="center"/>
    </xf>
    <xf numFmtId="176" fontId="34" fillId="2" borderId="41" xfId="0" applyNumberFormat="1" applyFont="1" applyFill="1" applyBorder="1" applyAlignment="1">
      <alignment horizontal="center" vertical="center"/>
    </xf>
    <xf numFmtId="176" fontId="34" fillId="2" borderId="26" xfId="0" applyNumberFormat="1" applyFont="1" applyFill="1" applyBorder="1" applyAlignment="1">
      <alignment horizontal="center" vertical="center"/>
    </xf>
    <xf numFmtId="176" fontId="34" fillId="2" borderId="36" xfId="0" applyNumberFormat="1" applyFont="1" applyFill="1" applyBorder="1" applyAlignment="1">
      <alignment horizontal="center" vertical="center"/>
    </xf>
    <xf numFmtId="176" fontId="35" fillId="2" borderId="23" xfId="0" applyNumberFormat="1" applyFont="1" applyFill="1" applyBorder="1" applyAlignment="1">
      <alignment horizontal="center" vertical="center"/>
    </xf>
    <xf numFmtId="176" fontId="35" fillId="2" borderId="43" xfId="0" applyNumberFormat="1" applyFont="1" applyFill="1" applyBorder="1" applyAlignment="1">
      <alignment horizontal="center" vertical="center"/>
    </xf>
    <xf numFmtId="176" fontId="35" fillId="2" borderId="0" xfId="0" applyNumberFormat="1" applyFont="1" applyFill="1" applyBorder="1" applyAlignment="1">
      <alignment horizontal="center" vertical="center"/>
    </xf>
    <xf numFmtId="176" fontId="35" fillId="2" borderId="44" xfId="0" applyNumberFormat="1" applyFont="1" applyFill="1" applyBorder="1" applyAlignment="1">
      <alignment horizontal="center" vertical="center"/>
    </xf>
    <xf numFmtId="176" fontId="35" fillId="2" borderId="26" xfId="0" applyNumberFormat="1" applyFont="1" applyFill="1" applyBorder="1" applyAlignment="1">
      <alignment horizontal="center" vertical="center"/>
    </xf>
    <xf numFmtId="176" fontId="35" fillId="2" borderId="36" xfId="0" applyNumberFormat="1" applyFont="1" applyFill="1" applyBorder="1" applyAlignment="1">
      <alignment horizontal="center" vertical="center"/>
    </xf>
    <xf numFmtId="0" fontId="36" fillId="2" borderId="22" xfId="0" applyFont="1" applyFill="1" applyBorder="1" applyAlignment="1">
      <alignment horizontal="center" vertical="center" wrapText="1"/>
    </xf>
    <xf numFmtId="0" fontId="36" fillId="2" borderId="23" xfId="0" applyFont="1" applyFill="1" applyBorder="1" applyAlignment="1">
      <alignment horizontal="center" vertical="center" wrapText="1"/>
    </xf>
    <xf numFmtId="0" fontId="36" fillId="2" borderId="43" xfId="0" applyFont="1" applyFill="1" applyBorder="1" applyAlignment="1">
      <alignment horizontal="center" vertical="center" wrapText="1"/>
    </xf>
    <xf numFmtId="0" fontId="36" fillId="2" borderId="25" xfId="0" applyFont="1" applyFill="1" applyBorder="1" applyAlignment="1">
      <alignment horizontal="center" vertical="center" wrapText="1"/>
    </xf>
    <xf numFmtId="0" fontId="36" fillId="2" borderId="26" xfId="0" applyFont="1" applyFill="1" applyBorder="1" applyAlignment="1">
      <alignment horizontal="center" vertical="center" wrapText="1"/>
    </xf>
    <xf numFmtId="0" fontId="36" fillId="2" borderId="36" xfId="0" applyFont="1" applyFill="1" applyBorder="1" applyAlignment="1">
      <alignment horizontal="center" vertical="center" wrapText="1"/>
    </xf>
    <xf numFmtId="0" fontId="37" fillId="2" borderId="22" xfId="0" applyFont="1" applyFill="1" applyBorder="1" applyAlignment="1">
      <alignment horizontal="center" vertical="center" wrapText="1"/>
    </xf>
    <xf numFmtId="0" fontId="37" fillId="2" borderId="23" xfId="0" applyFont="1" applyFill="1" applyBorder="1" applyAlignment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25" xfId="0" applyFont="1" applyFill="1" applyBorder="1" applyAlignment="1">
      <alignment horizontal="center" vertical="center" wrapText="1"/>
    </xf>
    <xf numFmtId="0" fontId="37" fillId="2" borderId="26" xfId="0" applyFont="1" applyFill="1" applyBorder="1" applyAlignment="1">
      <alignment horizontal="center" vertical="center" wrapText="1"/>
    </xf>
    <xf numFmtId="0" fontId="37" fillId="2" borderId="36" xfId="0" applyFont="1" applyFill="1" applyBorder="1" applyAlignment="1">
      <alignment horizontal="center" vertical="center" wrapText="1"/>
    </xf>
    <xf numFmtId="176" fontId="38" fillId="2" borderId="42" xfId="0" applyNumberFormat="1" applyFont="1" applyFill="1" applyBorder="1" applyAlignment="1">
      <alignment horizontal="center" vertical="center"/>
    </xf>
    <xf numFmtId="176" fontId="38" fillId="2" borderId="23" xfId="0" applyNumberFormat="1" applyFont="1" applyFill="1" applyBorder="1" applyAlignment="1">
      <alignment horizontal="center" vertical="center"/>
    </xf>
    <xf numFmtId="176" fontId="38" fillId="2" borderId="43" xfId="0" applyNumberFormat="1" applyFont="1" applyFill="1" applyBorder="1" applyAlignment="1">
      <alignment horizontal="center" vertical="center"/>
    </xf>
    <xf numFmtId="176" fontId="38" fillId="2" borderId="30" xfId="0" applyNumberFormat="1" applyFont="1" applyFill="1" applyBorder="1" applyAlignment="1">
      <alignment horizontal="center" vertical="center"/>
    </xf>
    <xf numFmtId="176" fontId="38" fillId="2" borderId="0" xfId="0" applyNumberFormat="1" applyFont="1" applyFill="1" applyBorder="1" applyAlignment="1">
      <alignment horizontal="center" vertical="center"/>
    </xf>
    <xf numFmtId="176" fontId="38" fillId="2" borderId="44" xfId="0" applyNumberFormat="1" applyFont="1" applyFill="1" applyBorder="1" applyAlignment="1">
      <alignment horizontal="center" vertical="center"/>
    </xf>
    <xf numFmtId="176" fontId="38" fillId="2" borderId="41" xfId="0" applyNumberFormat="1" applyFont="1" applyFill="1" applyBorder="1" applyAlignment="1">
      <alignment horizontal="center" vertical="center"/>
    </xf>
    <xf numFmtId="176" fontId="38" fillId="2" borderId="26" xfId="0" applyNumberFormat="1" applyFont="1" applyFill="1" applyBorder="1" applyAlignment="1">
      <alignment horizontal="center" vertical="center"/>
    </xf>
    <xf numFmtId="176" fontId="38" fillId="2" borderId="36" xfId="0" applyNumberFormat="1" applyFont="1" applyFill="1" applyBorder="1" applyAlignment="1">
      <alignment horizontal="center" vertical="center"/>
    </xf>
    <xf numFmtId="0" fontId="36" fillId="2" borderId="45" xfId="0" applyFont="1" applyFill="1" applyBorder="1" applyAlignment="1">
      <alignment horizontal="center" vertical="center"/>
    </xf>
    <xf numFmtId="0" fontId="36" fillId="2" borderId="39" xfId="0" applyFont="1" applyFill="1" applyBorder="1" applyAlignment="1">
      <alignment horizontal="center" vertical="center"/>
    </xf>
    <xf numFmtId="0" fontId="36" fillId="2" borderId="40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 wrapText="1"/>
    </xf>
    <xf numFmtId="0" fontId="18" fillId="2" borderId="23" xfId="0" applyFont="1" applyFill="1" applyBorder="1" applyAlignment="1">
      <alignment horizontal="center" vertical="center" wrapText="1"/>
    </xf>
    <xf numFmtId="0" fontId="18" fillId="2" borderId="43" xfId="0" applyFont="1" applyFill="1" applyBorder="1" applyAlignment="1">
      <alignment horizontal="center" vertical="center" wrapText="1"/>
    </xf>
    <xf numFmtId="0" fontId="18" fillId="2" borderId="25" xfId="0" applyFont="1" applyFill="1" applyBorder="1" applyAlignment="1">
      <alignment horizontal="center" vertical="center" wrapText="1"/>
    </xf>
    <xf numFmtId="0" fontId="18" fillId="2" borderId="26" xfId="0" applyFont="1" applyFill="1" applyBorder="1" applyAlignment="1">
      <alignment horizontal="center" vertical="center" wrapText="1"/>
    </xf>
    <xf numFmtId="0" fontId="18" fillId="2" borderId="36" xfId="0" applyFont="1" applyFill="1" applyBorder="1" applyAlignment="1">
      <alignment horizontal="center" vertical="center" wrapText="1"/>
    </xf>
    <xf numFmtId="41" fontId="5" fillId="2" borderId="22" xfId="0" applyNumberFormat="1" applyFont="1" applyFill="1" applyBorder="1" applyAlignment="1">
      <alignment horizontal="left" vertical="center" wrapText="1"/>
    </xf>
    <xf numFmtId="41" fontId="5" fillId="2" borderId="23" xfId="0" applyNumberFormat="1" applyFont="1" applyFill="1" applyBorder="1" applyAlignment="1">
      <alignment horizontal="left" vertical="center" wrapText="1"/>
    </xf>
    <xf numFmtId="41" fontId="5" fillId="2" borderId="24" xfId="0" applyNumberFormat="1" applyFont="1" applyFill="1" applyBorder="1" applyAlignment="1">
      <alignment horizontal="left" vertical="center" wrapText="1"/>
    </xf>
    <xf numFmtId="41" fontId="5" fillId="2" borderId="25" xfId="0" applyNumberFormat="1" applyFont="1" applyFill="1" applyBorder="1" applyAlignment="1">
      <alignment horizontal="left" vertical="center" wrapText="1"/>
    </xf>
    <xf numFmtId="41" fontId="5" fillId="2" borderId="26" xfId="0" applyNumberFormat="1" applyFont="1" applyFill="1" applyBorder="1" applyAlignment="1">
      <alignment horizontal="left" vertical="center" wrapText="1"/>
    </xf>
    <xf numFmtId="41" fontId="5" fillId="2" borderId="27" xfId="0" applyNumberFormat="1" applyFont="1" applyFill="1" applyBorder="1" applyAlignment="1">
      <alignment horizontal="left" vertical="center" wrapText="1"/>
    </xf>
    <xf numFmtId="0" fontId="39" fillId="2" borderId="22" xfId="0" applyFont="1" applyFill="1" applyBorder="1" applyAlignment="1">
      <alignment horizontal="center" vertical="center" wrapText="1"/>
    </xf>
    <xf numFmtId="0" fontId="39" fillId="2" borderId="23" xfId="0" applyFont="1" applyFill="1" applyBorder="1" applyAlignment="1">
      <alignment horizontal="center" vertical="center" wrapText="1"/>
    </xf>
    <xf numFmtId="0" fontId="39" fillId="2" borderId="43" xfId="0" applyFont="1" applyFill="1" applyBorder="1" applyAlignment="1">
      <alignment horizontal="center" vertical="center" wrapText="1"/>
    </xf>
    <xf numFmtId="0" fontId="39" fillId="2" borderId="28" xfId="0" applyFont="1" applyFill="1" applyBorder="1" applyAlignment="1">
      <alignment horizontal="center" vertical="center" wrapText="1"/>
    </xf>
    <xf numFmtId="0" fontId="39" fillId="2" borderId="0" xfId="0" applyFont="1" applyFill="1" applyBorder="1" applyAlignment="1">
      <alignment horizontal="center" vertical="center" wrapText="1"/>
    </xf>
    <xf numFmtId="0" fontId="39" fillId="2" borderId="44" xfId="0" applyFont="1" applyFill="1" applyBorder="1" applyAlignment="1">
      <alignment horizontal="center" vertical="center" wrapText="1"/>
    </xf>
    <xf numFmtId="0" fontId="39" fillId="2" borderId="25" xfId="0" applyFont="1" applyFill="1" applyBorder="1" applyAlignment="1">
      <alignment horizontal="center" vertical="center" wrapText="1"/>
    </xf>
    <xf numFmtId="0" fontId="39" fillId="2" borderId="26" xfId="0" applyFont="1" applyFill="1" applyBorder="1" applyAlignment="1">
      <alignment horizontal="center" vertical="center" wrapText="1"/>
    </xf>
    <xf numFmtId="0" fontId="39" fillId="2" borderId="36" xfId="0" applyFont="1" applyFill="1" applyBorder="1" applyAlignment="1">
      <alignment horizontal="center" vertical="center" wrapText="1"/>
    </xf>
    <xf numFmtId="41" fontId="5" fillId="3" borderId="22" xfId="0" applyNumberFormat="1" applyFont="1" applyFill="1" applyBorder="1" applyAlignment="1">
      <alignment horizontal="center" vertical="center" wrapText="1"/>
    </xf>
    <xf numFmtId="41" fontId="5" fillId="3" borderId="23" xfId="0" applyNumberFormat="1" applyFont="1" applyFill="1" applyBorder="1" applyAlignment="1">
      <alignment horizontal="center" vertical="center" wrapText="1"/>
    </xf>
    <xf numFmtId="41" fontId="5" fillId="3" borderId="24" xfId="0" applyNumberFormat="1" applyFont="1" applyFill="1" applyBorder="1" applyAlignment="1">
      <alignment horizontal="center" vertical="center" wrapText="1"/>
    </xf>
    <xf numFmtId="41" fontId="5" fillId="3" borderId="25" xfId="0" applyNumberFormat="1" applyFont="1" applyFill="1" applyBorder="1" applyAlignment="1">
      <alignment horizontal="center" vertical="center" wrapText="1"/>
    </xf>
    <xf numFmtId="41" fontId="5" fillId="3" borderId="26" xfId="0" applyNumberFormat="1" applyFont="1" applyFill="1" applyBorder="1" applyAlignment="1">
      <alignment horizontal="center" vertical="center" wrapText="1"/>
    </xf>
    <xf numFmtId="41" fontId="5" fillId="3" borderId="27" xfId="0" applyNumberFormat="1" applyFont="1" applyFill="1" applyBorder="1" applyAlignment="1">
      <alignment horizontal="center" vertical="center" wrapText="1"/>
    </xf>
    <xf numFmtId="0" fontId="23" fillId="2" borderId="22" xfId="0" applyFont="1" applyFill="1" applyBorder="1" applyAlignment="1">
      <alignment horizontal="center" vertical="center" wrapText="1"/>
    </xf>
    <xf numFmtId="0" fontId="23" fillId="2" borderId="23" xfId="0" applyFont="1" applyFill="1" applyBorder="1" applyAlignment="1">
      <alignment horizontal="center" vertical="center" wrapText="1"/>
    </xf>
    <xf numFmtId="0" fontId="23" fillId="2" borderId="43" xfId="0" applyFont="1" applyFill="1" applyBorder="1" applyAlignment="1">
      <alignment horizontal="center" vertical="center" wrapText="1"/>
    </xf>
    <xf numFmtId="0" fontId="23" fillId="2" borderId="25" xfId="0" applyFont="1" applyFill="1" applyBorder="1" applyAlignment="1">
      <alignment horizontal="center" vertical="center" wrapText="1"/>
    </xf>
    <xf numFmtId="0" fontId="23" fillId="2" borderId="26" xfId="0" applyFont="1" applyFill="1" applyBorder="1" applyAlignment="1">
      <alignment horizontal="center" vertical="center" wrapText="1"/>
    </xf>
    <xf numFmtId="0" fontId="23" fillId="2" borderId="36" xfId="0" applyFont="1" applyFill="1" applyBorder="1" applyAlignment="1">
      <alignment horizontal="center" vertical="center" wrapText="1"/>
    </xf>
    <xf numFmtId="41" fontId="5" fillId="3" borderId="1" xfId="0" applyNumberFormat="1" applyFont="1" applyFill="1" applyBorder="1" applyAlignment="1">
      <alignment horizontal="center" vertical="center" wrapText="1"/>
    </xf>
    <xf numFmtId="41" fontId="5" fillId="3" borderId="1" xfId="0" applyNumberFormat="1" applyFont="1" applyFill="1" applyBorder="1" applyAlignment="1">
      <alignment horizontal="center" vertical="center"/>
    </xf>
    <xf numFmtId="0" fontId="42" fillId="2" borderId="22" xfId="0" applyFont="1" applyFill="1" applyBorder="1" applyAlignment="1">
      <alignment horizontal="center" vertical="center" wrapText="1"/>
    </xf>
    <xf numFmtId="0" fontId="42" fillId="2" borderId="23" xfId="0" applyFont="1" applyFill="1" applyBorder="1" applyAlignment="1">
      <alignment horizontal="center" vertical="center" wrapText="1"/>
    </xf>
    <xf numFmtId="0" fontId="42" fillId="2" borderId="24" xfId="0" applyFont="1" applyFill="1" applyBorder="1" applyAlignment="1">
      <alignment horizontal="center" vertical="center" wrapText="1"/>
    </xf>
    <xf numFmtId="0" fontId="42" fillId="2" borderId="25" xfId="0" applyFont="1" applyFill="1" applyBorder="1" applyAlignment="1">
      <alignment horizontal="center" vertical="center" wrapText="1"/>
    </xf>
    <xf numFmtId="0" fontId="42" fillId="2" borderId="26" xfId="0" applyFont="1" applyFill="1" applyBorder="1" applyAlignment="1">
      <alignment horizontal="center" vertical="center" wrapText="1"/>
    </xf>
    <xf numFmtId="0" fontId="42" fillId="2" borderId="27" xfId="0" applyFont="1" applyFill="1" applyBorder="1" applyAlignment="1">
      <alignment horizontal="center" vertical="center" wrapText="1"/>
    </xf>
    <xf numFmtId="41" fontId="5" fillId="3" borderId="23" xfId="0" applyNumberFormat="1" applyFont="1" applyFill="1" applyBorder="1" applyAlignment="1">
      <alignment horizontal="center" vertical="center"/>
    </xf>
    <xf numFmtId="41" fontId="5" fillId="3" borderId="24" xfId="0" applyNumberFormat="1" applyFont="1" applyFill="1" applyBorder="1" applyAlignment="1">
      <alignment horizontal="center" vertical="center"/>
    </xf>
    <xf numFmtId="41" fontId="5" fillId="3" borderId="25" xfId="0" applyNumberFormat="1" applyFont="1" applyFill="1" applyBorder="1" applyAlignment="1">
      <alignment horizontal="center" vertical="center"/>
    </xf>
    <xf numFmtId="41" fontId="5" fillId="3" borderId="26" xfId="0" applyNumberFormat="1" applyFont="1" applyFill="1" applyBorder="1" applyAlignment="1">
      <alignment horizontal="center" vertical="center"/>
    </xf>
    <xf numFmtId="41" fontId="5" fillId="3" borderId="27" xfId="0" applyNumberFormat="1" applyFont="1" applyFill="1" applyBorder="1" applyAlignment="1">
      <alignment horizontal="center" vertical="center"/>
    </xf>
    <xf numFmtId="0" fontId="41" fillId="2" borderId="22" xfId="0" applyFont="1" applyFill="1" applyBorder="1" applyAlignment="1">
      <alignment horizontal="center" vertical="center" wrapText="1"/>
    </xf>
    <xf numFmtId="0" fontId="41" fillId="2" borderId="23" xfId="0" applyFont="1" applyFill="1" applyBorder="1" applyAlignment="1">
      <alignment horizontal="center" vertical="center" wrapText="1"/>
    </xf>
    <xf numFmtId="0" fontId="41" fillId="2" borderId="43" xfId="0" applyFont="1" applyFill="1" applyBorder="1" applyAlignment="1">
      <alignment horizontal="center" vertical="center" wrapText="1"/>
    </xf>
    <xf numFmtId="0" fontId="41" fillId="2" borderId="28" xfId="0" applyFont="1" applyFill="1" applyBorder="1" applyAlignment="1">
      <alignment horizontal="center" vertical="center" wrapText="1"/>
    </xf>
    <xf numFmtId="0" fontId="41" fillId="2" borderId="0" xfId="0" applyFont="1" applyFill="1" applyBorder="1" applyAlignment="1">
      <alignment horizontal="center" vertical="center" wrapText="1"/>
    </xf>
    <xf numFmtId="0" fontId="41" fillId="2" borderId="44" xfId="0" applyFont="1" applyFill="1" applyBorder="1" applyAlignment="1">
      <alignment horizontal="center" vertical="center" wrapText="1"/>
    </xf>
    <xf numFmtId="0" fontId="41" fillId="2" borderId="25" xfId="0" applyFont="1" applyFill="1" applyBorder="1" applyAlignment="1">
      <alignment horizontal="center" vertical="center" wrapText="1"/>
    </xf>
    <xf numFmtId="0" fontId="41" fillId="2" borderId="26" xfId="0" applyFont="1" applyFill="1" applyBorder="1" applyAlignment="1">
      <alignment horizontal="center" vertical="center" wrapText="1"/>
    </xf>
    <xf numFmtId="0" fontId="41" fillId="2" borderId="36" xfId="0" applyFont="1" applyFill="1" applyBorder="1" applyAlignment="1">
      <alignment horizontal="center" vertical="center" wrapText="1"/>
    </xf>
    <xf numFmtId="0" fontId="32" fillId="2" borderId="34" xfId="0" applyFont="1" applyFill="1" applyBorder="1" applyAlignment="1">
      <alignment horizontal="center" vertical="center" wrapText="1"/>
    </xf>
    <xf numFmtId="0" fontId="32" fillId="2" borderId="18" xfId="0" applyFont="1" applyFill="1" applyBorder="1" applyAlignment="1">
      <alignment horizontal="center" vertical="center" wrapText="1"/>
    </xf>
    <xf numFmtId="0" fontId="40" fillId="2" borderId="22" xfId="0" applyFont="1" applyFill="1" applyBorder="1" applyAlignment="1">
      <alignment horizontal="center" vertical="center" wrapText="1"/>
    </xf>
    <xf numFmtId="0" fontId="40" fillId="2" borderId="23" xfId="0" applyFont="1" applyFill="1" applyBorder="1" applyAlignment="1">
      <alignment horizontal="center" vertical="center" wrapText="1"/>
    </xf>
    <xf numFmtId="0" fontId="40" fillId="2" borderId="43" xfId="0" applyFont="1" applyFill="1" applyBorder="1" applyAlignment="1">
      <alignment horizontal="center" vertical="center" wrapText="1"/>
    </xf>
    <xf numFmtId="0" fontId="40" fillId="2" borderId="25" xfId="0" applyFont="1" applyFill="1" applyBorder="1" applyAlignment="1">
      <alignment horizontal="center" vertical="center" wrapText="1"/>
    </xf>
    <xf numFmtId="0" fontId="40" fillId="2" borderId="26" xfId="0" applyFont="1" applyFill="1" applyBorder="1" applyAlignment="1">
      <alignment horizontal="center" vertical="center" wrapText="1"/>
    </xf>
    <xf numFmtId="0" fontId="40" fillId="2" borderId="36" xfId="0" applyFont="1" applyFill="1" applyBorder="1" applyAlignment="1">
      <alignment horizontal="center" vertical="center" wrapText="1"/>
    </xf>
    <xf numFmtId="0" fontId="43" fillId="2" borderId="22" xfId="0" applyFont="1" applyFill="1" applyBorder="1" applyAlignment="1">
      <alignment horizontal="center" vertical="center" wrapText="1"/>
    </xf>
    <xf numFmtId="0" fontId="43" fillId="2" borderId="23" xfId="0" applyFont="1" applyFill="1" applyBorder="1" applyAlignment="1">
      <alignment horizontal="center" vertical="center" wrapText="1"/>
    </xf>
    <xf numFmtId="0" fontId="43" fillId="2" borderId="43" xfId="0" applyFont="1" applyFill="1" applyBorder="1" applyAlignment="1">
      <alignment horizontal="center" vertical="center" wrapText="1"/>
    </xf>
    <xf numFmtId="0" fontId="43" fillId="2" borderId="25" xfId="0" applyFont="1" applyFill="1" applyBorder="1" applyAlignment="1">
      <alignment horizontal="center" vertical="center" wrapText="1"/>
    </xf>
    <xf numFmtId="0" fontId="43" fillId="2" borderId="26" xfId="0" applyFont="1" applyFill="1" applyBorder="1" applyAlignment="1">
      <alignment horizontal="center" vertical="center" wrapText="1"/>
    </xf>
    <xf numFmtId="0" fontId="43" fillId="2" borderId="36" xfId="0" applyFont="1" applyFill="1" applyBorder="1" applyAlignment="1">
      <alignment horizontal="center" vertical="center" wrapText="1"/>
    </xf>
    <xf numFmtId="0" fontId="11" fillId="2" borderId="33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45" fillId="2" borderId="22" xfId="0" applyFont="1" applyFill="1" applyBorder="1" applyAlignment="1">
      <alignment horizontal="center" vertical="center" wrapText="1"/>
    </xf>
    <xf numFmtId="0" fontId="45" fillId="2" borderId="23" xfId="0" applyFont="1" applyFill="1" applyBorder="1" applyAlignment="1">
      <alignment horizontal="center" vertical="center" wrapText="1"/>
    </xf>
    <xf numFmtId="0" fontId="45" fillId="2" borderId="43" xfId="0" applyFont="1" applyFill="1" applyBorder="1" applyAlignment="1">
      <alignment horizontal="center" vertical="center" wrapText="1"/>
    </xf>
    <xf numFmtId="0" fontId="45" fillId="2" borderId="25" xfId="0" applyFont="1" applyFill="1" applyBorder="1" applyAlignment="1">
      <alignment horizontal="center" vertical="center" wrapText="1"/>
    </xf>
    <xf numFmtId="0" fontId="45" fillId="2" borderId="26" xfId="0" applyFont="1" applyFill="1" applyBorder="1" applyAlignment="1">
      <alignment horizontal="center" vertical="center" wrapText="1"/>
    </xf>
    <xf numFmtId="0" fontId="45" fillId="2" borderId="36" xfId="0" applyFont="1" applyFill="1" applyBorder="1" applyAlignment="1">
      <alignment horizontal="center" vertical="center" wrapText="1"/>
    </xf>
    <xf numFmtId="176" fontId="38" fillId="2" borderId="22" xfId="0" applyNumberFormat="1" applyFont="1" applyFill="1" applyBorder="1" applyAlignment="1">
      <alignment horizontal="center" vertical="center"/>
    </xf>
    <xf numFmtId="176" fontId="38" fillId="2" borderId="24" xfId="0" applyNumberFormat="1" applyFont="1" applyFill="1" applyBorder="1" applyAlignment="1">
      <alignment horizontal="center" vertical="center"/>
    </xf>
    <xf numFmtId="176" fontId="38" fillId="2" borderId="28" xfId="0" applyNumberFormat="1" applyFont="1" applyFill="1" applyBorder="1" applyAlignment="1">
      <alignment horizontal="center" vertical="center"/>
    </xf>
    <xf numFmtId="176" fontId="38" fillId="2" borderId="29" xfId="0" applyNumberFormat="1" applyFont="1" applyFill="1" applyBorder="1" applyAlignment="1">
      <alignment horizontal="center" vertical="center"/>
    </xf>
    <xf numFmtId="176" fontId="38" fillId="2" borderId="25" xfId="0" applyNumberFormat="1" applyFont="1" applyFill="1" applyBorder="1" applyAlignment="1">
      <alignment horizontal="center" vertical="center"/>
    </xf>
    <xf numFmtId="176" fontId="38" fillId="2" borderId="27" xfId="0" applyNumberFormat="1" applyFont="1" applyFill="1" applyBorder="1" applyAlignment="1">
      <alignment horizontal="center" vertical="center"/>
    </xf>
    <xf numFmtId="176" fontId="38" fillId="2" borderId="34" xfId="0" applyNumberFormat="1" applyFont="1" applyFill="1" applyBorder="1" applyAlignment="1">
      <alignment horizontal="center" vertical="center"/>
    </xf>
    <xf numFmtId="176" fontId="38" fillId="2" borderId="10" xfId="0" applyNumberFormat="1" applyFont="1" applyFill="1" applyBorder="1" applyAlignment="1">
      <alignment horizontal="center" vertical="center"/>
    </xf>
    <xf numFmtId="176" fontId="38" fillId="2" borderId="18" xfId="0" applyNumberFormat="1" applyFont="1" applyFill="1" applyBorder="1" applyAlignment="1">
      <alignment horizontal="center" vertical="center"/>
    </xf>
    <xf numFmtId="41" fontId="5" fillId="2" borderId="45" xfId="0" applyNumberFormat="1" applyFont="1" applyFill="1" applyBorder="1" applyAlignment="1">
      <alignment horizontal="center" vertical="center"/>
    </xf>
    <xf numFmtId="41" fontId="5" fillId="2" borderId="39" xfId="0" applyNumberFormat="1" applyFont="1" applyFill="1" applyBorder="1" applyAlignment="1">
      <alignment horizontal="center" vertical="center"/>
    </xf>
    <xf numFmtId="41" fontId="5" fillId="2" borderId="46" xfId="0" applyNumberFormat="1" applyFont="1" applyFill="1" applyBorder="1" applyAlignment="1">
      <alignment horizontal="center" vertical="center"/>
    </xf>
    <xf numFmtId="0" fontId="25" fillId="2" borderId="42" xfId="0" applyNumberFormat="1" applyFont="1" applyFill="1" applyBorder="1" applyAlignment="1">
      <alignment horizontal="center" vertical="center"/>
    </xf>
    <xf numFmtId="0" fontId="25" fillId="2" borderId="23" xfId="0" applyNumberFormat="1" applyFont="1" applyFill="1" applyBorder="1" applyAlignment="1">
      <alignment horizontal="center" vertical="center"/>
    </xf>
    <xf numFmtId="0" fontId="25" fillId="2" borderId="43" xfId="0" applyNumberFormat="1" applyFont="1" applyFill="1" applyBorder="1" applyAlignment="1">
      <alignment horizontal="center" vertical="center"/>
    </xf>
    <xf numFmtId="0" fontId="25" fillId="2" borderId="30" xfId="0" applyNumberFormat="1" applyFont="1" applyFill="1" applyBorder="1" applyAlignment="1">
      <alignment horizontal="center" vertical="center"/>
    </xf>
    <xf numFmtId="0" fontId="25" fillId="2" borderId="0" xfId="0" applyNumberFormat="1" applyFont="1" applyFill="1" applyBorder="1" applyAlignment="1">
      <alignment horizontal="center" vertical="center"/>
    </xf>
    <xf numFmtId="0" fontId="25" fillId="2" borderId="44" xfId="0" applyNumberFormat="1" applyFont="1" applyFill="1" applyBorder="1" applyAlignment="1">
      <alignment horizontal="center" vertical="center"/>
    </xf>
    <xf numFmtId="0" fontId="25" fillId="2" borderId="41" xfId="0" applyNumberFormat="1" applyFont="1" applyFill="1" applyBorder="1" applyAlignment="1">
      <alignment horizontal="center" vertical="center"/>
    </xf>
    <xf numFmtId="0" fontId="25" fillId="2" borderId="26" xfId="0" applyNumberFormat="1" applyFont="1" applyFill="1" applyBorder="1" applyAlignment="1">
      <alignment horizontal="center" vertical="center"/>
    </xf>
    <xf numFmtId="0" fontId="25" fillId="2" borderId="36" xfId="0" applyNumberFormat="1" applyFont="1" applyFill="1" applyBorder="1" applyAlignment="1">
      <alignment horizontal="center" vertical="center"/>
    </xf>
    <xf numFmtId="0" fontId="44" fillId="2" borderId="45" xfId="0" applyFont="1" applyFill="1" applyBorder="1" applyAlignment="1">
      <alignment horizontal="center" vertical="center"/>
    </xf>
    <xf numFmtId="0" fontId="44" fillId="2" borderId="39" xfId="0" applyFont="1" applyFill="1" applyBorder="1" applyAlignment="1">
      <alignment horizontal="center" vertical="center"/>
    </xf>
    <xf numFmtId="0" fontId="44" fillId="2" borderId="40" xfId="0" applyFont="1" applyFill="1" applyBorder="1" applyAlignment="1">
      <alignment horizontal="center" vertical="center"/>
    </xf>
    <xf numFmtId="0" fontId="29" fillId="2" borderId="43" xfId="0" applyFont="1" applyFill="1" applyBorder="1" applyAlignment="1">
      <alignment horizontal="center" vertical="center" wrapText="1"/>
    </xf>
    <xf numFmtId="0" fontId="29" fillId="2" borderId="36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41" fontId="5" fillId="2" borderId="45" xfId="0" applyNumberFormat="1" applyFont="1" applyFill="1" applyBorder="1" applyAlignment="1">
      <alignment horizontal="center" vertical="center" wrapText="1"/>
    </xf>
    <xf numFmtId="0" fontId="37" fillId="2" borderId="28" xfId="0" applyFont="1" applyFill="1" applyBorder="1" applyAlignment="1">
      <alignment horizontal="center" vertical="center" wrapText="1"/>
    </xf>
    <xf numFmtId="0" fontId="37" fillId="2" borderId="0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44" fillId="2" borderId="45" xfId="0" applyFont="1" applyFill="1" applyBorder="1" applyAlignment="1">
      <alignment horizontal="center" vertical="center" wrapText="1"/>
    </xf>
    <xf numFmtId="0" fontId="44" fillId="2" borderId="39" xfId="0" applyFont="1" applyFill="1" applyBorder="1" applyAlignment="1">
      <alignment horizontal="center" vertical="center" wrapText="1"/>
    </xf>
    <xf numFmtId="0" fontId="44" fillId="2" borderId="40" xfId="0" applyFont="1" applyFill="1" applyBorder="1" applyAlignment="1">
      <alignment horizontal="center" vertical="center" wrapText="1"/>
    </xf>
    <xf numFmtId="0" fontId="47" fillId="2" borderId="22" xfId="0" applyFont="1" applyFill="1" applyBorder="1" applyAlignment="1">
      <alignment horizontal="center" vertical="center" wrapText="1"/>
    </xf>
    <xf numFmtId="0" fontId="48" fillId="2" borderId="22" xfId="0" applyFont="1" applyFill="1" applyBorder="1" applyAlignment="1">
      <alignment horizontal="center" vertical="center" wrapText="1"/>
    </xf>
    <xf numFmtId="0" fontId="48" fillId="2" borderId="23" xfId="0" applyFont="1" applyFill="1" applyBorder="1" applyAlignment="1">
      <alignment horizontal="center" vertical="center" wrapText="1"/>
    </xf>
    <xf numFmtId="0" fontId="48" fillId="2" borderId="43" xfId="0" applyFont="1" applyFill="1" applyBorder="1" applyAlignment="1">
      <alignment horizontal="center" vertical="center" wrapText="1"/>
    </xf>
    <xf numFmtId="0" fontId="48" fillId="2" borderId="25" xfId="0" applyFont="1" applyFill="1" applyBorder="1" applyAlignment="1">
      <alignment horizontal="center" vertical="center" wrapText="1"/>
    </xf>
    <xf numFmtId="0" fontId="48" fillId="2" borderId="26" xfId="0" applyFont="1" applyFill="1" applyBorder="1" applyAlignment="1">
      <alignment horizontal="center" vertical="center" wrapText="1"/>
    </xf>
    <xf numFmtId="0" fontId="48" fillId="2" borderId="36" xfId="0" applyFont="1" applyFill="1" applyBorder="1" applyAlignment="1">
      <alignment horizontal="center" vertical="center" wrapText="1"/>
    </xf>
    <xf numFmtId="0" fontId="44" fillId="2" borderId="22" xfId="0" applyFont="1" applyFill="1" applyBorder="1" applyAlignment="1">
      <alignment horizontal="center" vertical="center" wrapText="1"/>
    </xf>
    <xf numFmtId="0" fontId="44" fillId="2" borderId="23" xfId="0" applyFont="1" applyFill="1" applyBorder="1" applyAlignment="1">
      <alignment horizontal="center" vertical="center" wrapText="1"/>
    </xf>
    <xf numFmtId="0" fontId="44" fillId="2" borderId="43" xfId="0" applyFont="1" applyFill="1" applyBorder="1" applyAlignment="1">
      <alignment horizontal="center" vertical="center" wrapText="1"/>
    </xf>
    <xf numFmtId="0" fontId="44" fillId="2" borderId="25" xfId="0" applyFont="1" applyFill="1" applyBorder="1" applyAlignment="1">
      <alignment horizontal="center" vertical="center" wrapText="1"/>
    </xf>
    <xf numFmtId="0" fontId="44" fillId="2" borderId="26" xfId="0" applyFont="1" applyFill="1" applyBorder="1" applyAlignment="1">
      <alignment horizontal="center" vertical="center" wrapText="1"/>
    </xf>
    <xf numFmtId="0" fontId="44" fillId="2" borderId="36" xfId="0" applyFont="1" applyFill="1" applyBorder="1" applyAlignment="1">
      <alignment horizontal="center" vertical="center" wrapText="1"/>
    </xf>
    <xf numFmtId="0" fontId="23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0" fontId="49" fillId="2" borderId="22" xfId="0" applyFont="1" applyFill="1" applyBorder="1" applyAlignment="1">
      <alignment horizontal="center" vertical="center" wrapText="1"/>
    </xf>
    <xf numFmtId="0" fontId="42" fillId="2" borderId="45" xfId="0" applyFont="1" applyFill="1" applyBorder="1" applyAlignment="1">
      <alignment horizontal="center" vertical="center" wrapText="1"/>
    </xf>
    <xf numFmtId="0" fontId="42" fillId="2" borderId="39" xfId="0" applyFont="1" applyFill="1" applyBorder="1" applyAlignment="1">
      <alignment horizontal="center" vertical="center" wrapText="1"/>
    </xf>
    <xf numFmtId="0" fontId="42" fillId="2" borderId="40" xfId="0" applyFont="1" applyFill="1" applyBorder="1" applyAlignment="1">
      <alignment horizontal="center" vertical="center" wrapText="1"/>
    </xf>
    <xf numFmtId="0" fontId="49" fillId="2" borderId="23" xfId="0" applyFont="1" applyFill="1" applyBorder="1" applyAlignment="1">
      <alignment horizontal="center" vertical="center" wrapText="1"/>
    </xf>
    <xf numFmtId="0" fontId="49" fillId="2" borderId="43" xfId="0" applyFont="1" applyFill="1" applyBorder="1" applyAlignment="1">
      <alignment horizontal="center" vertical="center" wrapText="1"/>
    </xf>
    <xf numFmtId="0" fontId="49" fillId="2" borderId="25" xfId="0" applyFont="1" applyFill="1" applyBorder="1" applyAlignment="1">
      <alignment horizontal="center" vertical="center" wrapText="1"/>
    </xf>
    <xf numFmtId="0" fontId="49" fillId="2" borderId="26" xfId="0" applyFont="1" applyFill="1" applyBorder="1" applyAlignment="1">
      <alignment horizontal="center" vertical="center" wrapText="1"/>
    </xf>
    <xf numFmtId="0" fontId="49" fillId="2" borderId="36" xfId="0" applyFont="1" applyFill="1" applyBorder="1" applyAlignment="1">
      <alignment horizontal="center" vertical="center" wrapText="1"/>
    </xf>
    <xf numFmtId="41" fontId="5" fillId="9" borderId="1" xfId="0" applyNumberFormat="1" applyFont="1" applyFill="1" applyBorder="1" applyAlignment="1">
      <alignment horizontal="center" vertical="center" wrapText="1"/>
    </xf>
    <xf numFmtId="41" fontId="5" fillId="9" borderId="1" xfId="0" applyNumberFormat="1" applyFont="1" applyFill="1" applyBorder="1" applyAlignment="1">
      <alignment horizontal="center" vertical="center"/>
    </xf>
    <xf numFmtId="41" fontId="5" fillId="9" borderId="22" xfId="0" applyNumberFormat="1" applyFont="1" applyFill="1" applyBorder="1" applyAlignment="1">
      <alignment horizontal="center" vertical="center" wrapText="1"/>
    </xf>
    <xf numFmtId="41" fontId="5" fillId="9" borderId="23" xfId="0" applyNumberFormat="1" applyFont="1" applyFill="1" applyBorder="1" applyAlignment="1">
      <alignment horizontal="center" vertical="center"/>
    </xf>
    <xf numFmtId="41" fontId="5" fillId="9" borderId="24" xfId="0" applyNumberFormat="1" applyFont="1" applyFill="1" applyBorder="1" applyAlignment="1">
      <alignment horizontal="center" vertical="center"/>
    </xf>
    <xf numFmtId="41" fontId="5" fillId="9" borderId="25" xfId="0" applyNumberFormat="1" applyFont="1" applyFill="1" applyBorder="1" applyAlignment="1">
      <alignment horizontal="center" vertical="center"/>
    </xf>
    <xf numFmtId="41" fontId="5" fillId="9" borderId="26" xfId="0" applyNumberFormat="1" applyFont="1" applyFill="1" applyBorder="1" applyAlignment="1">
      <alignment horizontal="center" vertical="center"/>
    </xf>
    <xf numFmtId="41" fontId="5" fillId="9" borderId="27" xfId="0" applyNumberFormat="1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9" fillId="2" borderId="36" xfId="0" applyFont="1" applyFill="1" applyBorder="1" applyAlignment="1">
      <alignment horizontal="center" vertical="center" wrapText="1"/>
    </xf>
    <xf numFmtId="41" fontId="5" fillId="9" borderId="23" xfId="0" applyNumberFormat="1" applyFont="1" applyFill="1" applyBorder="1" applyAlignment="1">
      <alignment horizontal="center" vertical="center" wrapText="1"/>
    </xf>
    <xf numFmtId="41" fontId="5" fillId="9" borderId="24" xfId="0" applyNumberFormat="1" applyFont="1" applyFill="1" applyBorder="1" applyAlignment="1">
      <alignment horizontal="center" vertical="center" wrapText="1"/>
    </xf>
    <xf numFmtId="41" fontId="5" fillId="9" borderId="25" xfId="0" applyNumberFormat="1" applyFont="1" applyFill="1" applyBorder="1" applyAlignment="1">
      <alignment horizontal="center" vertical="center" wrapText="1"/>
    </xf>
    <xf numFmtId="41" fontId="5" fillId="9" borderId="26" xfId="0" applyNumberFormat="1" applyFont="1" applyFill="1" applyBorder="1" applyAlignment="1">
      <alignment horizontal="center" vertical="center" wrapText="1"/>
    </xf>
    <xf numFmtId="41" fontId="5" fillId="9" borderId="27" xfId="0" applyNumberFormat="1" applyFont="1" applyFill="1" applyBorder="1" applyAlignment="1">
      <alignment horizontal="center" vertical="center" wrapText="1"/>
    </xf>
    <xf numFmtId="41" fontId="5" fillId="9" borderId="28" xfId="0" applyNumberFormat="1" applyFont="1" applyFill="1" applyBorder="1" applyAlignment="1">
      <alignment horizontal="center" vertical="center" wrapText="1"/>
    </xf>
    <xf numFmtId="41" fontId="5" fillId="9" borderId="0" xfId="0" applyNumberFormat="1" applyFont="1" applyFill="1" applyBorder="1" applyAlignment="1">
      <alignment horizontal="center" vertical="center" wrapText="1"/>
    </xf>
    <xf numFmtId="41" fontId="5" fillId="9" borderId="29" xfId="0" applyNumberFormat="1" applyFont="1" applyFill="1" applyBorder="1" applyAlignment="1">
      <alignment horizontal="center" vertical="center" wrapText="1"/>
    </xf>
    <xf numFmtId="41" fontId="5" fillId="2" borderId="22" xfId="0" quotePrefix="1" applyNumberFormat="1" applyFont="1" applyFill="1" applyBorder="1" applyAlignment="1">
      <alignment horizontal="center" vertical="center" wrapText="1"/>
    </xf>
    <xf numFmtId="41" fontId="5" fillId="3" borderId="22" xfId="0" quotePrefix="1" applyNumberFormat="1" applyFont="1" applyFill="1" applyBorder="1" applyAlignment="1">
      <alignment horizontal="center" vertical="center" wrapText="1"/>
    </xf>
    <xf numFmtId="3" fontId="9" fillId="2" borderId="22" xfId="0" applyNumberFormat="1" applyFont="1" applyFill="1" applyBorder="1" applyAlignment="1">
      <alignment horizontal="center" vertical="center" wrapText="1"/>
    </xf>
    <xf numFmtId="0" fontId="51" fillId="2" borderId="22" xfId="0" applyFont="1" applyFill="1" applyBorder="1" applyAlignment="1">
      <alignment horizontal="center" vertical="center" wrapText="1"/>
    </xf>
    <xf numFmtId="0" fontId="51" fillId="2" borderId="23" xfId="0" applyFont="1" applyFill="1" applyBorder="1" applyAlignment="1">
      <alignment horizontal="center" vertical="center" wrapText="1"/>
    </xf>
    <xf numFmtId="0" fontId="51" fillId="2" borderId="43" xfId="0" applyFont="1" applyFill="1" applyBorder="1" applyAlignment="1">
      <alignment horizontal="center" vertical="center" wrapText="1"/>
    </xf>
    <xf numFmtId="0" fontId="51" fillId="2" borderId="25" xfId="0" applyFont="1" applyFill="1" applyBorder="1" applyAlignment="1">
      <alignment horizontal="center" vertical="center" wrapText="1"/>
    </xf>
    <xf numFmtId="0" fontId="51" fillId="2" borderId="26" xfId="0" applyFont="1" applyFill="1" applyBorder="1" applyAlignment="1">
      <alignment horizontal="center" vertical="center" wrapText="1"/>
    </xf>
    <xf numFmtId="0" fontId="51" fillId="2" borderId="36" xfId="0" applyFont="1" applyFill="1" applyBorder="1" applyAlignment="1">
      <alignment horizontal="center" vertical="center" wrapText="1"/>
    </xf>
    <xf numFmtId="0" fontId="41" fillId="2" borderId="45" xfId="0" applyFont="1" applyFill="1" applyBorder="1" applyAlignment="1">
      <alignment horizontal="center" vertical="center"/>
    </xf>
    <xf numFmtId="0" fontId="32" fillId="2" borderId="39" xfId="0" applyFont="1" applyFill="1" applyBorder="1" applyAlignment="1">
      <alignment horizontal="center" vertical="center"/>
    </xf>
    <xf numFmtId="0" fontId="32" fillId="2" borderId="40" xfId="0" applyFont="1" applyFill="1" applyBorder="1" applyAlignment="1">
      <alignment horizontal="center" vertical="center"/>
    </xf>
    <xf numFmtId="41" fontId="5" fillId="3" borderId="45" xfId="0" applyNumberFormat="1" applyFont="1" applyFill="1" applyBorder="1" applyAlignment="1">
      <alignment horizontal="center" vertical="center" wrapText="1"/>
    </xf>
    <xf numFmtId="41" fontId="5" fillId="3" borderId="39" xfId="0" applyNumberFormat="1" applyFont="1" applyFill="1" applyBorder="1" applyAlignment="1">
      <alignment horizontal="center" vertical="center"/>
    </xf>
    <xf numFmtId="41" fontId="5" fillId="3" borderId="46" xfId="0" applyNumberFormat="1" applyFont="1" applyFill="1" applyBorder="1" applyAlignment="1">
      <alignment horizontal="center" vertical="center"/>
    </xf>
    <xf numFmtId="0" fontId="51" fillId="2" borderId="45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41" fontId="52" fillId="3" borderId="1" xfId="0" applyNumberFormat="1" applyFont="1" applyFill="1" applyBorder="1" applyAlignment="1">
      <alignment horizontal="center" vertical="center"/>
    </xf>
    <xf numFmtId="0" fontId="5" fillId="2" borderId="45" xfId="0" applyFont="1" applyFill="1" applyBorder="1" applyAlignment="1">
      <alignment horizontal="center" vertical="center"/>
    </xf>
    <xf numFmtId="41" fontId="50" fillId="2" borderId="1" xfId="0" applyNumberFormat="1" applyFont="1" applyFill="1" applyBorder="1" applyAlignment="1">
      <alignment horizontal="center" vertical="center" wrapText="1"/>
    </xf>
    <xf numFmtId="41" fontId="50" fillId="2" borderId="1" xfId="0" applyNumberFormat="1" applyFont="1" applyFill="1" applyBorder="1" applyAlignment="1">
      <alignment horizontal="center" vertical="center"/>
    </xf>
    <xf numFmtId="41" fontId="52" fillId="2" borderId="1" xfId="0" applyNumberFormat="1" applyFont="1" applyFill="1" applyBorder="1" applyAlignment="1">
      <alignment horizontal="center" vertical="center"/>
    </xf>
    <xf numFmtId="0" fontId="32" fillId="2" borderId="22" xfId="0" applyFont="1" applyFill="1" applyBorder="1" applyAlignment="1">
      <alignment horizontal="center" vertical="center" wrapText="1"/>
    </xf>
    <xf numFmtId="0" fontId="32" fillId="2" borderId="23" xfId="0" applyFont="1" applyFill="1" applyBorder="1" applyAlignment="1">
      <alignment horizontal="center" vertical="center" wrapText="1"/>
    </xf>
    <xf numFmtId="0" fontId="32" fillId="2" borderId="43" xfId="0" applyFont="1" applyFill="1" applyBorder="1" applyAlignment="1">
      <alignment horizontal="center" vertical="center" wrapText="1"/>
    </xf>
    <xf numFmtId="0" fontId="32" fillId="2" borderId="25" xfId="0" applyFont="1" applyFill="1" applyBorder="1" applyAlignment="1">
      <alignment horizontal="center" vertical="center" wrapText="1"/>
    </xf>
    <xf numFmtId="0" fontId="32" fillId="2" borderId="26" xfId="0" applyFont="1" applyFill="1" applyBorder="1" applyAlignment="1">
      <alignment horizontal="center" vertical="center" wrapText="1"/>
    </xf>
    <xf numFmtId="0" fontId="32" fillId="2" borderId="36" xfId="0" applyFont="1" applyFill="1" applyBorder="1" applyAlignment="1">
      <alignment horizontal="center" vertical="center" wrapText="1"/>
    </xf>
    <xf numFmtId="0" fontId="26" fillId="2" borderId="22" xfId="0" applyFont="1" applyFill="1" applyBorder="1" applyAlignment="1">
      <alignment horizontal="center" vertical="center" wrapText="1"/>
    </xf>
    <xf numFmtId="0" fontId="53" fillId="2" borderId="22" xfId="0" applyFont="1" applyFill="1" applyBorder="1" applyAlignment="1">
      <alignment horizontal="center" vertical="center" wrapText="1"/>
    </xf>
    <xf numFmtId="0" fontId="53" fillId="2" borderId="23" xfId="0" applyFont="1" applyFill="1" applyBorder="1" applyAlignment="1">
      <alignment horizontal="center" vertical="center" wrapText="1"/>
    </xf>
    <xf numFmtId="0" fontId="53" fillId="2" borderId="43" xfId="0" applyFont="1" applyFill="1" applyBorder="1" applyAlignment="1">
      <alignment horizontal="center" vertical="center" wrapText="1"/>
    </xf>
    <xf numFmtId="0" fontId="53" fillId="2" borderId="25" xfId="0" applyFont="1" applyFill="1" applyBorder="1" applyAlignment="1">
      <alignment horizontal="center" vertical="center" wrapText="1"/>
    </xf>
    <xf numFmtId="0" fontId="53" fillId="2" borderId="26" xfId="0" applyFont="1" applyFill="1" applyBorder="1" applyAlignment="1">
      <alignment horizontal="center" vertical="center" wrapText="1"/>
    </xf>
    <xf numFmtId="0" fontId="53" fillId="2" borderId="36" xfId="0" applyFont="1" applyFill="1" applyBorder="1" applyAlignment="1">
      <alignment horizontal="center" vertical="center" wrapText="1"/>
    </xf>
    <xf numFmtId="0" fontId="36" fillId="2" borderId="28" xfId="0" applyFont="1" applyFill="1" applyBorder="1" applyAlignment="1">
      <alignment horizontal="center" vertical="center" wrapText="1"/>
    </xf>
    <xf numFmtId="0" fontId="36" fillId="2" borderId="0" xfId="0" applyFont="1" applyFill="1" applyBorder="1" applyAlignment="1">
      <alignment horizontal="center" vertical="center" wrapText="1"/>
    </xf>
    <xf numFmtId="0" fontId="36" fillId="2" borderId="44" xfId="0" applyFont="1" applyFill="1" applyBorder="1" applyAlignment="1">
      <alignment horizontal="center" vertical="center" wrapText="1"/>
    </xf>
    <xf numFmtId="0" fontId="53" fillId="2" borderId="28" xfId="0" applyFont="1" applyFill="1" applyBorder="1" applyAlignment="1">
      <alignment horizontal="center" vertical="center" wrapText="1"/>
    </xf>
    <xf numFmtId="0" fontId="53" fillId="2" borderId="0" xfId="0" applyFont="1" applyFill="1" applyBorder="1" applyAlignment="1">
      <alignment horizontal="center" vertical="center" wrapText="1"/>
    </xf>
    <xf numFmtId="0" fontId="53" fillId="2" borderId="44" xfId="0" applyFont="1" applyFill="1" applyBorder="1" applyAlignment="1">
      <alignment horizontal="center" vertical="center" wrapText="1"/>
    </xf>
    <xf numFmtId="41" fontId="5" fillId="2" borderId="23" xfId="0" applyNumberFormat="1" applyFont="1" applyFill="1" applyBorder="1" applyAlignment="1">
      <alignment horizontal="left" vertical="center"/>
    </xf>
    <xf numFmtId="41" fontId="5" fillId="2" borderId="24" xfId="0" applyNumberFormat="1" applyFont="1" applyFill="1" applyBorder="1" applyAlignment="1">
      <alignment horizontal="left" vertical="center"/>
    </xf>
    <xf numFmtId="41" fontId="5" fillId="2" borderId="25" xfId="0" applyNumberFormat="1" applyFont="1" applyFill="1" applyBorder="1" applyAlignment="1">
      <alignment horizontal="left" vertical="center"/>
    </xf>
    <xf numFmtId="41" fontId="5" fillId="2" borderId="26" xfId="0" applyNumberFormat="1" applyFont="1" applyFill="1" applyBorder="1" applyAlignment="1">
      <alignment horizontal="left" vertical="center"/>
    </xf>
    <xf numFmtId="41" fontId="5" fillId="2" borderId="27" xfId="0" applyNumberFormat="1" applyFont="1" applyFill="1" applyBorder="1" applyAlignment="1">
      <alignment horizontal="left" vertical="center"/>
    </xf>
    <xf numFmtId="0" fontId="18" fillId="2" borderId="22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18" fillId="2" borderId="25" xfId="0" applyFont="1" applyFill="1" applyBorder="1" applyAlignment="1">
      <alignment horizontal="center" vertical="center"/>
    </xf>
    <xf numFmtId="0" fontId="18" fillId="2" borderId="26" xfId="0" applyFont="1" applyFill="1" applyBorder="1" applyAlignment="1">
      <alignment horizontal="center" vertical="center"/>
    </xf>
    <xf numFmtId="0" fontId="18" fillId="2" borderId="36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176" fontId="5" fillId="0" borderId="32" xfId="0" applyNumberFormat="1" applyFont="1" applyFill="1" applyBorder="1" applyAlignment="1">
      <alignment horizontal="center" vertical="center"/>
    </xf>
    <xf numFmtId="176" fontId="5" fillId="0" borderId="17" xfId="0" applyNumberFormat="1" applyFont="1" applyFill="1" applyBorder="1" applyAlignment="1">
      <alignment horizontal="center" vertical="center"/>
    </xf>
    <xf numFmtId="41" fontId="5" fillId="2" borderId="22" xfId="0" applyNumberFormat="1" applyFont="1" applyFill="1" applyBorder="1" applyAlignment="1">
      <alignment vertical="center" wrapText="1"/>
    </xf>
    <xf numFmtId="41" fontId="5" fillId="2" borderId="23" xfId="0" applyNumberFormat="1" applyFont="1" applyFill="1" applyBorder="1" applyAlignment="1">
      <alignment vertical="center"/>
    </xf>
    <xf numFmtId="41" fontId="5" fillId="2" borderId="24" xfId="0" applyNumberFormat="1" applyFont="1" applyFill="1" applyBorder="1" applyAlignment="1">
      <alignment vertical="center"/>
    </xf>
    <xf numFmtId="41" fontId="5" fillId="2" borderId="25" xfId="0" applyNumberFormat="1" applyFont="1" applyFill="1" applyBorder="1" applyAlignment="1">
      <alignment vertical="center"/>
    </xf>
    <xf numFmtId="41" fontId="5" fillId="2" borderId="26" xfId="0" applyNumberFormat="1" applyFont="1" applyFill="1" applyBorder="1" applyAlignment="1">
      <alignment vertical="center"/>
    </xf>
    <xf numFmtId="41" fontId="5" fillId="2" borderId="27" xfId="0" applyNumberFormat="1" applyFont="1" applyFill="1" applyBorder="1" applyAlignment="1">
      <alignment vertical="center"/>
    </xf>
    <xf numFmtId="176" fontId="23" fillId="2" borderId="30" xfId="0" applyNumberFormat="1" applyFont="1" applyFill="1" applyBorder="1" applyAlignment="1">
      <alignment horizontal="center" vertical="center"/>
    </xf>
    <xf numFmtId="176" fontId="23" fillId="2" borderId="0" xfId="0" applyNumberFormat="1" applyFont="1" applyFill="1" applyBorder="1" applyAlignment="1">
      <alignment horizontal="center" vertical="center"/>
    </xf>
    <xf numFmtId="176" fontId="23" fillId="2" borderId="44" xfId="0" applyNumberFormat="1" applyFont="1" applyFill="1" applyBorder="1" applyAlignment="1">
      <alignment horizontal="center" vertical="center"/>
    </xf>
    <xf numFmtId="176" fontId="5" fillId="2" borderId="42" xfId="0" applyNumberFormat="1" applyFont="1" applyFill="1" applyBorder="1" applyAlignment="1">
      <alignment horizontal="center" vertical="center"/>
    </xf>
    <xf numFmtId="176" fontId="5" fillId="2" borderId="30" xfId="0" applyNumberFormat="1" applyFont="1" applyFill="1" applyBorder="1" applyAlignment="1">
      <alignment horizontal="center" vertical="center"/>
    </xf>
    <xf numFmtId="176" fontId="5" fillId="2" borderId="41" xfId="0" applyNumberFormat="1" applyFont="1" applyFill="1" applyBorder="1" applyAlignment="1">
      <alignment horizontal="center" vertical="center"/>
    </xf>
    <xf numFmtId="41" fontId="5" fillId="0" borderId="1" xfId="0" applyNumberFormat="1" applyFont="1" applyFill="1" applyBorder="1" applyAlignment="1">
      <alignment horizontal="center" vertical="center" wrapText="1"/>
    </xf>
    <xf numFmtId="0" fontId="53" fillId="0" borderId="22" xfId="0" applyFont="1" applyFill="1" applyBorder="1" applyAlignment="1">
      <alignment horizontal="center" vertical="center"/>
    </xf>
    <xf numFmtId="0" fontId="53" fillId="0" borderId="23" xfId="0" applyFont="1" applyFill="1" applyBorder="1" applyAlignment="1">
      <alignment horizontal="center" vertical="center"/>
    </xf>
    <xf numFmtId="0" fontId="53" fillId="0" borderId="43" xfId="0" applyFont="1" applyFill="1" applyBorder="1" applyAlignment="1">
      <alignment horizontal="center" vertical="center"/>
    </xf>
    <xf numFmtId="0" fontId="53" fillId="0" borderId="28" xfId="0" applyFont="1" applyFill="1" applyBorder="1" applyAlignment="1">
      <alignment horizontal="center" vertical="center"/>
    </xf>
    <xf numFmtId="0" fontId="53" fillId="0" borderId="0" xfId="0" applyFont="1" applyFill="1" applyBorder="1" applyAlignment="1">
      <alignment horizontal="center" vertical="center"/>
    </xf>
    <xf numFmtId="0" fontId="53" fillId="0" borderId="44" xfId="0" applyFont="1" applyFill="1" applyBorder="1" applyAlignment="1">
      <alignment horizontal="center" vertical="center"/>
    </xf>
    <xf numFmtId="0" fontId="53" fillId="0" borderId="25" xfId="0" applyFont="1" applyFill="1" applyBorder="1" applyAlignment="1">
      <alignment horizontal="center" vertical="center"/>
    </xf>
    <xf numFmtId="0" fontId="53" fillId="0" borderId="26" xfId="0" applyFont="1" applyFill="1" applyBorder="1" applyAlignment="1">
      <alignment horizontal="center" vertical="center"/>
    </xf>
    <xf numFmtId="0" fontId="53" fillId="0" borderId="36" xfId="0" applyFont="1" applyFill="1" applyBorder="1" applyAlignment="1">
      <alignment horizontal="center" vertical="center"/>
    </xf>
    <xf numFmtId="0" fontId="18" fillId="0" borderId="22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center" vertical="center"/>
    </xf>
    <xf numFmtId="0" fontId="18" fillId="0" borderId="43" xfId="0" applyFont="1" applyFill="1" applyBorder="1" applyAlignment="1">
      <alignment horizontal="center" vertical="center"/>
    </xf>
    <xf numFmtId="0" fontId="18" fillId="0" borderId="25" xfId="0" applyFont="1" applyFill="1" applyBorder="1" applyAlignment="1">
      <alignment horizontal="center" vertical="center"/>
    </xf>
    <xf numFmtId="0" fontId="18" fillId="0" borderId="26" xfId="0" applyFont="1" applyFill="1" applyBorder="1" applyAlignment="1">
      <alignment horizontal="center" vertical="center"/>
    </xf>
    <xf numFmtId="0" fontId="18" fillId="0" borderId="3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41" fontId="5" fillId="0" borderId="18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51" fillId="0" borderId="22" xfId="0" applyFont="1" applyFill="1" applyBorder="1" applyAlignment="1">
      <alignment horizontal="center" vertical="center"/>
    </xf>
    <xf numFmtId="0" fontId="51" fillId="0" borderId="23" xfId="0" applyFont="1" applyFill="1" applyBorder="1" applyAlignment="1">
      <alignment horizontal="center" vertical="center"/>
    </xf>
    <xf numFmtId="0" fontId="51" fillId="0" borderId="43" xfId="0" applyFont="1" applyFill="1" applyBorder="1" applyAlignment="1">
      <alignment horizontal="center" vertical="center"/>
    </xf>
    <xf numFmtId="0" fontId="51" fillId="0" borderId="25" xfId="0" applyFont="1" applyFill="1" applyBorder="1" applyAlignment="1">
      <alignment horizontal="center" vertical="center"/>
    </xf>
    <xf numFmtId="0" fontId="51" fillId="0" borderId="26" xfId="0" applyFont="1" applyFill="1" applyBorder="1" applyAlignment="1">
      <alignment horizontal="center" vertical="center"/>
    </xf>
    <xf numFmtId="0" fontId="51" fillId="0" borderId="36" xfId="0" applyFont="1" applyFill="1" applyBorder="1" applyAlignment="1">
      <alignment horizontal="center" vertical="center"/>
    </xf>
    <xf numFmtId="0" fontId="5" fillId="0" borderId="32" xfId="0" applyNumberFormat="1" applyFont="1" applyFill="1" applyBorder="1" applyAlignment="1">
      <alignment horizontal="center" vertical="center"/>
    </xf>
    <xf numFmtId="0" fontId="5" fillId="0" borderId="34" xfId="0" applyFont="1" applyFill="1" applyBorder="1" applyAlignment="1">
      <alignment horizontal="center" vertical="center"/>
    </xf>
    <xf numFmtId="41" fontId="5" fillId="0" borderId="34" xfId="0" applyNumberFormat="1" applyFont="1" applyFill="1" applyBorder="1" applyAlignment="1">
      <alignment horizontal="center" vertical="center"/>
    </xf>
    <xf numFmtId="41" fontId="5" fillId="3" borderId="45" xfId="0" applyNumberFormat="1" applyFont="1" applyFill="1" applyBorder="1" applyAlignment="1">
      <alignment horizontal="center" vertical="center"/>
    </xf>
    <xf numFmtId="0" fontId="5" fillId="2" borderId="46" xfId="0" applyFont="1" applyFill="1" applyBorder="1" applyAlignment="1">
      <alignment horizontal="center" vertical="center"/>
    </xf>
    <xf numFmtId="0" fontId="29" fillId="2" borderId="28" xfId="0" applyFont="1" applyFill="1" applyBorder="1" applyAlignment="1">
      <alignment horizontal="center" vertical="center" wrapText="1"/>
    </xf>
    <xf numFmtId="0" fontId="29" fillId="2" borderId="0" xfId="0" applyFont="1" applyFill="1" applyBorder="1" applyAlignment="1">
      <alignment horizontal="center" vertical="center" wrapText="1"/>
    </xf>
    <xf numFmtId="0" fontId="29" fillId="2" borderId="44" xfId="0" applyFont="1" applyFill="1" applyBorder="1" applyAlignment="1">
      <alignment horizontal="center" vertical="center" wrapText="1"/>
    </xf>
    <xf numFmtId="0" fontId="23" fillId="2" borderId="45" xfId="0" applyFont="1" applyFill="1" applyBorder="1" applyAlignment="1">
      <alignment horizontal="center" vertical="center"/>
    </xf>
    <xf numFmtId="0" fontId="23" fillId="2" borderId="39" xfId="0" applyFont="1" applyFill="1" applyBorder="1" applyAlignment="1">
      <alignment horizontal="center" vertical="center"/>
    </xf>
    <xf numFmtId="0" fontId="23" fillId="2" borderId="40" xfId="0" applyFont="1" applyFill="1" applyBorder="1" applyAlignment="1">
      <alignment horizontal="center" vertical="center"/>
    </xf>
    <xf numFmtId="0" fontId="24" fillId="2" borderId="43" xfId="0" applyFont="1" applyFill="1" applyBorder="1" applyAlignment="1">
      <alignment horizontal="center" vertical="center" wrapText="1"/>
    </xf>
    <xf numFmtId="0" fontId="24" fillId="2" borderId="36" xfId="0" applyFont="1" applyFill="1" applyBorder="1" applyAlignment="1">
      <alignment horizontal="center" vertical="center" wrapText="1"/>
    </xf>
    <xf numFmtId="3" fontId="51" fillId="2" borderId="22" xfId="0" applyNumberFormat="1" applyFont="1" applyFill="1" applyBorder="1" applyAlignment="1">
      <alignment horizontal="center" vertical="center" wrapText="1"/>
    </xf>
    <xf numFmtId="0" fontId="51" fillId="2" borderId="28" xfId="0" applyFont="1" applyFill="1" applyBorder="1" applyAlignment="1">
      <alignment horizontal="center" vertical="center" wrapText="1"/>
    </xf>
    <xf numFmtId="0" fontId="51" fillId="2" borderId="0" xfId="0" applyFont="1" applyFill="1" applyBorder="1" applyAlignment="1">
      <alignment horizontal="center" vertical="center" wrapText="1"/>
    </xf>
    <xf numFmtId="0" fontId="51" fillId="2" borderId="44" xfId="0" applyFont="1" applyFill="1" applyBorder="1" applyAlignment="1">
      <alignment horizontal="center" vertical="center" wrapText="1"/>
    </xf>
    <xf numFmtId="0" fontId="29" fillId="0" borderId="22" xfId="0" applyFont="1" applyFill="1" applyBorder="1" applyAlignment="1">
      <alignment horizontal="center" vertical="center"/>
    </xf>
    <xf numFmtId="0" fontId="29" fillId="0" borderId="23" xfId="0" applyFont="1" applyFill="1" applyBorder="1" applyAlignment="1">
      <alignment horizontal="center" vertical="center"/>
    </xf>
    <xf numFmtId="0" fontId="29" fillId="0" borderId="43" xfId="0" applyFont="1" applyFill="1" applyBorder="1" applyAlignment="1">
      <alignment horizontal="center" vertical="center"/>
    </xf>
    <xf numFmtId="0" fontId="29" fillId="0" borderId="25" xfId="0" applyFont="1" applyFill="1" applyBorder="1" applyAlignment="1">
      <alignment horizontal="center" vertical="center"/>
    </xf>
    <xf numFmtId="0" fontId="29" fillId="0" borderId="26" xfId="0" applyFont="1" applyFill="1" applyBorder="1" applyAlignment="1">
      <alignment horizontal="center" vertical="center"/>
    </xf>
    <xf numFmtId="0" fontId="29" fillId="0" borderId="36" xfId="0" applyFont="1" applyFill="1" applyBorder="1" applyAlignment="1">
      <alignment horizontal="center" vertical="center"/>
    </xf>
    <xf numFmtId="41" fontId="52" fillId="2" borderId="22" xfId="0" applyNumberFormat="1" applyFont="1" applyFill="1" applyBorder="1" applyAlignment="1">
      <alignment horizontal="center" vertical="center" wrapText="1"/>
    </xf>
    <xf numFmtId="41" fontId="52" fillId="2" borderId="23" xfId="0" applyNumberFormat="1" applyFont="1" applyFill="1" applyBorder="1" applyAlignment="1">
      <alignment horizontal="center" vertical="center"/>
    </xf>
    <xf numFmtId="41" fontId="52" fillId="2" borderId="24" xfId="0" applyNumberFormat="1" applyFont="1" applyFill="1" applyBorder="1" applyAlignment="1">
      <alignment horizontal="center" vertical="center"/>
    </xf>
    <xf numFmtId="41" fontId="52" fillId="2" borderId="25" xfId="0" applyNumberFormat="1" applyFont="1" applyFill="1" applyBorder="1" applyAlignment="1">
      <alignment horizontal="center" vertical="center"/>
    </xf>
    <xf numFmtId="41" fontId="52" fillId="2" borderId="26" xfId="0" applyNumberFormat="1" applyFont="1" applyFill="1" applyBorder="1" applyAlignment="1">
      <alignment horizontal="center" vertical="center"/>
    </xf>
    <xf numFmtId="41" fontId="52" fillId="2" borderId="27" xfId="0" applyNumberFormat="1" applyFont="1" applyFill="1" applyBorder="1" applyAlignment="1">
      <alignment horizontal="center" vertical="center"/>
    </xf>
    <xf numFmtId="41" fontId="5" fillId="3" borderId="34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18" xfId="0" applyNumberFormat="1" applyFont="1" applyFill="1" applyBorder="1" applyAlignment="1">
      <alignment horizontal="center" vertical="center"/>
    </xf>
    <xf numFmtId="0" fontId="53" fillId="2" borderId="22" xfId="0" applyFont="1" applyFill="1" applyBorder="1" applyAlignment="1">
      <alignment horizontal="center" vertical="center"/>
    </xf>
    <xf numFmtId="0" fontId="53" fillId="2" borderId="23" xfId="0" applyFont="1" applyFill="1" applyBorder="1" applyAlignment="1">
      <alignment horizontal="center" vertical="center"/>
    </xf>
    <xf numFmtId="0" fontId="53" fillId="2" borderId="24" xfId="0" applyFont="1" applyFill="1" applyBorder="1" applyAlignment="1">
      <alignment horizontal="center" vertical="center"/>
    </xf>
    <xf numFmtId="0" fontId="53" fillId="2" borderId="25" xfId="0" applyFont="1" applyFill="1" applyBorder="1" applyAlignment="1">
      <alignment horizontal="center" vertical="center"/>
    </xf>
    <xf numFmtId="0" fontId="53" fillId="2" borderId="26" xfId="0" applyFont="1" applyFill="1" applyBorder="1" applyAlignment="1">
      <alignment horizontal="center" vertical="center"/>
    </xf>
    <xf numFmtId="0" fontId="53" fillId="2" borderId="27" xfId="0" applyFont="1" applyFill="1" applyBorder="1" applyAlignment="1">
      <alignment horizontal="center" vertical="center"/>
    </xf>
    <xf numFmtId="41" fontId="5" fillId="3" borderId="18" xfId="0" applyNumberFormat="1" applyFont="1" applyFill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/>
    </xf>
    <xf numFmtId="0" fontId="23" fillId="0" borderId="23" xfId="0" applyFont="1" applyFill="1" applyBorder="1" applyAlignment="1">
      <alignment horizontal="center" vertical="center"/>
    </xf>
    <xf numFmtId="0" fontId="23" fillId="0" borderId="43" xfId="0" applyFont="1" applyFill="1" applyBorder="1" applyAlignment="1">
      <alignment horizontal="center" vertical="center"/>
    </xf>
    <xf numFmtId="0" fontId="23" fillId="0" borderId="25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/>
    </xf>
    <xf numFmtId="0" fontId="23" fillId="0" borderId="36" xfId="0" applyFont="1" applyFill="1" applyBorder="1" applyAlignment="1">
      <alignment horizontal="center" vertical="center"/>
    </xf>
    <xf numFmtId="0" fontId="56" fillId="0" borderId="22" xfId="0" applyFont="1" applyFill="1" applyBorder="1" applyAlignment="1">
      <alignment horizontal="center" vertical="center"/>
    </xf>
    <xf numFmtId="0" fontId="56" fillId="0" borderId="23" xfId="0" applyFont="1" applyFill="1" applyBorder="1" applyAlignment="1">
      <alignment horizontal="center" vertical="center"/>
    </xf>
    <xf numFmtId="0" fontId="56" fillId="0" borderId="43" xfId="0" applyFont="1" applyFill="1" applyBorder="1" applyAlignment="1">
      <alignment horizontal="center" vertical="center"/>
    </xf>
    <xf numFmtId="0" fontId="56" fillId="0" borderId="25" xfId="0" applyFont="1" applyFill="1" applyBorder="1" applyAlignment="1">
      <alignment horizontal="center" vertical="center"/>
    </xf>
    <xf numFmtId="0" fontId="56" fillId="0" borderId="26" xfId="0" applyFont="1" applyFill="1" applyBorder="1" applyAlignment="1">
      <alignment horizontal="center" vertical="center"/>
    </xf>
    <xf numFmtId="0" fontId="56" fillId="0" borderId="36" xfId="0" applyFont="1" applyFill="1" applyBorder="1" applyAlignment="1">
      <alignment horizontal="center" vertical="center"/>
    </xf>
    <xf numFmtId="0" fontId="55" fillId="2" borderId="22" xfId="0" applyFont="1" applyFill="1" applyBorder="1" applyAlignment="1">
      <alignment horizontal="center" vertical="center" wrapText="1"/>
    </xf>
    <xf numFmtId="0" fontId="55" fillId="2" borderId="23" xfId="0" applyFont="1" applyFill="1" applyBorder="1" applyAlignment="1">
      <alignment horizontal="center" vertical="center" wrapText="1"/>
    </xf>
    <xf numFmtId="0" fontId="55" fillId="2" borderId="43" xfId="0" applyFont="1" applyFill="1" applyBorder="1" applyAlignment="1">
      <alignment horizontal="center" vertical="center" wrapText="1"/>
    </xf>
    <xf numFmtId="0" fontId="55" fillId="2" borderId="25" xfId="0" applyFont="1" applyFill="1" applyBorder="1" applyAlignment="1">
      <alignment horizontal="center" vertical="center" wrapText="1"/>
    </xf>
    <xf numFmtId="0" fontId="55" fillId="2" borderId="26" xfId="0" applyFont="1" applyFill="1" applyBorder="1" applyAlignment="1">
      <alignment horizontal="center" vertical="center" wrapText="1"/>
    </xf>
    <xf numFmtId="0" fontId="55" fillId="2" borderId="36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23" fillId="2" borderId="43" xfId="0" applyFont="1" applyFill="1" applyBorder="1" applyAlignment="1">
      <alignment horizontal="center" vertical="center"/>
    </xf>
    <xf numFmtId="0" fontId="23" fillId="2" borderId="25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center" vertical="center"/>
    </xf>
    <xf numFmtId="0" fontId="23" fillId="2" borderId="36" xfId="0" applyFont="1" applyFill="1" applyBorder="1" applyAlignment="1">
      <alignment horizontal="center" vertical="center"/>
    </xf>
    <xf numFmtId="0" fontId="23" fillId="2" borderId="24" xfId="0" applyFont="1" applyFill="1" applyBorder="1" applyAlignment="1">
      <alignment horizontal="center" vertical="center"/>
    </xf>
    <xf numFmtId="0" fontId="23" fillId="2" borderId="27" xfId="0" applyFont="1" applyFill="1" applyBorder="1" applyAlignment="1">
      <alignment horizontal="center" vertical="center"/>
    </xf>
    <xf numFmtId="41" fontId="50" fillId="2" borderId="45" xfId="0" applyNumberFormat="1" applyFont="1" applyFill="1" applyBorder="1" applyAlignment="1">
      <alignment horizontal="center" vertical="center"/>
    </xf>
    <xf numFmtId="41" fontId="50" fillId="2" borderId="39" xfId="0" applyNumberFormat="1" applyFont="1" applyFill="1" applyBorder="1" applyAlignment="1">
      <alignment horizontal="center" vertical="center"/>
    </xf>
    <xf numFmtId="41" fontId="50" fillId="2" borderId="46" xfId="0" applyNumberFormat="1" applyFont="1" applyFill="1" applyBorder="1" applyAlignment="1">
      <alignment horizontal="center" vertical="center"/>
    </xf>
    <xf numFmtId="41" fontId="50" fillId="2" borderId="22" xfId="0" applyNumberFormat="1" applyFont="1" applyFill="1" applyBorder="1" applyAlignment="1">
      <alignment horizontal="center" vertical="center" wrapText="1"/>
    </xf>
    <xf numFmtId="41" fontId="50" fillId="2" borderId="23" xfId="0" applyNumberFormat="1" applyFont="1" applyFill="1" applyBorder="1" applyAlignment="1">
      <alignment horizontal="center" vertical="center"/>
    </xf>
    <xf numFmtId="41" fontId="50" fillId="2" borderId="24" xfId="0" applyNumberFormat="1" applyFont="1" applyFill="1" applyBorder="1" applyAlignment="1">
      <alignment horizontal="center" vertical="center"/>
    </xf>
    <xf numFmtId="41" fontId="50" fillId="2" borderId="25" xfId="0" applyNumberFormat="1" applyFont="1" applyFill="1" applyBorder="1" applyAlignment="1">
      <alignment horizontal="center" vertical="center"/>
    </xf>
    <xf numFmtId="41" fontId="50" fillId="2" borderId="26" xfId="0" applyNumberFormat="1" applyFont="1" applyFill="1" applyBorder="1" applyAlignment="1">
      <alignment horizontal="center" vertical="center"/>
    </xf>
    <xf numFmtId="41" fontId="50" fillId="2" borderId="27" xfId="0" applyNumberFormat="1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41" fontId="54" fillId="3" borderId="1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0" fontId="29" fillId="2" borderId="45" xfId="0" applyFont="1" applyFill="1" applyBorder="1" applyAlignment="1">
      <alignment horizontal="center" vertical="center"/>
    </xf>
    <xf numFmtId="0" fontId="29" fillId="2" borderId="39" xfId="0" applyFont="1" applyFill="1" applyBorder="1" applyAlignment="1">
      <alignment horizontal="center" vertical="center"/>
    </xf>
    <xf numFmtId="0" fontId="29" fillId="2" borderId="40" xfId="0" applyFont="1" applyFill="1" applyBorder="1" applyAlignment="1">
      <alignment horizontal="center" vertical="center"/>
    </xf>
    <xf numFmtId="41" fontId="71" fillId="3" borderId="22" xfId="0" applyNumberFormat="1" applyFont="1" applyFill="1" applyBorder="1" applyAlignment="1">
      <alignment horizontal="center" vertical="center" wrapText="1"/>
    </xf>
    <xf numFmtId="41" fontId="71" fillId="3" borderId="23" xfId="0" applyNumberFormat="1" applyFont="1" applyFill="1" applyBorder="1" applyAlignment="1">
      <alignment horizontal="center" vertical="center"/>
    </xf>
    <xf numFmtId="41" fontId="71" fillId="3" borderId="24" xfId="0" applyNumberFormat="1" applyFont="1" applyFill="1" applyBorder="1" applyAlignment="1">
      <alignment horizontal="center" vertical="center"/>
    </xf>
    <xf numFmtId="41" fontId="71" fillId="3" borderId="25" xfId="0" applyNumberFormat="1" applyFont="1" applyFill="1" applyBorder="1" applyAlignment="1">
      <alignment horizontal="center" vertical="center"/>
    </xf>
    <xf numFmtId="41" fontId="71" fillId="3" borderId="26" xfId="0" applyNumberFormat="1" applyFont="1" applyFill="1" applyBorder="1" applyAlignment="1">
      <alignment horizontal="center" vertical="center"/>
    </xf>
    <xf numFmtId="41" fontId="71" fillId="3" borderId="27" xfId="0" applyNumberFormat="1" applyFont="1" applyFill="1" applyBorder="1" applyAlignment="1">
      <alignment horizontal="center" vertical="center"/>
    </xf>
    <xf numFmtId="41" fontId="54" fillId="2" borderId="1" xfId="0" applyNumberFormat="1" applyFont="1" applyFill="1" applyBorder="1" applyAlignment="1">
      <alignment horizontal="left" vertical="center"/>
    </xf>
    <xf numFmtId="0" fontId="51" fillId="2" borderId="22" xfId="0" applyFont="1" applyFill="1" applyBorder="1" applyAlignment="1">
      <alignment horizontal="center" vertical="center"/>
    </xf>
    <xf numFmtId="0" fontId="51" fillId="2" borderId="23" xfId="0" applyFont="1" applyFill="1" applyBorder="1" applyAlignment="1">
      <alignment horizontal="center" vertical="center"/>
    </xf>
    <xf numFmtId="0" fontId="51" fillId="2" borderId="24" xfId="0" applyFont="1" applyFill="1" applyBorder="1" applyAlignment="1">
      <alignment horizontal="center" vertical="center"/>
    </xf>
    <xf numFmtId="0" fontId="51" fillId="2" borderId="25" xfId="0" applyFont="1" applyFill="1" applyBorder="1" applyAlignment="1">
      <alignment horizontal="center" vertical="center"/>
    </xf>
    <xf numFmtId="0" fontId="51" fillId="2" borderId="26" xfId="0" applyFont="1" applyFill="1" applyBorder="1" applyAlignment="1">
      <alignment horizontal="center" vertical="center"/>
    </xf>
    <xf numFmtId="0" fontId="51" fillId="2" borderId="27" xfId="0" applyFont="1" applyFill="1" applyBorder="1" applyAlignment="1">
      <alignment horizontal="center" vertical="center"/>
    </xf>
    <xf numFmtId="41" fontId="50" fillId="3" borderId="39" xfId="0" applyNumberFormat="1" applyFont="1" applyFill="1" applyBorder="1" applyAlignment="1">
      <alignment horizontal="center" vertical="center"/>
    </xf>
    <xf numFmtId="41" fontId="50" fillId="3" borderId="46" xfId="0" applyNumberFormat="1" applyFont="1" applyFill="1" applyBorder="1" applyAlignment="1">
      <alignment horizontal="center" vertical="center"/>
    </xf>
    <xf numFmtId="41" fontId="71" fillId="2" borderId="22" xfId="0" applyNumberFormat="1" applyFont="1" applyFill="1" applyBorder="1" applyAlignment="1">
      <alignment horizontal="center" vertical="center" wrapText="1"/>
    </xf>
    <xf numFmtId="41" fontId="71" fillId="2" borderId="23" xfId="0" applyNumberFormat="1" applyFont="1" applyFill="1" applyBorder="1" applyAlignment="1">
      <alignment horizontal="center" vertical="center"/>
    </xf>
    <xf numFmtId="41" fontId="71" fillId="2" borderId="24" xfId="0" applyNumberFormat="1" applyFont="1" applyFill="1" applyBorder="1" applyAlignment="1">
      <alignment horizontal="center" vertical="center"/>
    </xf>
    <xf numFmtId="41" fontId="71" fillId="2" borderId="25" xfId="0" applyNumberFormat="1" applyFont="1" applyFill="1" applyBorder="1" applyAlignment="1">
      <alignment horizontal="center" vertical="center"/>
    </xf>
    <xf numFmtId="41" fontId="71" fillId="2" borderId="26" xfId="0" applyNumberFormat="1" applyFont="1" applyFill="1" applyBorder="1" applyAlignment="1">
      <alignment horizontal="center" vertical="center"/>
    </xf>
    <xf numFmtId="41" fontId="71" fillId="2" borderId="27" xfId="0" applyNumberFormat="1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41" fontId="54" fillId="2" borderId="1" xfId="0" applyNumberFormat="1" applyFont="1" applyFill="1" applyBorder="1" applyAlignment="1">
      <alignment horizontal="center" vertical="center"/>
    </xf>
    <xf numFmtId="0" fontId="9" fillId="2" borderId="43" xfId="0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horizontal="center" vertical="center"/>
    </xf>
    <xf numFmtId="42" fontId="51" fillId="2" borderId="22" xfId="3" applyFont="1" applyFill="1" applyBorder="1" applyAlignment="1">
      <alignment horizontal="center" vertical="center"/>
    </xf>
    <xf numFmtId="42" fontId="51" fillId="2" borderId="23" xfId="3" applyFont="1" applyFill="1" applyBorder="1" applyAlignment="1">
      <alignment horizontal="center" vertical="center"/>
    </xf>
    <xf numFmtId="42" fontId="51" fillId="2" borderId="43" xfId="3" applyFont="1" applyFill="1" applyBorder="1" applyAlignment="1">
      <alignment horizontal="center" vertical="center"/>
    </xf>
    <xf numFmtId="42" fontId="51" fillId="2" borderId="25" xfId="3" applyFont="1" applyFill="1" applyBorder="1" applyAlignment="1">
      <alignment horizontal="center" vertical="center"/>
    </xf>
    <xf numFmtId="42" fontId="51" fillId="2" borderId="26" xfId="3" applyFont="1" applyFill="1" applyBorder="1" applyAlignment="1">
      <alignment horizontal="center" vertical="center"/>
    </xf>
    <xf numFmtId="42" fontId="51" fillId="2" borderId="36" xfId="3" applyFont="1" applyFill="1" applyBorder="1" applyAlignment="1">
      <alignment horizontal="center" vertical="center"/>
    </xf>
    <xf numFmtId="41" fontId="14" fillId="2" borderId="1" xfId="2" applyNumberFormat="1" applyFill="1" applyBorder="1" applyAlignment="1">
      <alignment horizontal="center" vertical="center"/>
    </xf>
    <xf numFmtId="3" fontId="72" fillId="2" borderId="22" xfId="0" applyNumberFormat="1" applyFont="1" applyFill="1" applyBorder="1" applyAlignment="1">
      <alignment horizontal="center" vertical="center"/>
    </xf>
    <xf numFmtId="0" fontId="72" fillId="2" borderId="23" xfId="0" applyFont="1" applyFill="1" applyBorder="1" applyAlignment="1">
      <alignment horizontal="center" vertical="center"/>
    </xf>
    <xf numFmtId="0" fontId="72" fillId="2" borderId="43" xfId="0" applyFont="1" applyFill="1" applyBorder="1" applyAlignment="1">
      <alignment horizontal="center" vertical="center"/>
    </xf>
    <xf numFmtId="0" fontId="72" fillId="2" borderId="25" xfId="0" applyFont="1" applyFill="1" applyBorder="1" applyAlignment="1">
      <alignment horizontal="center" vertical="center"/>
    </xf>
    <xf numFmtId="0" fontId="72" fillId="2" borderId="26" xfId="0" applyFont="1" applyFill="1" applyBorder="1" applyAlignment="1">
      <alignment horizontal="center" vertical="center"/>
    </xf>
    <xf numFmtId="0" fontId="72" fillId="2" borderId="36" xfId="0" applyFont="1" applyFill="1" applyBorder="1" applyAlignment="1">
      <alignment horizontal="center" vertical="center"/>
    </xf>
    <xf numFmtId="41" fontId="14" fillId="3" borderId="1" xfId="2" applyNumberFormat="1" applyFill="1" applyBorder="1" applyAlignment="1">
      <alignment horizontal="center" vertical="center"/>
    </xf>
    <xf numFmtId="3" fontId="9" fillId="2" borderId="22" xfId="0" applyNumberFormat="1" applyFont="1" applyFill="1" applyBorder="1" applyAlignment="1">
      <alignment horizontal="center" vertical="center"/>
    </xf>
    <xf numFmtId="3" fontId="5" fillId="2" borderId="22" xfId="0" applyNumberFormat="1" applyFont="1" applyFill="1" applyBorder="1" applyAlignment="1">
      <alignment horizontal="center" vertical="center" wrapText="1"/>
    </xf>
    <xf numFmtId="3" fontId="5" fillId="2" borderId="2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">
    <cellStyle name="쉼표 [0]" xfId="1" builtinId="6"/>
    <cellStyle name="통화 [0]" xfId="3" builtinId="7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17"/>
  <sheetViews>
    <sheetView workbookViewId="0">
      <selection activeCell="D20" sqref="D20"/>
    </sheetView>
  </sheetViews>
  <sheetFormatPr defaultRowHeight="16.5"/>
  <cols>
    <col min="1" max="3" width="9" style="5"/>
    <col min="4" max="7" width="12.125" style="5" customWidth="1"/>
    <col min="8" max="8" width="10.125" style="5" bestFit="1" customWidth="1"/>
    <col min="9" max="16384" width="9" style="5"/>
  </cols>
  <sheetData>
    <row r="2" spans="3:8" ht="17.25" thickBot="1"/>
    <row r="3" spans="3:8" ht="21" thickBot="1">
      <c r="C3" s="19">
        <v>2020</v>
      </c>
    </row>
    <row r="4" spans="3:8" ht="21" thickBot="1">
      <c r="C4" s="18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7" t="s">
        <v>11</v>
      </c>
    </row>
    <row r="5" spans="3:8" ht="20.25">
      <c r="C5" s="8" t="s">
        <v>12</v>
      </c>
      <c r="D5" s="9"/>
      <c r="E5" s="9"/>
      <c r="F5" s="9"/>
      <c r="G5" s="9"/>
      <c r="H5" s="10"/>
    </row>
    <row r="6" spans="3:8" ht="20.25">
      <c r="C6" s="11" t="s">
        <v>13</v>
      </c>
      <c r="D6" s="12"/>
      <c r="E6" s="12"/>
      <c r="F6" s="12"/>
      <c r="G6" s="12"/>
      <c r="H6" s="13" t="e">
        <f>G6/G5*100</f>
        <v>#DIV/0!</v>
      </c>
    </row>
    <row r="7" spans="3:8" ht="20.25">
      <c r="C7" s="11" t="s">
        <v>14</v>
      </c>
      <c r="D7" s="12"/>
      <c r="E7" s="12"/>
      <c r="F7" s="12"/>
      <c r="G7" s="12"/>
      <c r="H7" s="14" t="e">
        <f t="shared" ref="H7:H16" si="0">G7/G6*100</f>
        <v>#DIV/0!</v>
      </c>
    </row>
    <row r="8" spans="3:8" ht="20.25">
      <c r="C8" s="11" t="s">
        <v>15</v>
      </c>
      <c r="D8" s="12"/>
      <c r="E8" s="12"/>
      <c r="F8" s="12"/>
      <c r="G8" s="12"/>
      <c r="H8" s="14" t="e">
        <f t="shared" si="0"/>
        <v>#DIV/0!</v>
      </c>
    </row>
    <row r="9" spans="3:8" ht="20.25">
      <c r="C9" s="11" t="s">
        <v>16</v>
      </c>
      <c r="D9" s="12"/>
      <c r="E9" s="12"/>
      <c r="F9" s="12"/>
      <c r="G9" s="12"/>
      <c r="H9" s="14" t="e">
        <f t="shared" si="0"/>
        <v>#DIV/0!</v>
      </c>
    </row>
    <row r="10" spans="3:8" ht="20.25">
      <c r="C10" s="11" t="s">
        <v>17</v>
      </c>
      <c r="D10" s="12"/>
      <c r="E10" s="12"/>
      <c r="F10" s="12"/>
      <c r="G10" s="12"/>
      <c r="H10" s="14" t="e">
        <f t="shared" si="0"/>
        <v>#DIV/0!</v>
      </c>
    </row>
    <row r="11" spans="3:8" ht="20.25">
      <c r="C11" s="11" t="s">
        <v>18</v>
      </c>
      <c r="D11" s="12"/>
      <c r="E11" s="12"/>
      <c r="F11" s="12"/>
      <c r="G11" s="12"/>
      <c r="H11" s="14" t="e">
        <f t="shared" si="0"/>
        <v>#DIV/0!</v>
      </c>
    </row>
    <row r="12" spans="3:8" ht="20.25">
      <c r="C12" s="11" t="s">
        <v>19</v>
      </c>
      <c r="D12" s="12"/>
      <c r="E12" s="12"/>
      <c r="F12" s="12"/>
      <c r="G12" s="12"/>
      <c r="H12" s="14" t="e">
        <f t="shared" si="0"/>
        <v>#DIV/0!</v>
      </c>
    </row>
    <row r="13" spans="3:8" ht="20.25">
      <c r="C13" s="11" t="s">
        <v>20</v>
      </c>
      <c r="D13" s="12"/>
      <c r="E13" s="12"/>
      <c r="F13" s="12"/>
      <c r="G13" s="12"/>
      <c r="H13" s="14" t="e">
        <f t="shared" si="0"/>
        <v>#DIV/0!</v>
      </c>
    </row>
    <row r="14" spans="3:8" ht="20.25">
      <c r="C14" s="11" t="s">
        <v>21</v>
      </c>
      <c r="D14" s="12"/>
      <c r="E14" s="12"/>
      <c r="F14" s="12"/>
      <c r="G14" s="12"/>
      <c r="H14" s="14" t="e">
        <f t="shared" si="0"/>
        <v>#DIV/0!</v>
      </c>
    </row>
    <row r="15" spans="3:8" ht="20.25">
      <c r="C15" s="11" t="s">
        <v>22</v>
      </c>
      <c r="D15" s="12"/>
      <c r="E15" s="12"/>
      <c r="F15" s="12"/>
      <c r="G15" s="12"/>
      <c r="H15" s="14" t="e">
        <f t="shared" si="0"/>
        <v>#DIV/0!</v>
      </c>
    </row>
    <row r="16" spans="3:8" ht="20.25">
      <c r="C16" s="11" t="s">
        <v>23</v>
      </c>
      <c r="D16" s="12"/>
      <c r="E16" s="12"/>
      <c r="F16" s="12"/>
      <c r="G16" s="12"/>
      <c r="H16" s="14" t="e">
        <f t="shared" si="0"/>
        <v>#DIV/0!</v>
      </c>
    </row>
    <row r="17" spans="3:8" ht="21" thickBot="1">
      <c r="C17" s="15" t="s">
        <v>24</v>
      </c>
      <c r="D17" s="16">
        <f>SUM(D5:D16)</f>
        <v>0</v>
      </c>
      <c r="E17" s="16">
        <f>SUM(E5:E16)</f>
        <v>0</v>
      </c>
      <c r="F17" s="16">
        <f>SUM(F5:F16)</f>
        <v>0</v>
      </c>
      <c r="G17" s="16">
        <f>SUM(G5:G16)</f>
        <v>0</v>
      </c>
      <c r="H17" s="17"/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3F36263-DCEC-4939-92C0-86B36ECE039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H5:H16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324"/>
  <sheetViews>
    <sheetView showGridLines="0" zoomScale="115" zoomScaleNormal="115" workbookViewId="0">
      <pane xSplit="8" ySplit="2" topLeftCell="I21" activePane="bottomRight" state="frozen"/>
      <selection pane="topRight" activeCell="I1" sqref="I1"/>
      <selection pane="bottomLeft" activeCell="A3" sqref="A3"/>
      <selection pane="bottomRight" activeCell="K34" sqref="K34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1" max="11" width="9.5" bestFit="1" customWidth="1"/>
    <col min="12" max="12" width="11" bestFit="1" customWidth="1"/>
    <col min="13" max="14" width="9.25" bestFit="1" customWidth="1"/>
  </cols>
  <sheetData>
    <row r="1" spans="1:18" ht="35.25" customHeight="1" thickBot="1">
      <c r="A1" s="388" t="s">
        <v>28</v>
      </c>
      <c r="B1" s="389"/>
      <c r="C1" s="390" t="s">
        <v>27</v>
      </c>
      <c r="D1" s="391"/>
      <c r="E1" s="21" t="s">
        <v>26</v>
      </c>
      <c r="F1" s="20">
        <f>H1/23</f>
        <v>370347.82608695654</v>
      </c>
      <c r="G1" s="21" t="s">
        <v>4</v>
      </c>
      <c r="H1" s="22">
        <f>SUM(D3:D324)</f>
        <v>8518000</v>
      </c>
      <c r="I1" s="392"/>
      <c r="J1" s="338"/>
      <c r="K1" s="394"/>
      <c r="L1" s="396"/>
      <c r="M1" s="377"/>
      <c r="N1" s="379"/>
      <c r="O1" s="381"/>
      <c r="P1" s="383"/>
      <c r="Q1" s="377"/>
      <c r="R1" s="376"/>
    </row>
    <row r="2" spans="1:18" ht="17.25" thickBot="1">
      <c r="A2" s="27" t="s">
        <v>0</v>
      </c>
      <c r="B2" s="28" t="s">
        <v>1</v>
      </c>
      <c r="C2" s="28" t="s">
        <v>2</v>
      </c>
      <c r="D2" s="29" t="s">
        <v>3</v>
      </c>
      <c r="E2" s="385" t="s">
        <v>25</v>
      </c>
      <c r="F2" s="386"/>
      <c r="G2" s="387"/>
      <c r="H2" s="25" t="s">
        <v>5</v>
      </c>
      <c r="I2" s="393"/>
      <c r="J2" s="333"/>
      <c r="K2" s="395"/>
      <c r="L2" s="397"/>
      <c r="M2" s="378"/>
      <c r="N2" s="380"/>
      <c r="O2" s="382"/>
      <c r="P2" s="384"/>
      <c r="Q2" s="378"/>
      <c r="R2" s="376"/>
    </row>
    <row r="3" spans="1:18" ht="16.5" customHeight="1">
      <c r="A3" s="375" t="s">
        <v>29</v>
      </c>
      <c r="B3" s="342" t="s">
        <v>30</v>
      </c>
      <c r="C3" s="352" t="s">
        <v>32</v>
      </c>
      <c r="D3" s="344">
        <v>90000</v>
      </c>
      <c r="E3" s="337" t="s">
        <v>36</v>
      </c>
      <c r="F3" s="326"/>
      <c r="G3" s="326"/>
      <c r="H3" s="360" t="s">
        <v>31</v>
      </c>
    </row>
    <row r="4" spans="1:18" ht="16.5" customHeight="1">
      <c r="A4" s="323"/>
      <c r="B4" s="325"/>
      <c r="C4" s="325"/>
      <c r="D4" s="326"/>
      <c r="E4" s="326"/>
      <c r="F4" s="326"/>
      <c r="G4" s="326"/>
      <c r="H4" s="359"/>
    </row>
    <row r="5" spans="1:18" ht="16.5" customHeight="1">
      <c r="A5" s="322" t="s">
        <v>33</v>
      </c>
      <c r="B5" s="341" t="s">
        <v>34</v>
      </c>
      <c r="C5" s="341" t="s">
        <v>35</v>
      </c>
      <c r="D5" s="343">
        <v>320000</v>
      </c>
      <c r="E5" s="369" t="s">
        <v>37</v>
      </c>
      <c r="F5" s="370"/>
      <c r="G5" s="371"/>
      <c r="H5" s="360" t="s">
        <v>38</v>
      </c>
    </row>
    <row r="6" spans="1:18" ht="16.5" customHeight="1">
      <c r="A6" s="323"/>
      <c r="B6" s="342"/>
      <c r="C6" s="352"/>
      <c r="D6" s="344"/>
      <c r="E6" s="372"/>
      <c r="F6" s="373"/>
      <c r="G6" s="374"/>
      <c r="H6" s="359"/>
    </row>
    <row r="7" spans="1:18" ht="16.5" customHeight="1">
      <c r="A7" s="322" t="s">
        <v>39</v>
      </c>
      <c r="B7" s="341" t="s">
        <v>41</v>
      </c>
      <c r="C7" s="353" t="s">
        <v>40</v>
      </c>
      <c r="D7" s="343">
        <v>80000</v>
      </c>
      <c r="E7" s="327" t="s">
        <v>42</v>
      </c>
      <c r="F7" s="345"/>
      <c r="G7" s="346"/>
      <c r="H7" s="360" t="s">
        <v>38</v>
      </c>
    </row>
    <row r="8" spans="1:18" ht="16.5" customHeight="1">
      <c r="A8" s="323"/>
      <c r="B8" s="342"/>
      <c r="C8" s="352"/>
      <c r="D8" s="344"/>
      <c r="E8" s="347"/>
      <c r="F8" s="348"/>
      <c r="G8" s="349"/>
      <c r="H8" s="359"/>
    </row>
    <row r="9" spans="1:18" ht="16.5" customHeight="1">
      <c r="A9" s="322" t="s">
        <v>44</v>
      </c>
      <c r="B9" s="341" t="s">
        <v>43</v>
      </c>
      <c r="C9" s="353" t="s">
        <v>45</v>
      </c>
      <c r="D9" s="343">
        <v>90000</v>
      </c>
      <c r="E9" s="327" t="s">
        <v>63</v>
      </c>
      <c r="F9" s="345"/>
      <c r="G9" s="346"/>
      <c r="H9" s="360" t="s">
        <v>38</v>
      </c>
    </row>
    <row r="10" spans="1:18" ht="30" customHeight="1">
      <c r="A10" s="323"/>
      <c r="B10" s="342"/>
      <c r="C10" s="352"/>
      <c r="D10" s="344"/>
      <c r="E10" s="347"/>
      <c r="F10" s="348"/>
      <c r="G10" s="349"/>
      <c r="H10" s="359"/>
    </row>
    <row r="11" spans="1:18" ht="16.5" customHeight="1">
      <c r="A11" s="322" t="s">
        <v>46</v>
      </c>
      <c r="B11" s="341" t="s">
        <v>47</v>
      </c>
      <c r="C11" s="341" t="s">
        <v>48</v>
      </c>
      <c r="D11" s="343">
        <v>1280000</v>
      </c>
      <c r="E11" s="327" t="s">
        <v>49</v>
      </c>
      <c r="F11" s="345"/>
      <c r="G11" s="346"/>
      <c r="H11" s="360" t="s">
        <v>38</v>
      </c>
    </row>
    <row r="12" spans="1:18" ht="16.5" customHeight="1">
      <c r="A12" s="323"/>
      <c r="B12" s="342"/>
      <c r="C12" s="342"/>
      <c r="D12" s="344"/>
      <c r="E12" s="347"/>
      <c r="F12" s="348"/>
      <c r="G12" s="349"/>
      <c r="H12" s="359"/>
    </row>
    <row r="13" spans="1:18" ht="16.5" customHeight="1">
      <c r="A13" s="322" t="s">
        <v>50</v>
      </c>
      <c r="B13" s="341" t="s">
        <v>51</v>
      </c>
      <c r="C13" s="341" t="s">
        <v>52</v>
      </c>
      <c r="D13" s="343">
        <v>190000</v>
      </c>
      <c r="E13" s="327" t="s">
        <v>53</v>
      </c>
      <c r="F13" s="345"/>
      <c r="G13" s="346"/>
      <c r="H13" s="360" t="s">
        <v>150</v>
      </c>
    </row>
    <row r="14" spans="1:18" ht="16.5" customHeight="1">
      <c r="A14" s="323"/>
      <c r="B14" s="342"/>
      <c r="C14" s="342"/>
      <c r="D14" s="344"/>
      <c r="E14" s="347"/>
      <c r="F14" s="348"/>
      <c r="G14" s="349"/>
      <c r="H14" s="359"/>
    </row>
    <row r="15" spans="1:18" ht="16.5" customHeight="1">
      <c r="A15" s="322" t="s">
        <v>54</v>
      </c>
      <c r="B15" s="324" t="s">
        <v>55</v>
      </c>
      <c r="C15" s="324" t="s">
        <v>56</v>
      </c>
      <c r="D15" s="326">
        <v>130000</v>
      </c>
      <c r="E15" s="327" t="s">
        <v>57</v>
      </c>
      <c r="F15" s="328"/>
      <c r="G15" s="329"/>
      <c r="H15" s="360" t="s">
        <v>7</v>
      </c>
    </row>
    <row r="16" spans="1:18" ht="16.5" customHeight="1">
      <c r="A16" s="323"/>
      <c r="B16" s="325"/>
      <c r="C16" s="325"/>
      <c r="D16" s="326"/>
      <c r="E16" s="330"/>
      <c r="F16" s="331"/>
      <c r="G16" s="332"/>
      <c r="H16" s="359"/>
    </row>
    <row r="17" spans="1:8" ht="16.5" customHeight="1">
      <c r="A17" s="322" t="s">
        <v>58</v>
      </c>
      <c r="B17" s="324" t="s">
        <v>59</v>
      </c>
      <c r="C17" s="324" t="s">
        <v>60</v>
      </c>
      <c r="D17" s="326">
        <v>132000</v>
      </c>
      <c r="E17" s="327" t="s">
        <v>62</v>
      </c>
      <c r="F17" s="328"/>
      <c r="G17" s="329"/>
      <c r="H17" s="360" t="s">
        <v>61</v>
      </c>
    </row>
    <row r="18" spans="1:8" ht="16.5" customHeight="1">
      <c r="A18" s="323"/>
      <c r="B18" s="325"/>
      <c r="C18" s="325"/>
      <c r="D18" s="326"/>
      <c r="E18" s="330"/>
      <c r="F18" s="331"/>
      <c r="G18" s="332"/>
      <c r="H18" s="359"/>
    </row>
    <row r="19" spans="1:8" ht="16.5" customHeight="1">
      <c r="A19" s="322" t="s">
        <v>64</v>
      </c>
      <c r="B19" s="324" t="s">
        <v>65</v>
      </c>
      <c r="C19" s="325" t="s">
        <v>66</v>
      </c>
      <c r="D19" s="326">
        <v>280000</v>
      </c>
      <c r="E19" s="337" t="s">
        <v>67</v>
      </c>
      <c r="F19" s="326"/>
      <c r="G19" s="326"/>
      <c r="H19" s="360" t="s">
        <v>38</v>
      </c>
    </row>
    <row r="20" spans="1:8" ht="16.5" customHeight="1">
      <c r="A20" s="323"/>
      <c r="B20" s="325"/>
      <c r="C20" s="325"/>
      <c r="D20" s="326"/>
      <c r="E20" s="326"/>
      <c r="F20" s="326"/>
      <c r="G20" s="326"/>
      <c r="H20" s="359"/>
    </row>
    <row r="21" spans="1:8" ht="16.5" customHeight="1">
      <c r="A21" s="335" t="s">
        <v>68</v>
      </c>
      <c r="B21" s="341" t="s">
        <v>69</v>
      </c>
      <c r="C21" s="341" t="s">
        <v>70</v>
      </c>
      <c r="D21" s="326">
        <v>200000</v>
      </c>
      <c r="E21" s="327" t="s">
        <v>71</v>
      </c>
      <c r="F21" s="345"/>
      <c r="G21" s="346"/>
      <c r="H21" s="360" t="s">
        <v>38</v>
      </c>
    </row>
    <row r="22" spans="1:8" ht="16.5" customHeight="1">
      <c r="A22" s="336"/>
      <c r="B22" s="342"/>
      <c r="C22" s="342"/>
      <c r="D22" s="326"/>
      <c r="E22" s="347"/>
      <c r="F22" s="348"/>
      <c r="G22" s="349"/>
      <c r="H22" s="359"/>
    </row>
    <row r="23" spans="1:8" ht="16.5" customHeight="1">
      <c r="A23" s="335" t="s">
        <v>68</v>
      </c>
      <c r="B23" s="341" t="s">
        <v>72</v>
      </c>
      <c r="C23" s="341" t="s">
        <v>73</v>
      </c>
      <c r="D23" s="326">
        <v>250000</v>
      </c>
      <c r="E23" s="327" t="s">
        <v>74</v>
      </c>
      <c r="F23" s="328"/>
      <c r="G23" s="329"/>
      <c r="H23" s="360" t="s">
        <v>38</v>
      </c>
    </row>
    <row r="24" spans="1:8" ht="16.5" customHeight="1">
      <c r="A24" s="336"/>
      <c r="B24" s="342"/>
      <c r="C24" s="342"/>
      <c r="D24" s="326"/>
      <c r="E24" s="330"/>
      <c r="F24" s="331"/>
      <c r="G24" s="332"/>
      <c r="H24" s="359"/>
    </row>
    <row r="25" spans="1:8" ht="16.5" customHeight="1">
      <c r="A25" s="335" t="s">
        <v>68</v>
      </c>
      <c r="B25" s="367" t="s">
        <v>75</v>
      </c>
      <c r="C25" s="324" t="s">
        <v>76</v>
      </c>
      <c r="D25" s="326">
        <v>200000</v>
      </c>
      <c r="E25" s="327" t="s">
        <v>77</v>
      </c>
      <c r="F25" s="328"/>
      <c r="G25" s="329"/>
      <c r="H25" s="360" t="s">
        <v>78</v>
      </c>
    </row>
    <row r="26" spans="1:8" ht="16.5" customHeight="1">
      <c r="A26" s="336"/>
      <c r="B26" s="368"/>
      <c r="C26" s="325"/>
      <c r="D26" s="326"/>
      <c r="E26" s="330"/>
      <c r="F26" s="331"/>
      <c r="G26" s="332"/>
      <c r="H26" s="359"/>
    </row>
    <row r="27" spans="1:8" ht="16.5" customHeight="1">
      <c r="A27" s="335" t="s">
        <v>68</v>
      </c>
      <c r="B27" s="367" t="s">
        <v>79</v>
      </c>
      <c r="C27" s="324" t="s">
        <v>80</v>
      </c>
      <c r="D27" s="326">
        <v>280000</v>
      </c>
      <c r="E27" s="327" t="s">
        <v>81</v>
      </c>
      <c r="F27" s="328"/>
      <c r="G27" s="329"/>
      <c r="H27" s="360" t="s">
        <v>38</v>
      </c>
    </row>
    <row r="28" spans="1:8" ht="16.5" customHeight="1">
      <c r="A28" s="336"/>
      <c r="B28" s="368"/>
      <c r="C28" s="325"/>
      <c r="D28" s="326"/>
      <c r="E28" s="330"/>
      <c r="F28" s="331"/>
      <c r="G28" s="332"/>
      <c r="H28" s="359"/>
    </row>
    <row r="29" spans="1:8" ht="16.5" customHeight="1">
      <c r="A29" s="322" t="s">
        <v>84</v>
      </c>
      <c r="B29" s="324" t="s">
        <v>82</v>
      </c>
      <c r="C29" s="324" t="s">
        <v>83</v>
      </c>
      <c r="D29" s="326">
        <v>170000</v>
      </c>
      <c r="E29" s="327" t="s">
        <v>85</v>
      </c>
      <c r="F29" s="328"/>
      <c r="G29" s="329"/>
      <c r="H29" s="360" t="s">
        <v>38</v>
      </c>
    </row>
    <row r="30" spans="1:8" ht="17.25" customHeight="1">
      <c r="A30" s="323"/>
      <c r="B30" s="325"/>
      <c r="C30" s="325"/>
      <c r="D30" s="326"/>
      <c r="E30" s="330"/>
      <c r="F30" s="331"/>
      <c r="G30" s="332"/>
      <c r="H30" s="359"/>
    </row>
    <row r="31" spans="1:8" ht="16.5" customHeight="1">
      <c r="A31" s="322" t="s">
        <v>86</v>
      </c>
      <c r="B31" s="324" t="s">
        <v>87</v>
      </c>
      <c r="C31" s="325" t="s">
        <v>88</v>
      </c>
      <c r="D31" s="326">
        <v>150000</v>
      </c>
      <c r="E31" s="327" t="s">
        <v>89</v>
      </c>
      <c r="F31" s="328"/>
      <c r="G31" s="329"/>
      <c r="H31" s="360" t="s">
        <v>78</v>
      </c>
    </row>
    <row r="32" spans="1:8" ht="16.5" customHeight="1">
      <c r="A32" s="323"/>
      <c r="B32" s="325"/>
      <c r="C32" s="325"/>
      <c r="D32" s="326"/>
      <c r="E32" s="330"/>
      <c r="F32" s="331"/>
      <c r="G32" s="332"/>
      <c r="H32" s="359"/>
    </row>
    <row r="33" spans="1:11" ht="16.5" customHeight="1">
      <c r="A33" s="322" t="s">
        <v>90</v>
      </c>
      <c r="B33" s="324" t="s">
        <v>91</v>
      </c>
      <c r="C33" s="324" t="s">
        <v>92</v>
      </c>
      <c r="D33" s="326">
        <v>220000</v>
      </c>
      <c r="E33" s="327" t="s">
        <v>93</v>
      </c>
      <c r="F33" s="328"/>
      <c r="G33" s="329"/>
      <c r="H33" s="360" t="s">
        <v>148</v>
      </c>
    </row>
    <row r="34" spans="1:11" ht="16.5" customHeight="1">
      <c r="A34" s="323"/>
      <c r="B34" s="325"/>
      <c r="C34" s="325"/>
      <c r="D34" s="326"/>
      <c r="E34" s="330"/>
      <c r="F34" s="331"/>
      <c r="G34" s="332"/>
      <c r="H34" s="359"/>
    </row>
    <row r="35" spans="1:11" ht="16.5" customHeight="1">
      <c r="A35" s="322" t="s">
        <v>98</v>
      </c>
      <c r="B35" s="324" t="s">
        <v>94</v>
      </c>
      <c r="C35" s="324" t="s">
        <v>95</v>
      </c>
      <c r="D35" s="326">
        <v>1100000</v>
      </c>
      <c r="E35" s="327" t="s">
        <v>96</v>
      </c>
      <c r="F35" s="328"/>
      <c r="G35" s="329"/>
      <c r="H35" s="359" t="s">
        <v>124</v>
      </c>
    </row>
    <row r="36" spans="1:11" ht="16.5" customHeight="1">
      <c r="A36" s="323"/>
      <c r="B36" s="325"/>
      <c r="C36" s="325"/>
      <c r="D36" s="326"/>
      <c r="E36" s="330"/>
      <c r="F36" s="331"/>
      <c r="G36" s="332"/>
      <c r="H36" s="359"/>
      <c r="K36" s="24"/>
    </row>
    <row r="37" spans="1:11" ht="16.5" customHeight="1">
      <c r="A37" s="339" t="s">
        <v>97</v>
      </c>
      <c r="B37" s="361" t="s">
        <v>99</v>
      </c>
      <c r="C37" s="362" t="s">
        <v>100</v>
      </c>
      <c r="D37" s="363">
        <v>290000</v>
      </c>
      <c r="E37" s="364" t="s">
        <v>101</v>
      </c>
      <c r="F37" s="365"/>
      <c r="G37" s="366"/>
      <c r="H37" s="360" t="s">
        <v>147</v>
      </c>
    </row>
    <row r="38" spans="1:11" ht="16.5" customHeight="1">
      <c r="A38" s="340"/>
      <c r="B38" s="342"/>
      <c r="C38" s="352"/>
      <c r="D38" s="344"/>
      <c r="E38" s="347"/>
      <c r="F38" s="348"/>
      <c r="G38" s="349"/>
      <c r="H38" s="359"/>
    </row>
    <row r="39" spans="1:11" ht="16.5" customHeight="1">
      <c r="A39" s="322" t="s">
        <v>102</v>
      </c>
      <c r="B39" s="361" t="s">
        <v>103</v>
      </c>
      <c r="C39" s="325" t="s">
        <v>104</v>
      </c>
      <c r="D39" s="326">
        <v>180000</v>
      </c>
      <c r="E39" s="327" t="s">
        <v>105</v>
      </c>
      <c r="F39" s="328"/>
      <c r="G39" s="329"/>
      <c r="H39" s="360" t="s">
        <v>7</v>
      </c>
    </row>
    <row r="40" spans="1:11" ht="16.5" customHeight="1">
      <c r="A40" s="323"/>
      <c r="B40" s="342"/>
      <c r="C40" s="325"/>
      <c r="D40" s="326"/>
      <c r="E40" s="330"/>
      <c r="F40" s="331"/>
      <c r="G40" s="332"/>
      <c r="H40" s="359"/>
      <c r="K40" s="24"/>
    </row>
    <row r="41" spans="1:11" ht="16.5" customHeight="1">
      <c r="A41" s="322" t="s">
        <v>106</v>
      </c>
      <c r="B41" s="361" t="s">
        <v>107</v>
      </c>
      <c r="C41" s="362" t="s">
        <v>108</v>
      </c>
      <c r="D41" s="363">
        <v>530000</v>
      </c>
      <c r="E41" s="364" t="s">
        <v>109</v>
      </c>
      <c r="F41" s="365"/>
      <c r="G41" s="366"/>
      <c r="H41" s="360" t="s">
        <v>7</v>
      </c>
    </row>
    <row r="42" spans="1:11" ht="16.5" customHeight="1">
      <c r="A42" s="323"/>
      <c r="B42" s="342"/>
      <c r="C42" s="352"/>
      <c r="D42" s="344"/>
      <c r="E42" s="347"/>
      <c r="F42" s="348"/>
      <c r="G42" s="349"/>
      <c r="H42" s="359"/>
      <c r="K42" s="24"/>
    </row>
    <row r="43" spans="1:11" ht="16.5" customHeight="1">
      <c r="A43" s="322" t="s">
        <v>112</v>
      </c>
      <c r="B43" s="324" t="s">
        <v>111</v>
      </c>
      <c r="C43" s="324"/>
      <c r="D43" s="326">
        <v>66000</v>
      </c>
      <c r="E43" s="327" t="s">
        <v>113</v>
      </c>
      <c r="F43" s="328"/>
      <c r="G43" s="329"/>
      <c r="H43" s="360" t="s">
        <v>110</v>
      </c>
    </row>
    <row r="44" spans="1:11" ht="16.5" customHeight="1">
      <c r="A44" s="323"/>
      <c r="B44" s="325"/>
      <c r="C44" s="325"/>
      <c r="D44" s="326"/>
      <c r="E44" s="330"/>
      <c r="F44" s="331"/>
      <c r="G44" s="332"/>
      <c r="H44" s="359"/>
    </row>
    <row r="45" spans="1:11" ht="16.5" customHeight="1">
      <c r="A45" s="322" t="s">
        <v>117</v>
      </c>
      <c r="B45" s="324" t="s">
        <v>115</v>
      </c>
      <c r="C45" s="324" t="s">
        <v>116</v>
      </c>
      <c r="D45" s="326">
        <v>275000</v>
      </c>
      <c r="E45" s="327" t="s">
        <v>121</v>
      </c>
      <c r="F45" s="328"/>
      <c r="G45" s="329"/>
      <c r="H45" s="360" t="s">
        <v>146</v>
      </c>
      <c r="K45">
        <v>850000</v>
      </c>
    </row>
    <row r="46" spans="1:11" ht="16.5" customHeight="1">
      <c r="A46" s="323"/>
      <c r="B46" s="325"/>
      <c r="C46" s="325"/>
      <c r="D46" s="326"/>
      <c r="E46" s="330"/>
      <c r="F46" s="331"/>
      <c r="G46" s="332"/>
      <c r="H46" s="359"/>
    </row>
    <row r="47" spans="1:11" ht="16.5" customHeight="1">
      <c r="A47" s="335" t="s">
        <v>118</v>
      </c>
      <c r="B47" s="341" t="s">
        <v>119</v>
      </c>
      <c r="C47" s="341" t="s">
        <v>120</v>
      </c>
      <c r="D47" s="343">
        <v>140000</v>
      </c>
      <c r="E47" s="327" t="s">
        <v>122</v>
      </c>
      <c r="F47" s="328"/>
      <c r="G47" s="329"/>
      <c r="H47" s="359" t="s">
        <v>123</v>
      </c>
      <c r="K47" s="24"/>
    </row>
    <row r="48" spans="1:11" ht="16.5" customHeight="1">
      <c r="A48" s="336"/>
      <c r="B48" s="342"/>
      <c r="C48" s="342"/>
      <c r="D48" s="344"/>
      <c r="E48" s="330"/>
      <c r="F48" s="331"/>
      <c r="G48" s="332"/>
      <c r="H48" s="359"/>
      <c r="K48" s="24"/>
    </row>
    <row r="49" spans="1:14" ht="16.5" customHeight="1">
      <c r="A49" s="354" t="s">
        <v>125</v>
      </c>
      <c r="B49" s="341" t="s">
        <v>114</v>
      </c>
      <c r="C49" s="341"/>
      <c r="D49" s="343">
        <v>660000</v>
      </c>
      <c r="E49" s="337" t="s">
        <v>126</v>
      </c>
      <c r="F49" s="326"/>
      <c r="G49" s="326"/>
      <c r="H49" s="359" t="s">
        <v>826</v>
      </c>
      <c r="I49" s="4"/>
      <c r="K49">
        <v>800000</v>
      </c>
      <c r="L49">
        <v>200000</v>
      </c>
    </row>
    <row r="50" spans="1:14" ht="16.5" customHeight="1">
      <c r="A50" s="340"/>
      <c r="B50" s="342"/>
      <c r="C50" s="342"/>
      <c r="D50" s="344"/>
      <c r="E50" s="326"/>
      <c r="F50" s="326"/>
      <c r="G50" s="326"/>
      <c r="H50" s="359"/>
    </row>
    <row r="51" spans="1:14" ht="16.5" customHeight="1">
      <c r="A51" s="335" t="s">
        <v>125</v>
      </c>
      <c r="B51" s="341" t="s">
        <v>127</v>
      </c>
      <c r="C51" s="341" t="s">
        <v>128</v>
      </c>
      <c r="D51" s="343">
        <v>400000</v>
      </c>
      <c r="E51" s="327" t="s">
        <v>129</v>
      </c>
      <c r="F51" s="328"/>
      <c r="G51" s="329"/>
      <c r="H51" s="359" t="s">
        <v>149</v>
      </c>
      <c r="K51">
        <v>200000</v>
      </c>
    </row>
    <row r="52" spans="1:14" ht="16.5" customHeight="1">
      <c r="A52" s="336"/>
      <c r="B52" s="342"/>
      <c r="C52" s="342"/>
      <c r="D52" s="344"/>
      <c r="E52" s="330"/>
      <c r="F52" s="331"/>
      <c r="G52" s="332"/>
      <c r="H52" s="359"/>
    </row>
    <row r="53" spans="1:14" ht="16.5" customHeight="1">
      <c r="A53" s="322" t="s">
        <v>130</v>
      </c>
      <c r="B53" s="324" t="s">
        <v>131</v>
      </c>
      <c r="C53" s="325" t="s">
        <v>132</v>
      </c>
      <c r="D53" s="326">
        <v>410000</v>
      </c>
      <c r="E53" s="327" t="s">
        <v>135</v>
      </c>
      <c r="F53" s="328"/>
      <c r="G53" s="329"/>
      <c r="H53" s="359" t="s">
        <v>151</v>
      </c>
    </row>
    <row r="54" spans="1:14" ht="16.5" customHeight="1">
      <c r="A54" s="323"/>
      <c r="B54" s="325"/>
      <c r="C54" s="325"/>
      <c r="D54" s="326"/>
      <c r="E54" s="330"/>
      <c r="F54" s="331"/>
      <c r="G54" s="332"/>
      <c r="H54" s="359"/>
      <c r="K54">
        <v>390000</v>
      </c>
    </row>
    <row r="55" spans="1:14" ht="16.5" customHeight="1">
      <c r="A55" s="322" t="s">
        <v>130</v>
      </c>
      <c r="B55" s="324" t="s">
        <v>133</v>
      </c>
      <c r="C55" s="325" t="s">
        <v>134</v>
      </c>
      <c r="D55" s="326">
        <v>345000</v>
      </c>
      <c r="E55" s="327" t="s">
        <v>136</v>
      </c>
      <c r="F55" s="328"/>
      <c r="G55" s="329"/>
      <c r="H55" s="359" t="s">
        <v>146</v>
      </c>
      <c r="N55">
        <v>1300000</v>
      </c>
    </row>
    <row r="56" spans="1:14" ht="16.5" customHeight="1">
      <c r="A56" s="323"/>
      <c r="B56" s="325"/>
      <c r="C56" s="325"/>
      <c r="D56" s="326"/>
      <c r="E56" s="330"/>
      <c r="F56" s="331"/>
      <c r="G56" s="332"/>
      <c r="H56" s="359"/>
    </row>
    <row r="57" spans="1:14" ht="16.5" customHeight="1">
      <c r="A57" s="322"/>
      <c r="B57" s="324"/>
      <c r="C57" s="325"/>
      <c r="D57" s="326"/>
      <c r="E57" s="327"/>
      <c r="F57" s="328"/>
      <c r="G57" s="329"/>
      <c r="H57" s="359"/>
      <c r="K57">
        <v>410000</v>
      </c>
      <c r="L57" s="26"/>
      <c r="N57" s="31"/>
    </row>
    <row r="58" spans="1:14" ht="16.5" customHeight="1">
      <c r="A58" s="323"/>
      <c r="B58" s="325"/>
      <c r="C58" s="325"/>
      <c r="D58" s="326"/>
      <c r="E58" s="330"/>
      <c r="F58" s="331"/>
      <c r="G58" s="332"/>
      <c r="H58" s="359"/>
      <c r="M58" s="31"/>
    </row>
    <row r="59" spans="1:14" ht="16.5" customHeight="1">
      <c r="A59" s="322" t="s">
        <v>141</v>
      </c>
      <c r="B59" s="324" t="s">
        <v>142</v>
      </c>
      <c r="C59" s="326" t="s">
        <v>143</v>
      </c>
      <c r="D59" s="326">
        <v>60000</v>
      </c>
      <c r="E59" s="327" t="s">
        <v>144</v>
      </c>
      <c r="F59" s="328"/>
      <c r="G59" s="329"/>
      <c r="H59" s="359" t="s">
        <v>145</v>
      </c>
      <c r="L59">
        <v>1570000</v>
      </c>
    </row>
    <row r="60" spans="1:14" ht="16.5" customHeight="1">
      <c r="A60" s="323"/>
      <c r="B60" s="325"/>
      <c r="C60" s="326"/>
      <c r="D60" s="326"/>
      <c r="E60" s="330"/>
      <c r="F60" s="331"/>
      <c r="G60" s="332"/>
      <c r="H60" s="359"/>
      <c r="L60">
        <v>60</v>
      </c>
    </row>
    <row r="61" spans="1:14" ht="16.5" customHeight="1">
      <c r="A61" s="322"/>
      <c r="B61" s="324"/>
      <c r="C61" s="325"/>
      <c r="D61" s="326"/>
      <c r="E61" s="327"/>
      <c r="F61" s="328"/>
      <c r="G61" s="329"/>
      <c r="H61" s="333"/>
    </row>
    <row r="62" spans="1:14" ht="16.5" customHeight="1">
      <c r="A62" s="323"/>
      <c r="B62" s="325"/>
      <c r="C62" s="325"/>
      <c r="D62" s="326"/>
      <c r="E62" s="330"/>
      <c r="F62" s="331"/>
      <c r="G62" s="332"/>
      <c r="H62" s="333"/>
    </row>
    <row r="63" spans="1:14" ht="16.5" customHeight="1">
      <c r="A63" s="334"/>
      <c r="B63" s="324"/>
      <c r="C63" s="325"/>
      <c r="D63" s="326"/>
      <c r="E63" s="327"/>
      <c r="F63" s="328"/>
      <c r="G63" s="329"/>
      <c r="H63" s="333"/>
    </row>
    <row r="64" spans="1:14" ht="16.5" customHeight="1">
      <c r="A64" s="323"/>
      <c r="B64" s="325"/>
      <c r="C64" s="325"/>
      <c r="D64" s="326"/>
      <c r="E64" s="330"/>
      <c r="F64" s="331"/>
      <c r="G64" s="332"/>
      <c r="H64" s="333"/>
    </row>
    <row r="65" spans="1:8" ht="16.5" customHeight="1">
      <c r="A65" s="322"/>
      <c r="B65" s="324"/>
      <c r="C65" s="324"/>
      <c r="D65" s="326"/>
      <c r="E65" s="327"/>
      <c r="F65" s="328"/>
      <c r="G65" s="329"/>
      <c r="H65" s="338"/>
    </row>
    <row r="66" spans="1:8" ht="16.5" customHeight="1">
      <c r="A66" s="323"/>
      <c r="B66" s="325"/>
      <c r="C66" s="325"/>
      <c r="D66" s="326"/>
      <c r="E66" s="330"/>
      <c r="F66" s="331"/>
      <c r="G66" s="332"/>
      <c r="H66" s="333"/>
    </row>
    <row r="67" spans="1:8" ht="16.5" customHeight="1">
      <c r="A67" s="334"/>
      <c r="B67" s="324"/>
      <c r="C67" s="324"/>
      <c r="D67" s="326"/>
      <c r="E67" s="327"/>
      <c r="F67" s="328"/>
      <c r="G67" s="329"/>
      <c r="H67" s="338"/>
    </row>
    <row r="68" spans="1:8" ht="16.5" customHeight="1">
      <c r="A68" s="323"/>
      <c r="B68" s="325"/>
      <c r="C68" s="325"/>
      <c r="D68" s="326"/>
      <c r="E68" s="330"/>
      <c r="F68" s="331"/>
      <c r="G68" s="332"/>
      <c r="H68" s="333"/>
    </row>
    <row r="69" spans="1:8" ht="16.5" customHeight="1">
      <c r="A69" s="322"/>
      <c r="B69" s="324"/>
      <c r="C69" s="324"/>
      <c r="D69" s="326"/>
      <c r="E69" s="327"/>
      <c r="F69" s="328"/>
      <c r="G69" s="329"/>
      <c r="H69" s="338"/>
    </row>
    <row r="70" spans="1:8" ht="16.5" customHeight="1">
      <c r="A70" s="323"/>
      <c r="B70" s="325"/>
      <c r="C70" s="325"/>
      <c r="D70" s="326"/>
      <c r="E70" s="330"/>
      <c r="F70" s="331"/>
      <c r="G70" s="332"/>
      <c r="H70" s="333"/>
    </row>
    <row r="71" spans="1:8" ht="16.5" customHeight="1">
      <c r="A71" s="322"/>
      <c r="B71" s="324"/>
      <c r="C71" s="324"/>
      <c r="D71" s="326"/>
      <c r="E71" s="327"/>
      <c r="F71" s="328"/>
      <c r="G71" s="329"/>
      <c r="H71" s="357"/>
    </row>
    <row r="72" spans="1:8" ht="16.5" customHeight="1">
      <c r="A72" s="323"/>
      <c r="B72" s="325"/>
      <c r="C72" s="325"/>
      <c r="D72" s="326"/>
      <c r="E72" s="330"/>
      <c r="F72" s="331"/>
      <c r="G72" s="332"/>
      <c r="H72" s="333"/>
    </row>
    <row r="73" spans="1:8" ht="16.5" customHeight="1">
      <c r="A73" s="322"/>
      <c r="B73" s="324"/>
      <c r="C73" s="324"/>
      <c r="D73" s="326"/>
      <c r="E73" s="327"/>
      <c r="F73" s="328"/>
      <c r="G73" s="329"/>
      <c r="H73" s="338"/>
    </row>
    <row r="74" spans="1:8" ht="16.5" customHeight="1">
      <c r="A74" s="323"/>
      <c r="B74" s="325"/>
      <c r="C74" s="325"/>
      <c r="D74" s="326"/>
      <c r="E74" s="330"/>
      <c r="F74" s="331"/>
      <c r="G74" s="332"/>
      <c r="H74" s="333"/>
    </row>
    <row r="75" spans="1:8" ht="16.5" customHeight="1">
      <c r="A75" s="322"/>
      <c r="B75" s="324"/>
      <c r="C75" s="324"/>
      <c r="D75" s="326"/>
      <c r="E75" s="327"/>
      <c r="F75" s="328"/>
      <c r="G75" s="329"/>
      <c r="H75" s="338"/>
    </row>
    <row r="76" spans="1:8" ht="16.5" customHeight="1">
      <c r="A76" s="323"/>
      <c r="B76" s="325"/>
      <c r="C76" s="325"/>
      <c r="D76" s="326"/>
      <c r="E76" s="330"/>
      <c r="F76" s="331"/>
      <c r="G76" s="332"/>
      <c r="H76" s="333"/>
    </row>
    <row r="77" spans="1:8" ht="16.5" customHeight="1">
      <c r="A77" s="335"/>
      <c r="B77" s="324"/>
      <c r="C77" s="341"/>
      <c r="D77" s="343"/>
      <c r="E77" s="327"/>
      <c r="F77" s="345"/>
      <c r="G77" s="346"/>
      <c r="H77" s="357"/>
    </row>
    <row r="78" spans="1:8" ht="16.5" customHeight="1">
      <c r="A78" s="336"/>
      <c r="B78" s="325"/>
      <c r="C78" s="352"/>
      <c r="D78" s="344"/>
      <c r="E78" s="347"/>
      <c r="F78" s="348"/>
      <c r="G78" s="349"/>
      <c r="H78" s="358"/>
    </row>
    <row r="79" spans="1:8" ht="16.5" customHeight="1">
      <c r="A79" s="322"/>
      <c r="B79" s="324"/>
      <c r="C79" s="324"/>
      <c r="D79" s="326"/>
      <c r="E79" s="327"/>
      <c r="F79" s="328"/>
      <c r="G79" s="329"/>
      <c r="H79" s="357"/>
    </row>
    <row r="80" spans="1:8" ht="16.5" customHeight="1">
      <c r="A80" s="323"/>
      <c r="B80" s="325"/>
      <c r="C80" s="325"/>
      <c r="D80" s="326"/>
      <c r="E80" s="330"/>
      <c r="F80" s="331"/>
      <c r="G80" s="332"/>
      <c r="H80" s="358"/>
    </row>
    <row r="81" spans="1:8" ht="16.5" customHeight="1">
      <c r="A81" s="322"/>
      <c r="B81" s="324"/>
      <c r="C81" s="324"/>
      <c r="D81" s="326"/>
      <c r="E81" s="327"/>
      <c r="F81" s="328"/>
      <c r="G81" s="329"/>
      <c r="H81" s="333"/>
    </row>
    <row r="82" spans="1:8" ht="16.5" customHeight="1">
      <c r="A82" s="323"/>
      <c r="B82" s="325"/>
      <c r="C82" s="325"/>
      <c r="D82" s="326"/>
      <c r="E82" s="330"/>
      <c r="F82" s="331"/>
      <c r="G82" s="332"/>
      <c r="H82" s="333"/>
    </row>
    <row r="83" spans="1:8" ht="16.5" customHeight="1">
      <c r="A83" s="322"/>
      <c r="B83" s="324"/>
      <c r="C83" s="324"/>
      <c r="D83" s="326"/>
      <c r="E83" s="327"/>
      <c r="F83" s="328"/>
      <c r="G83" s="329"/>
      <c r="H83" s="338"/>
    </row>
    <row r="84" spans="1:8" ht="16.5" customHeight="1">
      <c r="A84" s="323"/>
      <c r="B84" s="325"/>
      <c r="C84" s="325"/>
      <c r="D84" s="326"/>
      <c r="E84" s="330"/>
      <c r="F84" s="331"/>
      <c r="G84" s="332"/>
      <c r="H84" s="333"/>
    </row>
    <row r="85" spans="1:8" ht="16.5" customHeight="1">
      <c r="A85" s="322"/>
      <c r="B85" s="324"/>
      <c r="C85" s="324"/>
      <c r="D85" s="326"/>
      <c r="E85" s="327"/>
      <c r="F85" s="328"/>
      <c r="G85" s="329"/>
      <c r="H85" s="333"/>
    </row>
    <row r="86" spans="1:8" ht="16.5" customHeight="1">
      <c r="A86" s="323"/>
      <c r="B86" s="325"/>
      <c r="C86" s="325"/>
      <c r="D86" s="326"/>
      <c r="E86" s="330"/>
      <c r="F86" s="331"/>
      <c r="G86" s="332"/>
      <c r="H86" s="333"/>
    </row>
    <row r="87" spans="1:8" ht="16.5" customHeight="1">
      <c r="A87" s="322"/>
      <c r="B87" s="341"/>
      <c r="C87" s="341"/>
      <c r="D87" s="343"/>
      <c r="E87" s="327"/>
      <c r="F87" s="345"/>
      <c r="G87" s="346"/>
      <c r="H87" s="338"/>
    </row>
    <row r="88" spans="1:8" ht="16.5" customHeight="1">
      <c r="A88" s="323"/>
      <c r="B88" s="342"/>
      <c r="C88" s="352"/>
      <c r="D88" s="344"/>
      <c r="E88" s="347"/>
      <c r="F88" s="348"/>
      <c r="G88" s="349"/>
      <c r="H88" s="333"/>
    </row>
    <row r="89" spans="1:8" ht="16.5" customHeight="1">
      <c r="A89" s="322"/>
      <c r="B89" s="324"/>
      <c r="C89" s="324"/>
      <c r="D89" s="326"/>
      <c r="E89" s="327"/>
      <c r="F89" s="328"/>
      <c r="G89" s="329"/>
      <c r="H89" s="355"/>
    </row>
    <row r="90" spans="1:8" ht="16.5" customHeight="1">
      <c r="A90" s="323"/>
      <c r="B90" s="325"/>
      <c r="C90" s="325"/>
      <c r="D90" s="326"/>
      <c r="E90" s="330"/>
      <c r="F90" s="331"/>
      <c r="G90" s="332"/>
      <c r="H90" s="355"/>
    </row>
    <row r="91" spans="1:8" ht="16.5" customHeight="1">
      <c r="A91" s="335"/>
      <c r="B91" s="324"/>
      <c r="C91" s="325"/>
      <c r="D91" s="326"/>
      <c r="E91" s="327"/>
      <c r="F91" s="345"/>
      <c r="G91" s="346"/>
      <c r="H91" s="356"/>
    </row>
    <row r="92" spans="1:8" ht="16.5" customHeight="1">
      <c r="A92" s="340"/>
      <c r="B92" s="325"/>
      <c r="C92" s="325"/>
      <c r="D92" s="326"/>
      <c r="E92" s="347"/>
      <c r="F92" s="348"/>
      <c r="G92" s="349"/>
      <c r="H92" s="355"/>
    </row>
    <row r="93" spans="1:8" ht="16.5" customHeight="1">
      <c r="A93" s="322"/>
      <c r="B93" s="324"/>
      <c r="C93" s="324"/>
      <c r="D93" s="326"/>
      <c r="E93" s="327"/>
      <c r="F93" s="328"/>
      <c r="G93" s="329"/>
      <c r="H93" s="338"/>
    </row>
    <row r="94" spans="1:8" ht="16.5" customHeight="1">
      <c r="A94" s="323"/>
      <c r="B94" s="325"/>
      <c r="C94" s="325"/>
      <c r="D94" s="326"/>
      <c r="E94" s="330"/>
      <c r="F94" s="331"/>
      <c r="G94" s="332"/>
      <c r="H94" s="333"/>
    </row>
    <row r="95" spans="1:8" ht="16.5" customHeight="1">
      <c r="A95" s="322"/>
      <c r="B95" s="324"/>
      <c r="C95" s="325"/>
      <c r="D95" s="326"/>
      <c r="E95" s="327"/>
      <c r="F95" s="328"/>
      <c r="G95" s="329"/>
      <c r="H95" s="356"/>
    </row>
    <row r="96" spans="1:8" ht="16.5" customHeight="1">
      <c r="A96" s="323"/>
      <c r="B96" s="325"/>
      <c r="C96" s="325"/>
      <c r="D96" s="326"/>
      <c r="E96" s="330"/>
      <c r="F96" s="331"/>
      <c r="G96" s="332"/>
      <c r="H96" s="355"/>
    </row>
    <row r="97" spans="1:12" ht="16.5" customHeight="1">
      <c r="A97" s="322"/>
      <c r="B97" s="341"/>
      <c r="C97" s="341"/>
      <c r="D97" s="343"/>
      <c r="E97" s="327"/>
      <c r="F97" s="345"/>
      <c r="G97" s="346"/>
      <c r="H97" s="356"/>
    </row>
    <row r="98" spans="1:12" ht="16.5" customHeight="1">
      <c r="A98" s="323"/>
      <c r="B98" s="342"/>
      <c r="C98" s="352"/>
      <c r="D98" s="344"/>
      <c r="E98" s="347"/>
      <c r="F98" s="348"/>
      <c r="G98" s="349"/>
      <c r="H98" s="355"/>
    </row>
    <row r="99" spans="1:12" ht="16.5" customHeight="1">
      <c r="A99" s="335"/>
      <c r="B99" s="324"/>
      <c r="C99" s="325"/>
      <c r="D99" s="326"/>
      <c r="E99" s="327"/>
      <c r="F99" s="328"/>
      <c r="G99" s="329"/>
      <c r="H99" s="333"/>
    </row>
    <row r="100" spans="1:12" ht="16.5" customHeight="1">
      <c r="A100" s="340"/>
      <c r="B100" s="325"/>
      <c r="C100" s="325"/>
      <c r="D100" s="326"/>
      <c r="E100" s="330"/>
      <c r="F100" s="331"/>
      <c r="G100" s="332"/>
      <c r="H100" s="333"/>
    </row>
    <row r="101" spans="1:12" ht="16.5" customHeight="1">
      <c r="A101" s="322"/>
      <c r="B101" s="324"/>
      <c r="C101" s="324"/>
      <c r="D101" s="326"/>
      <c r="E101" s="327"/>
      <c r="F101" s="328"/>
      <c r="G101" s="329"/>
      <c r="H101" s="355"/>
    </row>
    <row r="102" spans="1:12" ht="16.5" customHeight="1">
      <c r="A102" s="323"/>
      <c r="B102" s="325"/>
      <c r="C102" s="325"/>
      <c r="D102" s="326"/>
      <c r="E102" s="330"/>
      <c r="F102" s="331"/>
      <c r="G102" s="332"/>
      <c r="H102" s="355"/>
    </row>
    <row r="103" spans="1:12" ht="16.5" customHeight="1">
      <c r="A103" s="322"/>
      <c r="B103" s="341"/>
      <c r="C103" s="341"/>
      <c r="D103" s="343"/>
      <c r="E103" s="327"/>
      <c r="F103" s="345"/>
      <c r="G103" s="346"/>
      <c r="H103" s="338"/>
      <c r="L103" s="23"/>
    </row>
    <row r="104" spans="1:12" ht="16.5" customHeight="1">
      <c r="A104" s="323"/>
      <c r="B104" s="342"/>
      <c r="C104" s="352"/>
      <c r="D104" s="344"/>
      <c r="E104" s="347"/>
      <c r="F104" s="348"/>
      <c r="G104" s="349"/>
      <c r="H104" s="333"/>
    </row>
    <row r="105" spans="1:12" ht="16.5" customHeight="1">
      <c r="A105" s="322"/>
      <c r="B105" s="324"/>
      <c r="C105" s="324"/>
      <c r="D105" s="326"/>
      <c r="E105" s="327"/>
      <c r="F105" s="328"/>
      <c r="G105" s="329"/>
      <c r="H105" s="355"/>
    </row>
    <row r="106" spans="1:12" ht="16.5" customHeight="1">
      <c r="A106" s="323"/>
      <c r="B106" s="325"/>
      <c r="C106" s="325"/>
      <c r="D106" s="326"/>
      <c r="E106" s="330"/>
      <c r="F106" s="331"/>
      <c r="G106" s="332"/>
      <c r="H106" s="355"/>
    </row>
    <row r="107" spans="1:12" ht="16.5" customHeight="1">
      <c r="A107" s="322"/>
      <c r="B107" s="341"/>
      <c r="C107" s="341"/>
      <c r="D107" s="343"/>
      <c r="E107" s="327"/>
      <c r="F107" s="345"/>
      <c r="G107" s="346"/>
      <c r="H107" s="356"/>
    </row>
    <row r="108" spans="1:12" ht="16.5" customHeight="1">
      <c r="A108" s="323"/>
      <c r="B108" s="342"/>
      <c r="C108" s="352"/>
      <c r="D108" s="344"/>
      <c r="E108" s="347"/>
      <c r="F108" s="348"/>
      <c r="G108" s="349"/>
      <c r="H108" s="355"/>
    </row>
    <row r="109" spans="1:12" ht="16.5" customHeight="1">
      <c r="A109" s="322"/>
      <c r="B109" s="324"/>
      <c r="C109" s="324"/>
      <c r="D109" s="326"/>
      <c r="E109" s="327"/>
      <c r="F109" s="328"/>
      <c r="G109" s="329"/>
      <c r="H109" s="356"/>
      <c r="L109" s="23"/>
    </row>
    <row r="110" spans="1:12" ht="16.5" customHeight="1">
      <c r="A110" s="323"/>
      <c r="B110" s="325"/>
      <c r="C110" s="325"/>
      <c r="D110" s="326"/>
      <c r="E110" s="330"/>
      <c r="F110" s="331"/>
      <c r="G110" s="332"/>
      <c r="H110" s="355"/>
    </row>
    <row r="111" spans="1:12" ht="16.5" customHeight="1">
      <c r="A111" s="335"/>
      <c r="B111" s="324"/>
      <c r="C111" s="325"/>
      <c r="D111" s="326"/>
      <c r="E111" s="327"/>
      <c r="F111" s="328"/>
      <c r="G111" s="329"/>
      <c r="H111" s="356"/>
    </row>
    <row r="112" spans="1:12" ht="16.5" customHeight="1">
      <c r="A112" s="340"/>
      <c r="B112" s="325"/>
      <c r="C112" s="325"/>
      <c r="D112" s="326"/>
      <c r="E112" s="330"/>
      <c r="F112" s="331"/>
      <c r="G112" s="332"/>
      <c r="H112" s="355"/>
    </row>
    <row r="113" spans="1:8" ht="16.5" customHeight="1">
      <c r="A113" s="322"/>
      <c r="B113" s="324"/>
      <c r="C113" s="325"/>
      <c r="D113" s="326"/>
      <c r="E113" s="327"/>
      <c r="F113" s="328"/>
      <c r="G113" s="329"/>
      <c r="H113" s="356"/>
    </row>
    <row r="114" spans="1:8" ht="16.5" customHeight="1">
      <c r="A114" s="323"/>
      <c r="B114" s="325"/>
      <c r="C114" s="325"/>
      <c r="D114" s="326"/>
      <c r="E114" s="330"/>
      <c r="F114" s="331"/>
      <c r="G114" s="332"/>
      <c r="H114" s="355"/>
    </row>
    <row r="115" spans="1:8" ht="16.5" customHeight="1">
      <c r="A115" s="322"/>
      <c r="B115" s="324"/>
      <c r="C115" s="325"/>
      <c r="D115" s="343"/>
      <c r="E115" s="327"/>
      <c r="F115" s="328"/>
      <c r="G115" s="329"/>
      <c r="H115" s="355"/>
    </row>
    <row r="116" spans="1:8" ht="16.5" customHeight="1">
      <c r="A116" s="323"/>
      <c r="B116" s="325"/>
      <c r="C116" s="325"/>
      <c r="D116" s="344"/>
      <c r="E116" s="330"/>
      <c r="F116" s="331"/>
      <c r="G116" s="332"/>
      <c r="H116" s="355"/>
    </row>
    <row r="117" spans="1:8" ht="16.5" customHeight="1">
      <c r="A117" s="322"/>
      <c r="B117" s="341"/>
      <c r="C117" s="341"/>
      <c r="D117" s="343"/>
      <c r="E117" s="327"/>
      <c r="F117" s="345"/>
      <c r="G117" s="346"/>
      <c r="H117" s="338"/>
    </row>
    <row r="118" spans="1:8" ht="16.5" customHeight="1">
      <c r="A118" s="323"/>
      <c r="B118" s="342"/>
      <c r="C118" s="352"/>
      <c r="D118" s="344"/>
      <c r="E118" s="347"/>
      <c r="F118" s="348"/>
      <c r="G118" s="349"/>
      <c r="H118" s="333"/>
    </row>
    <row r="119" spans="1:8" ht="16.5" customHeight="1">
      <c r="A119" s="322"/>
      <c r="B119" s="324"/>
      <c r="C119" s="325"/>
      <c r="D119" s="326"/>
      <c r="E119" s="327"/>
      <c r="F119" s="328"/>
      <c r="G119" s="329"/>
      <c r="H119" s="333"/>
    </row>
    <row r="120" spans="1:8" ht="16.5" customHeight="1">
      <c r="A120" s="323"/>
      <c r="B120" s="325"/>
      <c r="C120" s="325"/>
      <c r="D120" s="326"/>
      <c r="E120" s="330"/>
      <c r="F120" s="331"/>
      <c r="G120" s="332"/>
      <c r="H120" s="333"/>
    </row>
    <row r="121" spans="1:8" ht="16.5" customHeight="1">
      <c r="A121" s="322"/>
      <c r="B121" s="324"/>
      <c r="C121" s="324"/>
      <c r="D121" s="326"/>
      <c r="E121" s="327"/>
      <c r="F121" s="328"/>
      <c r="G121" s="329"/>
      <c r="H121" s="333"/>
    </row>
    <row r="122" spans="1:8" ht="16.5" customHeight="1">
      <c r="A122" s="323"/>
      <c r="B122" s="325"/>
      <c r="C122" s="325"/>
      <c r="D122" s="326"/>
      <c r="E122" s="330"/>
      <c r="F122" s="331"/>
      <c r="G122" s="332"/>
      <c r="H122" s="333"/>
    </row>
    <row r="123" spans="1:8">
      <c r="A123" s="322"/>
      <c r="B123" s="324"/>
      <c r="C123" s="325"/>
      <c r="D123" s="326"/>
      <c r="E123" s="337"/>
      <c r="F123" s="326"/>
      <c r="G123" s="326"/>
      <c r="H123" s="338"/>
    </row>
    <row r="124" spans="1:8">
      <c r="A124" s="323"/>
      <c r="B124" s="325"/>
      <c r="C124" s="325"/>
      <c r="D124" s="326"/>
      <c r="E124" s="326"/>
      <c r="F124" s="326"/>
      <c r="G124" s="326"/>
      <c r="H124" s="333"/>
    </row>
    <row r="125" spans="1:8">
      <c r="A125" s="323"/>
      <c r="B125" s="324"/>
      <c r="C125" s="324"/>
      <c r="D125" s="326"/>
      <c r="E125" s="337"/>
      <c r="F125" s="326"/>
      <c r="G125" s="326"/>
      <c r="H125" s="333"/>
    </row>
    <row r="126" spans="1:8">
      <c r="A126" s="323"/>
      <c r="B126" s="325"/>
      <c r="C126" s="325"/>
      <c r="D126" s="326"/>
      <c r="E126" s="326"/>
      <c r="F126" s="326"/>
      <c r="G126" s="326"/>
      <c r="H126" s="333"/>
    </row>
    <row r="127" spans="1:8">
      <c r="A127" s="322"/>
      <c r="B127" s="324"/>
      <c r="C127" s="325"/>
      <c r="D127" s="326"/>
      <c r="E127" s="337"/>
      <c r="F127" s="326"/>
      <c r="G127" s="326"/>
      <c r="H127" s="333"/>
    </row>
    <row r="128" spans="1:8">
      <c r="A128" s="354"/>
      <c r="B128" s="325"/>
      <c r="C128" s="325"/>
      <c r="D128" s="326"/>
      <c r="E128" s="326"/>
      <c r="F128" s="326"/>
      <c r="G128" s="326"/>
      <c r="H128" s="333"/>
    </row>
    <row r="129" spans="1:8">
      <c r="A129" s="322"/>
      <c r="B129" s="324"/>
      <c r="C129" s="325"/>
      <c r="D129" s="326"/>
      <c r="E129" s="337"/>
      <c r="F129" s="326"/>
      <c r="G129" s="326"/>
      <c r="H129" s="338"/>
    </row>
    <row r="130" spans="1:8">
      <c r="A130" s="323"/>
      <c r="B130" s="325"/>
      <c r="C130" s="325"/>
      <c r="D130" s="326"/>
      <c r="E130" s="326"/>
      <c r="F130" s="326"/>
      <c r="G130" s="326"/>
      <c r="H130" s="333"/>
    </row>
    <row r="131" spans="1:8">
      <c r="A131" s="322"/>
      <c r="B131" s="324"/>
      <c r="C131" s="325"/>
      <c r="D131" s="326"/>
      <c r="E131" s="337"/>
      <c r="F131" s="326"/>
      <c r="G131" s="326"/>
      <c r="H131" s="338"/>
    </row>
    <row r="132" spans="1:8">
      <c r="A132" s="323"/>
      <c r="B132" s="325"/>
      <c r="C132" s="325"/>
      <c r="D132" s="326"/>
      <c r="E132" s="326"/>
      <c r="F132" s="326"/>
      <c r="G132" s="326"/>
      <c r="H132" s="333"/>
    </row>
    <row r="133" spans="1:8">
      <c r="A133" s="322"/>
      <c r="B133" s="324"/>
      <c r="C133" s="324"/>
      <c r="D133" s="326"/>
      <c r="E133" s="327"/>
      <c r="F133" s="328"/>
      <c r="G133" s="329"/>
      <c r="H133" s="338"/>
    </row>
    <row r="134" spans="1:8">
      <c r="A134" s="323"/>
      <c r="B134" s="325"/>
      <c r="C134" s="325"/>
      <c r="D134" s="326"/>
      <c r="E134" s="330"/>
      <c r="F134" s="331"/>
      <c r="G134" s="332"/>
      <c r="H134" s="333"/>
    </row>
    <row r="135" spans="1:8">
      <c r="A135" s="323"/>
      <c r="B135" s="341"/>
      <c r="C135" s="324"/>
      <c r="D135" s="326"/>
      <c r="E135" s="327"/>
      <c r="F135" s="328"/>
      <c r="G135" s="329"/>
      <c r="H135" s="338"/>
    </row>
    <row r="136" spans="1:8">
      <c r="A136" s="323"/>
      <c r="B136" s="352"/>
      <c r="C136" s="325"/>
      <c r="D136" s="326"/>
      <c r="E136" s="330"/>
      <c r="F136" s="331"/>
      <c r="G136" s="332"/>
      <c r="H136" s="333"/>
    </row>
    <row r="137" spans="1:8">
      <c r="A137" s="322"/>
      <c r="B137" s="324"/>
      <c r="C137" s="325"/>
      <c r="D137" s="326"/>
      <c r="E137" s="337"/>
      <c r="F137" s="326"/>
      <c r="G137" s="326"/>
      <c r="H137" s="338"/>
    </row>
    <row r="138" spans="1:8">
      <c r="A138" s="323"/>
      <c r="B138" s="325"/>
      <c r="C138" s="325"/>
      <c r="D138" s="326"/>
      <c r="E138" s="326"/>
      <c r="F138" s="326"/>
      <c r="G138" s="326"/>
      <c r="H138" s="333"/>
    </row>
    <row r="139" spans="1:8">
      <c r="A139" s="322"/>
      <c r="B139" s="341"/>
      <c r="C139" s="353"/>
      <c r="D139" s="343"/>
      <c r="E139" s="327"/>
      <c r="F139" s="345"/>
      <c r="G139" s="346"/>
      <c r="H139" s="333"/>
    </row>
    <row r="140" spans="1:8">
      <c r="A140" s="323"/>
      <c r="B140" s="342"/>
      <c r="C140" s="352"/>
      <c r="D140" s="344"/>
      <c r="E140" s="347"/>
      <c r="F140" s="348"/>
      <c r="G140" s="349"/>
      <c r="H140" s="333"/>
    </row>
    <row r="141" spans="1:8">
      <c r="A141" s="322"/>
      <c r="B141" s="324"/>
      <c r="C141" s="325"/>
      <c r="D141" s="326"/>
      <c r="E141" s="337"/>
      <c r="F141" s="326"/>
      <c r="G141" s="326"/>
      <c r="H141" s="338"/>
    </row>
    <row r="142" spans="1:8">
      <c r="A142" s="323"/>
      <c r="B142" s="325"/>
      <c r="C142" s="325"/>
      <c r="D142" s="326"/>
      <c r="E142" s="326"/>
      <c r="F142" s="326"/>
      <c r="G142" s="326"/>
      <c r="H142" s="333"/>
    </row>
    <row r="143" spans="1:8">
      <c r="A143" s="322"/>
      <c r="B143" s="324"/>
      <c r="C143" s="325"/>
      <c r="D143" s="326"/>
      <c r="E143" s="337"/>
      <c r="F143" s="326"/>
      <c r="G143" s="326"/>
      <c r="H143" s="338"/>
    </row>
    <row r="144" spans="1:8">
      <c r="A144" s="323"/>
      <c r="B144" s="325"/>
      <c r="C144" s="325"/>
      <c r="D144" s="326"/>
      <c r="E144" s="326"/>
      <c r="F144" s="326"/>
      <c r="G144" s="326"/>
      <c r="H144" s="333"/>
    </row>
    <row r="145" spans="1:8">
      <c r="A145" s="322"/>
      <c r="B145" s="324"/>
      <c r="C145" s="325"/>
      <c r="D145" s="326"/>
      <c r="E145" s="337"/>
      <c r="F145" s="326"/>
      <c r="G145" s="326"/>
      <c r="H145" s="338"/>
    </row>
    <row r="146" spans="1:8">
      <c r="A146" s="323"/>
      <c r="B146" s="325"/>
      <c r="C146" s="325"/>
      <c r="D146" s="326"/>
      <c r="E146" s="326"/>
      <c r="F146" s="326"/>
      <c r="G146" s="326"/>
      <c r="H146" s="333"/>
    </row>
    <row r="147" spans="1:8" ht="16.5" customHeight="1">
      <c r="A147" s="322"/>
      <c r="B147" s="341"/>
      <c r="C147" s="324"/>
      <c r="D147" s="326"/>
      <c r="E147" s="327"/>
      <c r="F147" s="328"/>
      <c r="G147" s="329"/>
      <c r="H147" s="333"/>
    </row>
    <row r="148" spans="1:8">
      <c r="A148" s="323"/>
      <c r="B148" s="352"/>
      <c r="C148" s="325"/>
      <c r="D148" s="326"/>
      <c r="E148" s="330"/>
      <c r="F148" s="331"/>
      <c r="G148" s="332"/>
      <c r="H148" s="333"/>
    </row>
    <row r="149" spans="1:8" ht="16.5" customHeight="1">
      <c r="A149" s="322"/>
      <c r="B149" s="341"/>
      <c r="C149" s="353"/>
      <c r="D149" s="343"/>
      <c r="E149" s="327"/>
      <c r="F149" s="345"/>
      <c r="G149" s="346"/>
      <c r="H149" s="338"/>
    </row>
    <row r="150" spans="1:8">
      <c r="A150" s="323"/>
      <c r="B150" s="342"/>
      <c r="C150" s="352"/>
      <c r="D150" s="344"/>
      <c r="E150" s="347"/>
      <c r="F150" s="348"/>
      <c r="G150" s="349"/>
      <c r="H150" s="333"/>
    </row>
    <row r="151" spans="1:8">
      <c r="A151" s="322"/>
      <c r="B151" s="324"/>
      <c r="C151" s="324"/>
      <c r="D151" s="326"/>
      <c r="E151" s="337"/>
      <c r="F151" s="326"/>
      <c r="G151" s="326"/>
      <c r="H151" s="338"/>
    </row>
    <row r="152" spans="1:8">
      <c r="A152" s="323"/>
      <c r="B152" s="325"/>
      <c r="C152" s="325"/>
      <c r="D152" s="326"/>
      <c r="E152" s="326"/>
      <c r="F152" s="326"/>
      <c r="G152" s="326"/>
      <c r="H152" s="333"/>
    </row>
    <row r="153" spans="1:8">
      <c r="A153" s="322"/>
      <c r="B153" s="341"/>
      <c r="C153" s="324"/>
      <c r="D153" s="326"/>
      <c r="E153" s="327"/>
      <c r="F153" s="328"/>
      <c r="G153" s="329"/>
      <c r="H153" s="333"/>
    </row>
    <row r="154" spans="1:8">
      <c r="A154" s="323"/>
      <c r="B154" s="352"/>
      <c r="C154" s="325"/>
      <c r="D154" s="326"/>
      <c r="E154" s="330"/>
      <c r="F154" s="331"/>
      <c r="G154" s="332"/>
      <c r="H154" s="333"/>
    </row>
    <row r="155" spans="1:8">
      <c r="A155" s="322"/>
      <c r="B155" s="324"/>
      <c r="C155" s="324"/>
      <c r="D155" s="326"/>
      <c r="E155" s="327"/>
      <c r="F155" s="328"/>
      <c r="G155" s="329"/>
      <c r="H155" s="333"/>
    </row>
    <row r="156" spans="1:8">
      <c r="A156" s="323"/>
      <c r="B156" s="325"/>
      <c r="C156" s="325"/>
      <c r="D156" s="326"/>
      <c r="E156" s="330"/>
      <c r="F156" s="331"/>
      <c r="G156" s="332"/>
      <c r="H156" s="333"/>
    </row>
    <row r="157" spans="1:8">
      <c r="A157" s="322"/>
      <c r="B157" s="324"/>
      <c r="C157" s="324"/>
      <c r="D157" s="326"/>
      <c r="E157" s="337"/>
      <c r="F157" s="326"/>
      <c r="G157" s="326"/>
      <c r="H157" s="338"/>
    </row>
    <row r="158" spans="1:8">
      <c r="A158" s="323"/>
      <c r="B158" s="325"/>
      <c r="C158" s="325"/>
      <c r="D158" s="326"/>
      <c r="E158" s="326"/>
      <c r="F158" s="326"/>
      <c r="G158" s="326"/>
      <c r="H158" s="333"/>
    </row>
    <row r="159" spans="1:8">
      <c r="A159" s="322"/>
      <c r="B159" s="324"/>
      <c r="C159" s="325"/>
      <c r="D159" s="326"/>
      <c r="E159" s="337"/>
      <c r="F159" s="326"/>
      <c r="G159" s="326"/>
      <c r="H159" s="338"/>
    </row>
    <row r="160" spans="1:8">
      <c r="A160" s="323"/>
      <c r="B160" s="325"/>
      <c r="C160" s="325"/>
      <c r="D160" s="326"/>
      <c r="E160" s="326"/>
      <c r="F160" s="326"/>
      <c r="G160" s="326"/>
      <c r="H160" s="333"/>
    </row>
    <row r="161" spans="1:8">
      <c r="A161" s="322"/>
      <c r="B161" s="324"/>
      <c r="C161" s="324"/>
      <c r="D161" s="326"/>
      <c r="E161" s="327"/>
      <c r="F161" s="328"/>
      <c r="G161" s="329"/>
      <c r="H161" s="333"/>
    </row>
    <row r="162" spans="1:8">
      <c r="A162" s="323"/>
      <c r="B162" s="325"/>
      <c r="C162" s="325"/>
      <c r="D162" s="326"/>
      <c r="E162" s="330"/>
      <c r="F162" s="331"/>
      <c r="G162" s="332"/>
      <c r="H162" s="333"/>
    </row>
    <row r="163" spans="1:8">
      <c r="A163" s="322"/>
      <c r="B163" s="324"/>
      <c r="C163" s="324"/>
      <c r="D163" s="326"/>
      <c r="E163" s="337"/>
      <c r="F163" s="326"/>
      <c r="G163" s="326"/>
      <c r="H163" s="333"/>
    </row>
    <row r="164" spans="1:8">
      <c r="A164" s="323"/>
      <c r="B164" s="325"/>
      <c r="C164" s="325"/>
      <c r="D164" s="326"/>
      <c r="E164" s="326"/>
      <c r="F164" s="326"/>
      <c r="G164" s="326"/>
      <c r="H164" s="333"/>
    </row>
    <row r="165" spans="1:8">
      <c r="A165" s="322"/>
      <c r="B165" s="324"/>
      <c r="C165" s="325"/>
      <c r="D165" s="326"/>
      <c r="E165" s="337"/>
      <c r="F165" s="326"/>
      <c r="G165" s="326"/>
      <c r="H165" s="333"/>
    </row>
    <row r="166" spans="1:8">
      <c r="A166" s="323"/>
      <c r="B166" s="325"/>
      <c r="C166" s="325"/>
      <c r="D166" s="326"/>
      <c r="E166" s="326"/>
      <c r="F166" s="326"/>
      <c r="G166" s="326"/>
      <c r="H166" s="333"/>
    </row>
    <row r="167" spans="1:8">
      <c r="A167" s="322"/>
      <c r="B167" s="324"/>
      <c r="C167" s="325"/>
      <c r="D167" s="326"/>
      <c r="E167" s="337"/>
      <c r="F167" s="326"/>
      <c r="G167" s="326"/>
      <c r="H167" s="338"/>
    </row>
    <row r="168" spans="1:8">
      <c r="A168" s="323"/>
      <c r="B168" s="325"/>
      <c r="C168" s="325"/>
      <c r="D168" s="326"/>
      <c r="E168" s="326"/>
      <c r="F168" s="326"/>
      <c r="G168" s="326"/>
      <c r="H168" s="333"/>
    </row>
    <row r="169" spans="1:8">
      <c r="A169" s="322"/>
      <c r="B169" s="324"/>
      <c r="C169" s="324"/>
      <c r="D169" s="326"/>
      <c r="E169" s="337"/>
      <c r="F169" s="326"/>
      <c r="G169" s="326"/>
      <c r="H169" s="333"/>
    </row>
    <row r="170" spans="1:8">
      <c r="A170" s="323"/>
      <c r="B170" s="325"/>
      <c r="C170" s="325"/>
      <c r="D170" s="326"/>
      <c r="E170" s="326"/>
      <c r="F170" s="326"/>
      <c r="G170" s="326"/>
      <c r="H170" s="333"/>
    </row>
    <row r="171" spans="1:8">
      <c r="A171" s="322"/>
      <c r="B171" s="324"/>
      <c r="C171" s="324"/>
      <c r="D171" s="326"/>
      <c r="E171" s="337"/>
      <c r="F171" s="326"/>
      <c r="G171" s="326"/>
      <c r="H171" s="338"/>
    </row>
    <row r="172" spans="1:8">
      <c r="A172" s="323"/>
      <c r="B172" s="325"/>
      <c r="C172" s="325"/>
      <c r="D172" s="326"/>
      <c r="E172" s="326"/>
      <c r="F172" s="326"/>
      <c r="G172" s="326"/>
      <c r="H172" s="333"/>
    </row>
    <row r="173" spans="1:8">
      <c r="A173" s="322"/>
      <c r="B173" s="324"/>
      <c r="C173" s="325"/>
      <c r="D173" s="326"/>
      <c r="E173" s="337"/>
      <c r="F173" s="326"/>
      <c r="G173" s="326"/>
      <c r="H173" s="338"/>
    </row>
    <row r="174" spans="1:8">
      <c r="A174" s="323"/>
      <c r="B174" s="325"/>
      <c r="C174" s="325"/>
      <c r="D174" s="326"/>
      <c r="E174" s="326"/>
      <c r="F174" s="326"/>
      <c r="G174" s="326"/>
      <c r="H174" s="333"/>
    </row>
    <row r="175" spans="1:8">
      <c r="A175" s="322"/>
      <c r="B175" s="324"/>
      <c r="C175" s="325"/>
      <c r="D175" s="326"/>
      <c r="E175" s="337"/>
      <c r="F175" s="326"/>
      <c r="G175" s="326"/>
      <c r="H175" s="338"/>
    </row>
    <row r="176" spans="1:8">
      <c r="A176" s="323"/>
      <c r="B176" s="325"/>
      <c r="C176" s="325"/>
      <c r="D176" s="326"/>
      <c r="E176" s="326"/>
      <c r="F176" s="326"/>
      <c r="G176" s="326"/>
      <c r="H176" s="333"/>
    </row>
    <row r="177" spans="1:8">
      <c r="A177" s="322"/>
      <c r="B177" s="324"/>
      <c r="C177" s="325"/>
      <c r="D177" s="326"/>
      <c r="E177" s="337"/>
      <c r="F177" s="326"/>
      <c r="G177" s="326"/>
      <c r="H177" s="333"/>
    </row>
    <row r="178" spans="1:8">
      <c r="A178" s="323"/>
      <c r="B178" s="325"/>
      <c r="C178" s="325"/>
      <c r="D178" s="326"/>
      <c r="E178" s="326"/>
      <c r="F178" s="326"/>
      <c r="G178" s="326"/>
      <c r="H178" s="333"/>
    </row>
    <row r="179" spans="1:8" ht="16.5" customHeight="1">
      <c r="A179" s="322"/>
      <c r="B179" s="324"/>
      <c r="C179" s="324"/>
      <c r="D179" s="326"/>
      <c r="E179" s="337"/>
      <c r="F179" s="326"/>
      <c r="G179" s="326"/>
      <c r="H179" s="338"/>
    </row>
    <row r="180" spans="1:8">
      <c r="A180" s="323"/>
      <c r="B180" s="325"/>
      <c r="C180" s="325"/>
      <c r="D180" s="326"/>
      <c r="E180" s="326"/>
      <c r="F180" s="326"/>
      <c r="G180" s="326"/>
      <c r="H180" s="333"/>
    </row>
    <row r="181" spans="1:8">
      <c r="A181" s="322"/>
      <c r="B181" s="324"/>
      <c r="C181" s="325"/>
      <c r="D181" s="326"/>
      <c r="E181" s="337"/>
      <c r="F181" s="326"/>
      <c r="G181" s="326"/>
      <c r="H181" s="333"/>
    </row>
    <row r="182" spans="1:8">
      <c r="A182" s="323"/>
      <c r="B182" s="325"/>
      <c r="C182" s="325"/>
      <c r="D182" s="326"/>
      <c r="E182" s="326"/>
      <c r="F182" s="326"/>
      <c r="G182" s="326"/>
      <c r="H182" s="333"/>
    </row>
    <row r="183" spans="1:8">
      <c r="A183" s="322"/>
      <c r="B183" s="324"/>
      <c r="C183" s="324"/>
      <c r="D183" s="326"/>
      <c r="E183" s="337"/>
      <c r="F183" s="326"/>
      <c r="G183" s="326"/>
      <c r="H183" s="338"/>
    </row>
    <row r="184" spans="1:8">
      <c r="A184" s="323"/>
      <c r="B184" s="325"/>
      <c r="C184" s="325"/>
      <c r="D184" s="326"/>
      <c r="E184" s="326"/>
      <c r="F184" s="326"/>
      <c r="G184" s="326"/>
      <c r="H184" s="333"/>
    </row>
    <row r="185" spans="1:8">
      <c r="A185" s="322"/>
      <c r="B185" s="324"/>
      <c r="C185" s="325"/>
      <c r="D185" s="326"/>
      <c r="E185" s="337"/>
      <c r="F185" s="326"/>
      <c r="G185" s="326"/>
      <c r="H185" s="338"/>
    </row>
    <row r="186" spans="1:8">
      <c r="A186" s="323"/>
      <c r="B186" s="325"/>
      <c r="C186" s="325"/>
      <c r="D186" s="326"/>
      <c r="E186" s="326"/>
      <c r="F186" s="326"/>
      <c r="G186" s="326"/>
      <c r="H186" s="333"/>
    </row>
    <row r="187" spans="1:8">
      <c r="A187" s="323"/>
      <c r="B187" s="324"/>
      <c r="C187" s="325"/>
      <c r="D187" s="326"/>
      <c r="E187" s="337"/>
      <c r="F187" s="326"/>
      <c r="G187" s="326"/>
      <c r="H187" s="333"/>
    </row>
    <row r="188" spans="1:8">
      <c r="A188" s="323"/>
      <c r="B188" s="325"/>
      <c r="C188" s="325"/>
      <c r="D188" s="326"/>
      <c r="E188" s="326"/>
      <c r="F188" s="326"/>
      <c r="G188" s="326"/>
      <c r="H188" s="333"/>
    </row>
    <row r="189" spans="1:8">
      <c r="A189" s="323"/>
      <c r="B189" s="324"/>
      <c r="C189" s="325"/>
      <c r="D189" s="326"/>
      <c r="E189" s="337"/>
      <c r="F189" s="326"/>
      <c r="G189" s="326"/>
      <c r="H189" s="338"/>
    </row>
    <row r="190" spans="1:8">
      <c r="A190" s="323"/>
      <c r="B190" s="325"/>
      <c r="C190" s="325"/>
      <c r="D190" s="326"/>
      <c r="E190" s="326"/>
      <c r="F190" s="326"/>
      <c r="G190" s="326"/>
      <c r="H190" s="333"/>
    </row>
    <row r="191" spans="1:8" ht="16.5" customHeight="1">
      <c r="A191" s="322"/>
      <c r="B191" s="324"/>
      <c r="C191" s="325"/>
      <c r="D191" s="326"/>
      <c r="E191" s="337"/>
      <c r="F191" s="326"/>
      <c r="G191" s="326"/>
      <c r="H191" s="333"/>
    </row>
    <row r="192" spans="1:8">
      <c r="A192" s="323"/>
      <c r="B192" s="325"/>
      <c r="C192" s="325"/>
      <c r="D192" s="326"/>
      <c r="E192" s="326"/>
      <c r="F192" s="326"/>
      <c r="G192" s="326"/>
      <c r="H192" s="333"/>
    </row>
    <row r="193" spans="1:8">
      <c r="A193" s="323"/>
      <c r="B193" s="324"/>
      <c r="C193" s="325"/>
      <c r="D193" s="326"/>
      <c r="E193" s="337"/>
      <c r="F193" s="326"/>
      <c r="G193" s="326"/>
      <c r="H193" s="333"/>
    </row>
    <row r="194" spans="1:8">
      <c r="A194" s="323"/>
      <c r="B194" s="325"/>
      <c r="C194" s="325"/>
      <c r="D194" s="326"/>
      <c r="E194" s="326"/>
      <c r="F194" s="326"/>
      <c r="G194" s="326"/>
      <c r="H194" s="333"/>
    </row>
    <row r="195" spans="1:8">
      <c r="A195" s="323"/>
      <c r="B195" s="325"/>
      <c r="C195" s="325"/>
      <c r="D195" s="326"/>
      <c r="E195" s="337"/>
      <c r="F195" s="326"/>
      <c r="G195" s="326"/>
      <c r="H195" s="333"/>
    </row>
    <row r="196" spans="1:8">
      <c r="A196" s="323"/>
      <c r="B196" s="325"/>
      <c r="C196" s="325"/>
      <c r="D196" s="326"/>
      <c r="E196" s="326"/>
      <c r="F196" s="326"/>
      <c r="G196" s="326"/>
      <c r="H196" s="333"/>
    </row>
    <row r="197" spans="1:8">
      <c r="A197" s="322"/>
      <c r="B197" s="325"/>
      <c r="C197" s="325"/>
      <c r="D197" s="326"/>
      <c r="E197" s="337"/>
      <c r="F197" s="326"/>
      <c r="G197" s="326"/>
      <c r="H197" s="333"/>
    </row>
    <row r="198" spans="1:8">
      <c r="A198" s="323"/>
      <c r="B198" s="325"/>
      <c r="C198" s="325"/>
      <c r="D198" s="326"/>
      <c r="E198" s="326"/>
      <c r="F198" s="326"/>
      <c r="G198" s="326"/>
      <c r="H198" s="333"/>
    </row>
    <row r="199" spans="1:8">
      <c r="A199" s="322"/>
      <c r="B199" s="325"/>
      <c r="C199" s="325"/>
      <c r="D199" s="326"/>
      <c r="E199" s="337"/>
      <c r="F199" s="326"/>
      <c r="G199" s="326"/>
      <c r="H199" s="333"/>
    </row>
    <row r="200" spans="1:8">
      <c r="A200" s="323"/>
      <c r="B200" s="325"/>
      <c r="C200" s="325"/>
      <c r="D200" s="326"/>
      <c r="E200" s="326"/>
      <c r="F200" s="326"/>
      <c r="G200" s="326"/>
      <c r="H200" s="333"/>
    </row>
    <row r="201" spans="1:8">
      <c r="A201" s="322"/>
      <c r="B201" s="324"/>
      <c r="C201" s="325"/>
      <c r="D201" s="326"/>
      <c r="E201" s="337"/>
      <c r="F201" s="326"/>
      <c r="G201" s="326"/>
      <c r="H201" s="333"/>
    </row>
    <row r="202" spans="1:8">
      <c r="A202" s="323"/>
      <c r="B202" s="325"/>
      <c r="C202" s="325"/>
      <c r="D202" s="326"/>
      <c r="E202" s="326"/>
      <c r="F202" s="326"/>
      <c r="G202" s="326"/>
      <c r="H202" s="333"/>
    </row>
    <row r="203" spans="1:8">
      <c r="A203" s="322"/>
      <c r="B203" s="324"/>
      <c r="C203" s="325"/>
      <c r="D203" s="326"/>
      <c r="E203" s="337"/>
      <c r="F203" s="326"/>
      <c r="G203" s="326"/>
      <c r="H203" s="338"/>
    </row>
    <row r="204" spans="1:8" s="30" customFormat="1">
      <c r="A204" s="323"/>
      <c r="B204" s="325"/>
      <c r="C204" s="325"/>
      <c r="D204" s="326"/>
      <c r="E204" s="326"/>
      <c r="F204" s="326"/>
      <c r="G204" s="326"/>
      <c r="H204" s="333"/>
    </row>
    <row r="205" spans="1:8">
      <c r="A205" s="323"/>
      <c r="B205" s="325"/>
      <c r="C205" s="325"/>
      <c r="D205" s="326"/>
      <c r="E205" s="337"/>
      <c r="F205" s="326"/>
      <c r="G205" s="326"/>
      <c r="H205" s="333"/>
    </row>
    <row r="206" spans="1:8">
      <c r="A206" s="323"/>
      <c r="B206" s="325"/>
      <c r="C206" s="325"/>
      <c r="D206" s="326"/>
      <c r="E206" s="326"/>
      <c r="F206" s="326"/>
      <c r="G206" s="326"/>
      <c r="H206" s="333"/>
    </row>
    <row r="207" spans="1:8">
      <c r="A207" s="322"/>
      <c r="B207" s="324"/>
      <c r="C207" s="325"/>
      <c r="D207" s="326"/>
      <c r="E207" s="337"/>
      <c r="F207" s="326"/>
      <c r="G207" s="326"/>
      <c r="H207" s="333"/>
    </row>
    <row r="208" spans="1:8">
      <c r="A208" s="323"/>
      <c r="B208" s="325"/>
      <c r="C208" s="325"/>
      <c r="D208" s="326"/>
      <c r="E208" s="326"/>
      <c r="F208" s="326"/>
      <c r="G208" s="326"/>
      <c r="H208" s="333"/>
    </row>
    <row r="209" spans="1:8">
      <c r="A209" s="323"/>
      <c r="B209" s="324"/>
      <c r="C209" s="325"/>
      <c r="D209" s="326"/>
      <c r="E209" s="337"/>
      <c r="F209" s="326"/>
      <c r="G209" s="326"/>
      <c r="H209" s="338"/>
    </row>
    <row r="210" spans="1:8" s="30" customFormat="1">
      <c r="A210" s="323"/>
      <c r="B210" s="325"/>
      <c r="C210" s="325"/>
      <c r="D210" s="326"/>
      <c r="E210" s="326"/>
      <c r="F210" s="326"/>
      <c r="G210" s="326"/>
      <c r="H210" s="333"/>
    </row>
    <row r="211" spans="1:8">
      <c r="A211" s="323"/>
      <c r="B211" s="324"/>
      <c r="C211" s="325"/>
      <c r="D211" s="326"/>
      <c r="E211" s="337"/>
      <c r="F211" s="326"/>
      <c r="G211" s="326"/>
      <c r="H211" s="338"/>
    </row>
    <row r="212" spans="1:8">
      <c r="A212" s="323"/>
      <c r="B212" s="325"/>
      <c r="C212" s="325"/>
      <c r="D212" s="326"/>
      <c r="E212" s="326"/>
      <c r="F212" s="326"/>
      <c r="G212" s="326"/>
      <c r="H212" s="333"/>
    </row>
    <row r="213" spans="1:8">
      <c r="A213" s="322"/>
      <c r="B213" s="324"/>
      <c r="C213" s="325"/>
      <c r="D213" s="326"/>
      <c r="E213" s="337"/>
      <c r="F213" s="326"/>
      <c r="G213" s="326"/>
      <c r="H213" s="333"/>
    </row>
    <row r="214" spans="1:8">
      <c r="A214" s="323"/>
      <c r="B214" s="325"/>
      <c r="C214" s="325"/>
      <c r="D214" s="326"/>
      <c r="E214" s="326"/>
      <c r="F214" s="326"/>
      <c r="G214" s="326"/>
      <c r="H214" s="333"/>
    </row>
    <row r="215" spans="1:8">
      <c r="A215" s="323"/>
      <c r="B215" s="324"/>
      <c r="C215" s="325"/>
      <c r="D215" s="326"/>
      <c r="E215" s="337"/>
      <c r="F215" s="326"/>
      <c r="G215" s="326"/>
      <c r="H215" s="333"/>
    </row>
    <row r="216" spans="1:8">
      <c r="A216" s="323"/>
      <c r="B216" s="325"/>
      <c r="C216" s="325"/>
      <c r="D216" s="326"/>
      <c r="E216" s="326"/>
      <c r="F216" s="326"/>
      <c r="G216" s="326"/>
      <c r="H216" s="333"/>
    </row>
    <row r="217" spans="1:8">
      <c r="A217" s="322"/>
      <c r="B217" s="324"/>
      <c r="C217" s="325"/>
      <c r="D217" s="326"/>
      <c r="E217" s="326"/>
      <c r="F217" s="326"/>
      <c r="G217" s="326"/>
      <c r="H217" s="333"/>
    </row>
    <row r="218" spans="1:8">
      <c r="A218" s="323"/>
      <c r="B218" s="325"/>
      <c r="C218" s="325"/>
      <c r="D218" s="326"/>
      <c r="E218" s="326"/>
      <c r="F218" s="326"/>
      <c r="G218" s="326"/>
      <c r="H218" s="333"/>
    </row>
    <row r="219" spans="1:8">
      <c r="A219" s="322"/>
      <c r="B219" s="324"/>
      <c r="C219" s="325"/>
      <c r="D219" s="326"/>
      <c r="E219" s="337"/>
      <c r="F219" s="326"/>
      <c r="G219" s="326"/>
      <c r="H219" s="338"/>
    </row>
    <row r="220" spans="1:8" s="30" customFormat="1">
      <c r="A220" s="323"/>
      <c r="B220" s="325"/>
      <c r="C220" s="325"/>
      <c r="D220" s="326"/>
      <c r="E220" s="326"/>
      <c r="F220" s="326"/>
      <c r="G220" s="326"/>
      <c r="H220" s="333"/>
    </row>
    <row r="221" spans="1:8">
      <c r="A221" s="323"/>
      <c r="B221" s="325"/>
      <c r="C221" s="325"/>
      <c r="D221" s="326"/>
      <c r="E221" s="337"/>
      <c r="F221" s="326"/>
      <c r="G221" s="326"/>
      <c r="H221" s="338"/>
    </row>
    <row r="222" spans="1:8">
      <c r="A222" s="323"/>
      <c r="B222" s="325"/>
      <c r="C222" s="325"/>
      <c r="D222" s="326"/>
      <c r="E222" s="326"/>
      <c r="F222" s="326"/>
      <c r="G222" s="326"/>
      <c r="H222" s="333"/>
    </row>
    <row r="223" spans="1:8">
      <c r="A223" s="322"/>
      <c r="B223" s="324"/>
      <c r="C223" s="325"/>
      <c r="D223" s="326"/>
      <c r="E223" s="337"/>
      <c r="F223" s="326"/>
      <c r="G223" s="326"/>
      <c r="H223" s="333"/>
    </row>
    <row r="224" spans="1:8">
      <c r="A224" s="323"/>
      <c r="B224" s="325"/>
      <c r="C224" s="325"/>
      <c r="D224" s="326"/>
      <c r="E224" s="326"/>
      <c r="F224" s="326"/>
      <c r="G224" s="326"/>
      <c r="H224" s="333"/>
    </row>
    <row r="225" spans="1:8">
      <c r="A225" s="322"/>
      <c r="B225" s="324"/>
      <c r="C225" s="325"/>
      <c r="D225" s="326"/>
      <c r="E225" s="337"/>
      <c r="F225" s="326"/>
      <c r="G225" s="326"/>
      <c r="H225" s="338"/>
    </row>
    <row r="226" spans="1:8" s="30" customFormat="1">
      <c r="A226" s="323"/>
      <c r="B226" s="325"/>
      <c r="C226" s="325"/>
      <c r="D226" s="326"/>
      <c r="E226" s="326"/>
      <c r="F226" s="326"/>
      <c r="G226" s="326"/>
      <c r="H226" s="333"/>
    </row>
    <row r="227" spans="1:8">
      <c r="A227" s="323"/>
      <c r="B227" s="324"/>
      <c r="C227" s="325"/>
      <c r="D227" s="326"/>
      <c r="E227" s="337"/>
      <c r="F227" s="326"/>
      <c r="G227" s="326"/>
      <c r="H227" s="338"/>
    </row>
    <row r="228" spans="1:8">
      <c r="A228" s="323"/>
      <c r="B228" s="325"/>
      <c r="C228" s="325"/>
      <c r="D228" s="326"/>
      <c r="E228" s="326"/>
      <c r="F228" s="326"/>
      <c r="G228" s="326"/>
      <c r="H228" s="333"/>
    </row>
    <row r="229" spans="1:8">
      <c r="A229" s="323"/>
      <c r="B229" s="325"/>
      <c r="C229" s="325"/>
      <c r="D229" s="326"/>
      <c r="E229" s="326"/>
      <c r="F229" s="326"/>
      <c r="G229" s="326"/>
      <c r="H229" s="338"/>
    </row>
    <row r="230" spans="1:8">
      <c r="A230" s="323"/>
      <c r="B230" s="325"/>
      <c r="C230" s="325"/>
      <c r="D230" s="326"/>
      <c r="E230" s="326"/>
      <c r="F230" s="326"/>
      <c r="G230" s="326"/>
      <c r="H230" s="333"/>
    </row>
    <row r="231" spans="1:8">
      <c r="A231" s="322"/>
      <c r="B231" s="325"/>
      <c r="C231" s="325"/>
      <c r="D231" s="326"/>
      <c r="E231" s="337"/>
      <c r="F231" s="326"/>
      <c r="G231" s="326"/>
      <c r="H231" s="338"/>
    </row>
    <row r="232" spans="1:8" s="30" customFormat="1">
      <c r="A232" s="323"/>
      <c r="B232" s="325"/>
      <c r="C232" s="325"/>
      <c r="D232" s="326"/>
      <c r="E232" s="326"/>
      <c r="F232" s="326"/>
      <c r="G232" s="326"/>
      <c r="H232" s="333"/>
    </row>
    <row r="233" spans="1:8">
      <c r="A233" s="322"/>
      <c r="B233" s="325"/>
      <c r="C233" s="325"/>
      <c r="D233" s="326"/>
      <c r="E233" s="337"/>
      <c r="F233" s="326"/>
      <c r="G233" s="326"/>
      <c r="H233" s="338"/>
    </row>
    <row r="234" spans="1:8">
      <c r="A234" s="323"/>
      <c r="B234" s="325"/>
      <c r="C234" s="325"/>
      <c r="D234" s="326"/>
      <c r="E234" s="326"/>
      <c r="F234" s="326"/>
      <c r="G234" s="326"/>
      <c r="H234" s="333"/>
    </row>
    <row r="235" spans="1:8">
      <c r="A235" s="323"/>
      <c r="B235" s="324"/>
      <c r="C235" s="325"/>
      <c r="D235" s="326"/>
      <c r="E235" s="337"/>
      <c r="F235" s="326"/>
      <c r="G235" s="326"/>
      <c r="H235" s="338"/>
    </row>
    <row r="236" spans="1:8">
      <c r="A236" s="323"/>
      <c r="B236" s="325"/>
      <c r="C236" s="325"/>
      <c r="D236" s="326"/>
      <c r="E236" s="326"/>
      <c r="F236" s="326"/>
      <c r="G236" s="326"/>
      <c r="H236" s="333"/>
    </row>
    <row r="237" spans="1:8" ht="16.5" customHeight="1">
      <c r="A237" s="322"/>
      <c r="B237" s="324"/>
      <c r="C237" s="324"/>
      <c r="D237" s="326"/>
      <c r="E237" s="327"/>
      <c r="F237" s="328"/>
      <c r="G237" s="329"/>
      <c r="H237" s="338"/>
    </row>
    <row r="238" spans="1:8" ht="16.5" customHeight="1">
      <c r="A238" s="323"/>
      <c r="B238" s="325"/>
      <c r="C238" s="325"/>
      <c r="D238" s="326"/>
      <c r="E238" s="330"/>
      <c r="F238" s="331"/>
      <c r="G238" s="332"/>
      <c r="H238" s="333"/>
    </row>
    <row r="239" spans="1:8" ht="16.5" customHeight="1">
      <c r="A239" s="322"/>
      <c r="B239" s="324"/>
      <c r="C239" s="325"/>
      <c r="D239" s="326"/>
      <c r="E239" s="326"/>
      <c r="F239" s="326"/>
      <c r="G239" s="326"/>
      <c r="H239" s="338"/>
    </row>
    <row r="240" spans="1:8" ht="16.5" customHeight="1">
      <c r="A240" s="323"/>
      <c r="B240" s="325"/>
      <c r="C240" s="325"/>
      <c r="D240" s="326"/>
      <c r="E240" s="326"/>
      <c r="F240" s="326"/>
      <c r="G240" s="326"/>
      <c r="H240" s="333"/>
    </row>
    <row r="241" spans="1:8" ht="16.5" customHeight="1">
      <c r="A241" s="336"/>
      <c r="B241" s="324"/>
      <c r="C241" s="324"/>
      <c r="D241" s="326"/>
      <c r="E241" s="327"/>
      <c r="F241" s="328"/>
      <c r="G241" s="329"/>
      <c r="H241" s="350"/>
    </row>
    <row r="242" spans="1:8" ht="16.5" customHeight="1">
      <c r="A242" s="323"/>
      <c r="B242" s="325"/>
      <c r="C242" s="325"/>
      <c r="D242" s="326"/>
      <c r="E242" s="330"/>
      <c r="F242" s="331"/>
      <c r="G242" s="332"/>
      <c r="H242" s="351"/>
    </row>
    <row r="243" spans="1:8" ht="16.5" customHeight="1">
      <c r="A243" s="322"/>
      <c r="B243" s="324"/>
      <c r="C243" s="325"/>
      <c r="D243" s="326"/>
      <c r="E243" s="337"/>
      <c r="F243" s="326"/>
      <c r="G243" s="326"/>
      <c r="H243" s="338"/>
    </row>
    <row r="244" spans="1:8" ht="16.5" customHeight="1">
      <c r="A244" s="323"/>
      <c r="B244" s="325"/>
      <c r="C244" s="325"/>
      <c r="D244" s="326"/>
      <c r="E244" s="326"/>
      <c r="F244" s="326"/>
      <c r="G244" s="326"/>
      <c r="H244" s="333"/>
    </row>
    <row r="245" spans="1:8" ht="16.5" customHeight="1">
      <c r="A245" s="335"/>
      <c r="B245" s="324"/>
      <c r="C245" s="341"/>
      <c r="D245" s="343"/>
      <c r="E245" s="327"/>
      <c r="F245" s="345"/>
      <c r="G245" s="346"/>
      <c r="H245" s="333"/>
    </row>
    <row r="246" spans="1:8" ht="16.5" customHeight="1">
      <c r="A246" s="336"/>
      <c r="B246" s="325"/>
      <c r="C246" s="342"/>
      <c r="D246" s="344"/>
      <c r="E246" s="347"/>
      <c r="F246" s="348"/>
      <c r="G246" s="349"/>
      <c r="H246" s="333"/>
    </row>
    <row r="247" spans="1:8" ht="16.5" customHeight="1">
      <c r="A247" s="322"/>
      <c r="B247" s="324"/>
      <c r="C247" s="325"/>
      <c r="D247" s="326"/>
      <c r="E247" s="327"/>
      <c r="F247" s="328"/>
      <c r="G247" s="329"/>
      <c r="H247" s="333"/>
    </row>
    <row r="248" spans="1:8" ht="16.5" customHeight="1">
      <c r="A248" s="323"/>
      <c r="B248" s="325"/>
      <c r="C248" s="325"/>
      <c r="D248" s="326"/>
      <c r="E248" s="330"/>
      <c r="F248" s="331"/>
      <c r="G248" s="332"/>
      <c r="H248" s="333"/>
    </row>
    <row r="249" spans="1:8" ht="16.5" customHeight="1">
      <c r="A249" s="322"/>
      <c r="B249" s="324"/>
      <c r="C249" s="324"/>
      <c r="D249" s="326"/>
      <c r="E249" s="327"/>
      <c r="F249" s="328"/>
      <c r="G249" s="329"/>
      <c r="H249" s="333"/>
    </row>
    <row r="250" spans="1:8" ht="16.5" customHeight="1">
      <c r="A250" s="323"/>
      <c r="B250" s="325"/>
      <c r="C250" s="325"/>
      <c r="D250" s="326"/>
      <c r="E250" s="330"/>
      <c r="F250" s="331"/>
      <c r="G250" s="332"/>
      <c r="H250" s="333"/>
    </row>
    <row r="251" spans="1:8" ht="16.5" customHeight="1">
      <c r="A251" s="322"/>
      <c r="B251" s="324"/>
      <c r="C251" s="325"/>
      <c r="D251" s="326"/>
      <c r="E251" s="327"/>
      <c r="F251" s="328"/>
      <c r="G251" s="329"/>
      <c r="H251" s="333"/>
    </row>
    <row r="252" spans="1:8" ht="16.5" customHeight="1">
      <c r="A252" s="323"/>
      <c r="B252" s="325"/>
      <c r="C252" s="325"/>
      <c r="D252" s="326"/>
      <c r="E252" s="330"/>
      <c r="F252" s="331"/>
      <c r="G252" s="332"/>
      <c r="H252" s="333"/>
    </row>
    <row r="253" spans="1:8" ht="16.5" customHeight="1">
      <c r="A253" s="322"/>
      <c r="B253" s="324"/>
      <c r="C253" s="325"/>
      <c r="D253" s="326"/>
      <c r="E253" s="327"/>
      <c r="F253" s="328"/>
      <c r="G253" s="329"/>
      <c r="H253" s="333"/>
    </row>
    <row r="254" spans="1:8" ht="17.25" customHeight="1">
      <c r="A254" s="323"/>
      <c r="B254" s="325"/>
      <c r="C254" s="325"/>
      <c r="D254" s="326"/>
      <c r="E254" s="330"/>
      <c r="F254" s="331"/>
      <c r="G254" s="332"/>
      <c r="H254" s="333"/>
    </row>
    <row r="255" spans="1:8" ht="16.5" customHeight="1">
      <c r="A255" s="322"/>
      <c r="B255" s="324"/>
      <c r="C255" s="325"/>
      <c r="D255" s="326"/>
      <c r="E255" s="327"/>
      <c r="F255" s="328"/>
      <c r="G255" s="329"/>
      <c r="H255" s="333"/>
    </row>
    <row r="256" spans="1:8" ht="16.5" customHeight="1">
      <c r="A256" s="323"/>
      <c r="B256" s="325"/>
      <c r="C256" s="325"/>
      <c r="D256" s="326"/>
      <c r="E256" s="330"/>
      <c r="F256" s="331"/>
      <c r="G256" s="332"/>
      <c r="H256" s="333"/>
    </row>
    <row r="257" spans="1:11" ht="16.5" customHeight="1">
      <c r="A257" s="322"/>
      <c r="B257" s="324"/>
      <c r="C257" s="324"/>
      <c r="D257" s="326"/>
      <c r="E257" s="327"/>
      <c r="F257" s="328"/>
      <c r="G257" s="329"/>
      <c r="H257" s="333"/>
    </row>
    <row r="258" spans="1:11" ht="16.5" customHeight="1">
      <c r="A258" s="323"/>
      <c r="B258" s="325"/>
      <c r="C258" s="325"/>
      <c r="D258" s="326"/>
      <c r="E258" s="330"/>
      <c r="F258" s="331"/>
      <c r="G258" s="332"/>
      <c r="H258" s="333"/>
    </row>
    <row r="259" spans="1:11" ht="16.5" customHeight="1">
      <c r="A259" s="322"/>
      <c r="B259" s="324"/>
      <c r="C259" s="324"/>
      <c r="D259" s="326"/>
      <c r="E259" s="327"/>
      <c r="F259" s="328"/>
      <c r="G259" s="329"/>
      <c r="H259" s="333"/>
    </row>
    <row r="260" spans="1:11" ht="16.5" customHeight="1">
      <c r="A260" s="323"/>
      <c r="B260" s="325"/>
      <c r="C260" s="325"/>
      <c r="D260" s="326"/>
      <c r="E260" s="330"/>
      <c r="F260" s="331"/>
      <c r="G260" s="332"/>
      <c r="H260" s="333"/>
    </row>
    <row r="261" spans="1:11" ht="16.5" customHeight="1">
      <c r="A261" s="322"/>
      <c r="B261" s="324"/>
      <c r="C261" s="325"/>
      <c r="D261" s="326"/>
      <c r="E261" s="337"/>
      <c r="F261" s="326"/>
      <c r="G261" s="326"/>
      <c r="H261" s="333"/>
    </row>
    <row r="262" spans="1:11" ht="16.5" customHeight="1">
      <c r="A262" s="323"/>
      <c r="B262" s="325"/>
      <c r="C262" s="325"/>
      <c r="D262" s="326"/>
      <c r="E262" s="326"/>
      <c r="F262" s="326"/>
      <c r="G262" s="326"/>
      <c r="H262" s="333"/>
    </row>
    <row r="263" spans="1:11" ht="16.5" customHeight="1">
      <c r="A263" s="322"/>
      <c r="B263" s="324"/>
      <c r="C263" s="324"/>
      <c r="D263" s="326"/>
      <c r="E263" s="337"/>
      <c r="F263" s="326"/>
      <c r="G263" s="326"/>
      <c r="H263" s="333"/>
    </row>
    <row r="264" spans="1:11" ht="16.5" customHeight="1">
      <c r="A264" s="323"/>
      <c r="B264" s="325"/>
      <c r="C264" s="325"/>
      <c r="D264" s="326"/>
      <c r="E264" s="326"/>
      <c r="F264" s="326"/>
      <c r="G264" s="326"/>
      <c r="H264" s="333"/>
    </row>
    <row r="265" spans="1:11" ht="16.5" customHeight="1">
      <c r="A265" s="339"/>
      <c r="B265" s="324"/>
      <c r="C265" s="324"/>
      <c r="D265" s="326"/>
      <c r="E265" s="327"/>
      <c r="F265" s="328"/>
      <c r="G265" s="329"/>
      <c r="H265" s="333"/>
    </row>
    <row r="266" spans="1:11" ht="16.5" customHeight="1">
      <c r="A266" s="340"/>
      <c r="B266" s="325"/>
      <c r="C266" s="325"/>
      <c r="D266" s="326"/>
      <c r="E266" s="330"/>
      <c r="F266" s="331"/>
      <c r="G266" s="332"/>
      <c r="H266" s="333"/>
    </row>
    <row r="267" spans="1:11" ht="16.5" customHeight="1">
      <c r="A267" s="322"/>
      <c r="B267" s="324"/>
      <c r="C267" s="324"/>
      <c r="D267" s="326"/>
      <c r="E267" s="327"/>
      <c r="F267" s="328"/>
      <c r="G267" s="329"/>
      <c r="H267" s="333"/>
    </row>
    <row r="268" spans="1:11" ht="16.5" customHeight="1">
      <c r="A268" s="323"/>
      <c r="B268" s="325"/>
      <c r="C268" s="325"/>
      <c r="D268" s="326"/>
      <c r="E268" s="330"/>
      <c r="F268" s="331"/>
      <c r="G268" s="332"/>
      <c r="H268" s="333"/>
      <c r="K268" s="24"/>
    </row>
    <row r="269" spans="1:11" ht="16.5" customHeight="1">
      <c r="A269" s="322"/>
      <c r="B269" s="324"/>
      <c r="C269" s="324"/>
      <c r="D269" s="326"/>
      <c r="E269" s="327"/>
      <c r="F269" s="328"/>
      <c r="G269" s="329"/>
      <c r="H269" s="338"/>
    </row>
    <row r="270" spans="1:11" ht="16.5" customHeight="1">
      <c r="A270" s="323"/>
      <c r="B270" s="325"/>
      <c r="C270" s="325"/>
      <c r="D270" s="326"/>
      <c r="E270" s="330"/>
      <c r="F270" s="331"/>
      <c r="G270" s="332"/>
      <c r="H270" s="333"/>
      <c r="K270" s="24"/>
    </row>
    <row r="271" spans="1:11" ht="16.5" customHeight="1">
      <c r="A271" s="322"/>
      <c r="B271" s="324"/>
      <c r="C271" s="324"/>
      <c r="D271" s="326"/>
      <c r="E271" s="327"/>
      <c r="F271" s="328"/>
      <c r="G271" s="329"/>
      <c r="H271" s="333"/>
      <c r="K271" s="24"/>
    </row>
    <row r="272" spans="1:11" ht="16.5" customHeight="1">
      <c r="A272" s="323"/>
      <c r="B272" s="325"/>
      <c r="C272" s="325"/>
      <c r="D272" s="326"/>
      <c r="E272" s="330"/>
      <c r="F272" s="331"/>
      <c r="G272" s="332"/>
      <c r="H272" s="333"/>
      <c r="K272" s="24"/>
    </row>
    <row r="273" spans="1:11" ht="16.5" customHeight="1">
      <c r="A273" s="322"/>
      <c r="B273" s="324"/>
      <c r="C273" s="325"/>
      <c r="D273" s="326"/>
      <c r="E273" s="337"/>
      <c r="F273" s="326"/>
      <c r="G273" s="326"/>
      <c r="H273" s="333"/>
      <c r="K273" s="24"/>
    </row>
    <row r="274" spans="1:11" ht="16.5" customHeight="1">
      <c r="A274" s="323"/>
      <c r="B274" s="325"/>
      <c r="C274" s="325"/>
      <c r="D274" s="326"/>
      <c r="E274" s="326"/>
      <c r="F274" s="326"/>
      <c r="G274" s="326"/>
      <c r="H274" s="333"/>
      <c r="K274" s="24"/>
    </row>
    <row r="275" spans="1:11" ht="16.5" customHeight="1">
      <c r="A275" s="322"/>
      <c r="B275" s="324"/>
      <c r="C275" s="325"/>
      <c r="D275" s="326"/>
      <c r="E275" s="327"/>
      <c r="F275" s="328"/>
      <c r="G275" s="329"/>
      <c r="H275" s="338"/>
      <c r="I275" s="4"/>
    </row>
    <row r="276" spans="1:11" ht="16.5" customHeight="1">
      <c r="A276" s="323"/>
      <c r="B276" s="325"/>
      <c r="C276" s="325"/>
      <c r="D276" s="326"/>
      <c r="E276" s="330"/>
      <c r="F276" s="331"/>
      <c r="G276" s="332"/>
      <c r="H276" s="333"/>
    </row>
    <row r="277" spans="1:11" ht="16.5" customHeight="1">
      <c r="A277" s="322"/>
      <c r="B277" s="324"/>
      <c r="C277" s="325"/>
      <c r="D277" s="326"/>
      <c r="E277" s="327"/>
      <c r="F277" s="328"/>
      <c r="G277" s="329"/>
      <c r="H277" s="333"/>
    </row>
    <row r="278" spans="1:11" ht="16.5" customHeight="1">
      <c r="A278" s="323"/>
      <c r="B278" s="325"/>
      <c r="C278" s="325"/>
      <c r="D278" s="326"/>
      <c r="E278" s="330"/>
      <c r="F278" s="331"/>
      <c r="G278" s="332"/>
      <c r="H278" s="333"/>
    </row>
    <row r="279" spans="1:11" ht="16.5" customHeight="1">
      <c r="A279" s="322"/>
      <c r="B279" s="324"/>
      <c r="C279" s="325"/>
      <c r="D279" s="326"/>
      <c r="E279" s="327"/>
      <c r="F279" s="328"/>
      <c r="G279" s="329"/>
      <c r="H279" s="333"/>
    </row>
    <row r="280" spans="1:11" ht="16.5" customHeight="1">
      <c r="A280" s="323"/>
      <c r="B280" s="325"/>
      <c r="C280" s="325"/>
      <c r="D280" s="326"/>
      <c r="E280" s="330"/>
      <c r="F280" s="331"/>
      <c r="G280" s="332"/>
      <c r="H280" s="333"/>
    </row>
    <row r="281" spans="1:11" ht="16.5" customHeight="1">
      <c r="A281" s="322"/>
      <c r="B281" s="324"/>
      <c r="C281" s="325"/>
      <c r="D281" s="326"/>
      <c r="E281" s="327"/>
      <c r="F281" s="328"/>
      <c r="G281" s="329"/>
      <c r="H281" s="333"/>
    </row>
    <row r="282" spans="1:11" ht="16.5" customHeight="1">
      <c r="A282" s="323"/>
      <c r="B282" s="325"/>
      <c r="C282" s="325"/>
      <c r="D282" s="326"/>
      <c r="E282" s="330"/>
      <c r="F282" s="331"/>
      <c r="G282" s="332"/>
      <c r="H282" s="333"/>
    </row>
    <row r="283" spans="1:11" ht="16.5" customHeight="1">
      <c r="A283" s="322"/>
      <c r="B283" s="324"/>
      <c r="C283" s="325"/>
      <c r="D283" s="326"/>
      <c r="E283" s="327"/>
      <c r="F283" s="328"/>
      <c r="G283" s="329"/>
      <c r="H283" s="333"/>
    </row>
    <row r="284" spans="1:11" ht="16.5" customHeight="1">
      <c r="A284" s="323"/>
      <c r="B284" s="325"/>
      <c r="C284" s="325"/>
      <c r="D284" s="326"/>
      <c r="E284" s="330"/>
      <c r="F284" s="331"/>
      <c r="G284" s="332"/>
      <c r="H284" s="333"/>
    </row>
    <row r="285" spans="1:11" ht="16.5" customHeight="1">
      <c r="A285" s="322"/>
      <c r="B285" s="324"/>
      <c r="C285" s="326"/>
      <c r="D285" s="326"/>
      <c r="E285" s="327"/>
      <c r="F285" s="328"/>
      <c r="G285" s="329"/>
      <c r="H285" s="333"/>
    </row>
    <row r="286" spans="1:11" ht="16.5" customHeight="1">
      <c r="A286" s="323"/>
      <c r="B286" s="325"/>
      <c r="C286" s="326"/>
      <c r="D286" s="326"/>
      <c r="E286" s="330"/>
      <c r="F286" s="331"/>
      <c r="G286" s="332"/>
      <c r="H286" s="333"/>
    </row>
    <row r="287" spans="1:11" ht="16.5" customHeight="1">
      <c r="A287" s="322"/>
      <c r="B287" s="324"/>
      <c r="C287" s="325"/>
      <c r="D287" s="326"/>
      <c r="E287" s="337"/>
      <c r="F287" s="326"/>
      <c r="G287" s="326"/>
      <c r="H287" s="333"/>
      <c r="I287" s="3"/>
      <c r="K287" s="23"/>
    </row>
    <row r="288" spans="1:11" ht="16.5" customHeight="1">
      <c r="A288" s="323"/>
      <c r="B288" s="325"/>
      <c r="C288" s="325"/>
      <c r="D288" s="326"/>
      <c r="E288" s="326"/>
      <c r="F288" s="326"/>
      <c r="G288" s="326"/>
      <c r="H288" s="333"/>
    </row>
    <row r="289" spans="1:8" ht="16.5" customHeight="1">
      <c r="A289" s="322"/>
      <c r="B289" s="324"/>
      <c r="C289" s="325"/>
      <c r="D289" s="326"/>
      <c r="E289" s="327"/>
      <c r="F289" s="328"/>
      <c r="G289" s="329"/>
      <c r="H289" s="333"/>
    </row>
    <row r="290" spans="1:8" ht="16.5" customHeight="1">
      <c r="A290" s="323"/>
      <c r="B290" s="325"/>
      <c r="C290" s="325"/>
      <c r="D290" s="326"/>
      <c r="E290" s="330"/>
      <c r="F290" s="331"/>
      <c r="G290" s="332"/>
      <c r="H290" s="333"/>
    </row>
    <row r="291" spans="1:8" ht="16.5" customHeight="1">
      <c r="A291" s="322"/>
      <c r="B291" s="324"/>
      <c r="C291" s="324"/>
      <c r="D291" s="326"/>
      <c r="E291" s="327"/>
      <c r="F291" s="328"/>
      <c r="G291" s="329"/>
      <c r="H291" s="333"/>
    </row>
    <row r="292" spans="1:8" ht="16.5" customHeight="1">
      <c r="A292" s="323"/>
      <c r="B292" s="325"/>
      <c r="C292" s="325"/>
      <c r="D292" s="326"/>
      <c r="E292" s="330"/>
      <c r="F292" s="331"/>
      <c r="G292" s="332"/>
      <c r="H292" s="333"/>
    </row>
    <row r="293" spans="1:8" ht="16.5" customHeight="1">
      <c r="A293" s="335"/>
      <c r="B293" s="324"/>
      <c r="C293" s="325"/>
      <c r="D293" s="326"/>
      <c r="E293" s="327"/>
      <c r="F293" s="328"/>
      <c r="G293" s="329"/>
      <c r="H293" s="333"/>
    </row>
    <row r="294" spans="1:8" ht="16.5" customHeight="1">
      <c r="A294" s="336"/>
      <c r="B294" s="325"/>
      <c r="C294" s="325"/>
      <c r="D294" s="326"/>
      <c r="E294" s="330"/>
      <c r="F294" s="331"/>
      <c r="G294" s="332"/>
      <c r="H294" s="333"/>
    </row>
    <row r="295" spans="1:8" ht="16.5" customHeight="1">
      <c r="A295" s="334"/>
      <c r="B295" s="324"/>
      <c r="C295" s="324"/>
      <c r="D295" s="326"/>
      <c r="E295" s="327"/>
      <c r="F295" s="328"/>
      <c r="G295" s="329"/>
      <c r="H295" s="333"/>
    </row>
    <row r="296" spans="1:8" ht="16.5" customHeight="1">
      <c r="A296" s="323"/>
      <c r="B296" s="325"/>
      <c r="C296" s="325"/>
      <c r="D296" s="326"/>
      <c r="E296" s="330"/>
      <c r="F296" s="331"/>
      <c r="G296" s="332"/>
      <c r="H296" s="333"/>
    </row>
    <row r="297" spans="1:8" ht="16.5" customHeight="1">
      <c r="A297" s="322"/>
      <c r="B297" s="324"/>
      <c r="C297" s="325"/>
      <c r="D297" s="326"/>
      <c r="E297" s="327"/>
      <c r="F297" s="328"/>
      <c r="G297" s="329"/>
      <c r="H297" s="333"/>
    </row>
    <row r="298" spans="1:8" ht="16.5" customHeight="1">
      <c r="A298" s="323"/>
      <c r="B298" s="325"/>
      <c r="C298" s="325"/>
      <c r="D298" s="326"/>
      <c r="E298" s="330"/>
      <c r="F298" s="331"/>
      <c r="G298" s="332"/>
      <c r="H298" s="333"/>
    </row>
    <row r="299" spans="1:8" ht="16.5" customHeight="1">
      <c r="A299" s="313"/>
      <c r="B299" s="314"/>
      <c r="C299" s="307"/>
      <c r="D299" s="309"/>
      <c r="E299" s="315"/>
      <c r="F299" s="316"/>
      <c r="G299" s="317"/>
      <c r="H299" s="321"/>
    </row>
    <row r="300" spans="1:8" ht="16.5" customHeight="1">
      <c r="A300" s="305"/>
      <c r="B300" s="307"/>
      <c r="C300" s="307"/>
      <c r="D300" s="309"/>
      <c r="E300" s="318"/>
      <c r="F300" s="319"/>
      <c r="G300" s="320"/>
      <c r="H300" s="311"/>
    </row>
    <row r="301" spans="1:8" ht="16.5" customHeight="1">
      <c r="A301" s="313"/>
      <c r="B301" s="314"/>
      <c r="C301" s="307"/>
      <c r="D301" s="309"/>
      <c r="E301" s="315"/>
      <c r="F301" s="316"/>
      <c r="G301" s="317"/>
      <c r="H301" s="321"/>
    </row>
    <row r="302" spans="1:8" ht="16.5" customHeight="1">
      <c r="A302" s="305"/>
      <c r="B302" s="307"/>
      <c r="C302" s="307"/>
      <c r="D302" s="309"/>
      <c r="E302" s="318"/>
      <c r="F302" s="319"/>
      <c r="G302" s="320"/>
      <c r="H302" s="311"/>
    </row>
    <row r="303" spans="1:8">
      <c r="A303" s="305"/>
      <c r="B303" s="307"/>
      <c r="C303" s="307"/>
      <c r="D303" s="309"/>
      <c r="E303" s="309"/>
      <c r="F303" s="309"/>
      <c r="G303" s="309"/>
      <c r="H303" s="311"/>
    </row>
    <row r="304" spans="1:8">
      <c r="A304" s="305"/>
      <c r="B304" s="307"/>
      <c r="C304" s="307"/>
      <c r="D304" s="309"/>
      <c r="E304" s="309"/>
      <c r="F304" s="309"/>
      <c r="G304" s="309"/>
      <c r="H304" s="311"/>
    </row>
    <row r="305" spans="1:8" ht="16.5" customHeight="1">
      <c r="A305" s="313"/>
      <c r="B305" s="314"/>
      <c r="C305" s="307"/>
      <c r="D305" s="309"/>
      <c r="E305" s="315"/>
      <c r="F305" s="316"/>
      <c r="G305" s="317"/>
      <c r="H305" s="311"/>
    </row>
    <row r="306" spans="1:8" ht="16.5" customHeight="1">
      <c r="A306" s="305"/>
      <c r="B306" s="307"/>
      <c r="C306" s="307"/>
      <c r="D306" s="309"/>
      <c r="E306" s="318"/>
      <c r="F306" s="319"/>
      <c r="G306" s="320"/>
      <c r="H306" s="311"/>
    </row>
    <row r="307" spans="1:8" ht="16.5" customHeight="1">
      <c r="A307" s="313"/>
      <c r="B307" s="314"/>
      <c r="C307" s="307"/>
      <c r="D307" s="309"/>
      <c r="E307" s="315"/>
      <c r="F307" s="316"/>
      <c r="G307" s="317"/>
      <c r="H307" s="311"/>
    </row>
    <row r="308" spans="1:8" ht="16.5" customHeight="1">
      <c r="A308" s="305"/>
      <c r="B308" s="307"/>
      <c r="C308" s="307"/>
      <c r="D308" s="309"/>
      <c r="E308" s="318"/>
      <c r="F308" s="319"/>
      <c r="G308" s="320"/>
      <c r="H308" s="311"/>
    </row>
    <row r="309" spans="1:8" ht="16.5" customHeight="1">
      <c r="A309" s="313"/>
      <c r="B309" s="314"/>
      <c r="C309" s="307"/>
      <c r="D309" s="309"/>
      <c r="E309" s="315"/>
      <c r="F309" s="316"/>
      <c r="G309" s="317"/>
      <c r="H309" s="321"/>
    </row>
    <row r="310" spans="1:8" ht="16.5" customHeight="1">
      <c r="A310" s="305"/>
      <c r="B310" s="307"/>
      <c r="C310" s="307"/>
      <c r="D310" s="309"/>
      <c r="E310" s="318"/>
      <c r="F310" s="319"/>
      <c r="G310" s="320"/>
      <c r="H310" s="311"/>
    </row>
    <row r="311" spans="1:8" ht="16.5" customHeight="1">
      <c r="A311" s="313"/>
      <c r="B311" s="314"/>
      <c r="C311" s="307"/>
      <c r="D311" s="309"/>
      <c r="E311" s="315"/>
      <c r="F311" s="316"/>
      <c r="G311" s="317"/>
      <c r="H311" s="321"/>
    </row>
    <row r="312" spans="1:8" ht="16.5" customHeight="1">
      <c r="A312" s="305"/>
      <c r="B312" s="307"/>
      <c r="C312" s="307"/>
      <c r="D312" s="309"/>
      <c r="E312" s="318"/>
      <c r="F312" s="319"/>
      <c r="G312" s="320"/>
      <c r="H312" s="311"/>
    </row>
    <row r="313" spans="1:8">
      <c r="A313" s="305"/>
      <c r="B313" s="307"/>
      <c r="C313" s="307"/>
      <c r="D313" s="309"/>
      <c r="E313" s="309"/>
      <c r="F313" s="309"/>
      <c r="G313" s="309"/>
      <c r="H313" s="311"/>
    </row>
    <row r="314" spans="1:8">
      <c r="A314" s="305"/>
      <c r="B314" s="307"/>
      <c r="C314" s="307"/>
      <c r="D314" s="309"/>
      <c r="E314" s="309"/>
      <c r="F314" s="309"/>
      <c r="G314" s="309"/>
      <c r="H314" s="311"/>
    </row>
    <row r="315" spans="1:8" ht="16.5" customHeight="1">
      <c r="A315" s="313"/>
      <c r="B315" s="314"/>
      <c r="C315" s="307"/>
      <c r="D315" s="309"/>
      <c r="E315" s="315"/>
      <c r="F315" s="316"/>
      <c r="G315" s="317"/>
      <c r="H315" s="311"/>
    </row>
    <row r="316" spans="1:8" ht="16.5" customHeight="1">
      <c r="A316" s="305"/>
      <c r="B316" s="307"/>
      <c r="C316" s="307"/>
      <c r="D316" s="309"/>
      <c r="E316" s="318"/>
      <c r="F316" s="319"/>
      <c r="G316" s="320"/>
      <c r="H316" s="311"/>
    </row>
    <row r="317" spans="1:8" ht="16.5" customHeight="1">
      <c r="A317" s="313"/>
      <c r="B317" s="314"/>
      <c r="C317" s="307"/>
      <c r="D317" s="309"/>
      <c r="E317" s="315"/>
      <c r="F317" s="316"/>
      <c r="G317" s="317"/>
      <c r="H317" s="321"/>
    </row>
    <row r="318" spans="1:8" ht="16.5" customHeight="1">
      <c r="A318" s="305"/>
      <c r="B318" s="307"/>
      <c r="C318" s="307"/>
      <c r="D318" s="309"/>
      <c r="E318" s="318"/>
      <c r="F318" s="319"/>
      <c r="G318" s="320"/>
      <c r="H318" s="311"/>
    </row>
    <row r="319" spans="1:8" ht="16.5" customHeight="1">
      <c r="A319" s="313"/>
      <c r="B319" s="314"/>
      <c r="C319" s="307"/>
      <c r="D319" s="309"/>
      <c r="E319" s="315"/>
      <c r="F319" s="316"/>
      <c r="G319" s="317"/>
      <c r="H319" s="321"/>
    </row>
    <row r="320" spans="1:8" ht="16.5" customHeight="1">
      <c r="A320" s="305"/>
      <c r="B320" s="307"/>
      <c r="C320" s="307"/>
      <c r="D320" s="309"/>
      <c r="E320" s="318"/>
      <c r="F320" s="319"/>
      <c r="G320" s="320"/>
      <c r="H320" s="311"/>
    </row>
    <row r="321" spans="1:8">
      <c r="A321" s="305"/>
      <c r="B321" s="307"/>
      <c r="C321" s="307"/>
      <c r="D321" s="309"/>
      <c r="E321" s="309"/>
      <c r="F321" s="309"/>
      <c r="G321" s="309"/>
      <c r="H321" s="311"/>
    </row>
    <row r="322" spans="1:8">
      <c r="A322" s="305"/>
      <c r="B322" s="307"/>
      <c r="C322" s="307"/>
      <c r="D322" s="309"/>
      <c r="E322" s="309"/>
      <c r="F322" s="309"/>
      <c r="G322" s="309"/>
      <c r="H322" s="311"/>
    </row>
    <row r="323" spans="1:8">
      <c r="A323" s="305"/>
      <c r="B323" s="307"/>
      <c r="C323" s="307"/>
      <c r="D323" s="309"/>
      <c r="E323" s="309"/>
      <c r="F323" s="309"/>
      <c r="G323" s="309"/>
      <c r="H323" s="311"/>
    </row>
    <row r="324" spans="1:8" ht="17.25" thickBot="1">
      <c r="A324" s="306"/>
      <c r="B324" s="308"/>
      <c r="C324" s="308"/>
      <c r="D324" s="310"/>
      <c r="E324" s="310"/>
      <c r="F324" s="310"/>
      <c r="G324" s="310"/>
      <c r="H324" s="312"/>
    </row>
  </sheetData>
  <mergeCells count="979">
    <mergeCell ref="R1:R2"/>
    <mergeCell ref="M1:M2"/>
    <mergeCell ref="N1:N2"/>
    <mergeCell ref="O1:O2"/>
    <mergeCell ref="P1:P2"/>
    <mergeCell ref="Q1:Q2"/>
    <mergeCell ref="E2:G2"/>
    <mergeCell ref="A1:B1"/>
    <mergeCell ref="C1:D1"/>
    <mergeCell ref="I1:I2"/>
    <mergeCell ref="J1:J2"/>
    <mergeCell ref="K1:K2"/>
    <mergeCell ref="L1:L2"/>
    <mergeCell ref="A5:A6"/>
    <mergeCell ref="B5:B6"/>
    <mergeCell ref="C5:C6"/>
    <mergeCell ref="D5:D6"/>
    <mergeCell ref="E5:G6"/>
    <mergeCell ref="H5:H6"/>
    <mergeCell ref="A3:A4"/>
    <mergeCell ref="B3:B4"/>
    <mergeCell ref="C3:C4"/>
    <mergeCell ref="D3:D4"/>
    <mergeCell ref="E3:G4"/>
    <mergeCell ref="H3:H4"/>
    <mergeCell ref="A9:A10"/>
    <mergeCell ref="B9:B10"/>
    <mergeCell ref="C9:C10"/>
    <mergeCell ref="D9:D10"/>
    <mergeCell ref="E9:G10"/>
    <mergeCell ref="H9:H10"/>
    <mergeCell ref="A7:A8"/>
    <mergeCell ref="B7:B8"/>
    <mergeCell ref="C7:C8"/>
    <mergeCell ref="D7:D8"/>
    <mergeCell ref="E7:G8"/>
    <mergeCell ref="H7:H8"/>
    <mergeCell ref="A13:A14"/>
    <mergeCell ref="B13:B14"/>
    <mergeCell ref="C13:C14"/>
    <mergeCell ref="D13:D14"/>
    <mergeCell ref="E13:G14"/>
    <mergeCell ref="H13:H14"/>
    <mergeCell ref="A11:A12"/>
    <mergeCell ref="B11:B12"/>
    <mergeCell ref="C11:C12"/>
    <mergeCell ref="D11:D12"/>
    <mergeCell ref="E11:G12"/>
    <mergeCell ref="H11:H12"/>
    <mergeCell ref="A17:A18"/>
    <mergeCell ref="B17:B18"/>
    <mergeCell ref="C17:C18"/>
    <mergeCell ref="D17:D18"/>
    <mergeCell ref="E17:G18"/>
    <mergeCell ref="H17:H18"/>
    <mergeCell ref="A15:A16"/>
    <mergeCell ref="B15:B16"/>
    <mergeCell ref="C15:C16"/>
    <mergeCell ref="D15:D16"/>
    <mergeCell ref="E15:G16"/>
    <mergeCell ref="H15:H16"/>
    <mergeCell ref="A21:A22"/>
    <mergeCell ref="B21:B22"/>
    <mergeCell ref="C21:C22"/>
    <mergeCell ref="D21:D22"/>
    <mergeCell ref="E21:G22"/>
    <mergeCell ref="H21:H22"/>
    <mergeCell ref="A19:A20"/>
    <mergeCell ref="B19:B20"/>
    <mergeCell ref="C19:C20"/>
    <mergeCell ref="D19:D20"/>
    <mergeCell ref="E19:G20"/>
    <mergeCell ref="H19:H20"/>
    <mergeCell ref="A25:A26"/>
    <mergeCell ref="B25:B26"/>
    <mergeCell ref="C25:C26"/>
    <mergeCell ref="D25:D26"/>
    <mergeCell ref="E25:G26"/>
    <mergeCell ref="H25:H26"/>
    <mergeCell ref="A23:A24"/>
    <mergeCell ref="B23:B24"/>
    <mergeCell ref="C23:C24"/>
    <mergeCell ref="D23:D24"/>
    <mergeCell ref="E23:G24"/>
    <mergeCell ref="H23:H24"/>
    <mergeCell ref="A29:A30"/>
    <mergeCell ref="B29:B30"/>
    <mergeCell ref="C29:C30"/>
    <mergeCell ref="D29:D30"/>
    <mergeCell ref="E29:G30"/>
    <mergeCell ref="H29:H30"/>
    <mergeCell ref="A27:A28"/>
    <mergeCell ref="B27:B28"/>
    <mergeCell ref="C27:C28"/>
    <mergeCell ref="D27:D28"/>
    <mergeCell ref="E27:G28"/>
    <mergeCell ref="H27:H28"/>
    <mergeCell ref="A33:A34"/>
    <mergeCell ref="B33:B34"/>
    <mergeCell ref="C33:C34"/>
    <mergeCell ref="D33:D34"/>
    <mergeCell ref="E33:G34"/>
    <mergeCell ref="H33:H34"/>
    <mergeCell ref="A31:A32"/>
    <mergeCell ref="B31:B32"/>
    <mergeCell ref="C31:C32"/>
    <mergeCell ref="D31:D32"/>
    <mergeCell ref="E31:G32"/>
    <mergeCell ref="H31:H32"/>
    <mergeCell ref="A35:A36"/>
    <mergeCell ref="B35:B36"/>
    <mergeCell ref="C35:C36"/>
    <mergeCell ref="D35:D36"/>
    <mergeCell ref="E35:G36"/>
    <mergeCell ref="H35:H36"/>
    <mergeCell ref="A39:A40"/>
    <mergeCell ref="B39:B40"/>
    <mergeCell ref="C39:C40"/>
    <mergeCell ref="D39:D40"/>
    <mergeCell ref="E39:G40"/>
    <mergeCell ref="H39:H40"/>
    <mergeCell ref="A37:A38"/>
    <mergeCell ref="B37:B38"/>
    <mergeCell ref="C37:C38"/>
    <mergeCell ref="D37:D38"/>
    <mergeCell ref="E37:G38"/>
    <mergeCell ref="H37:H38"/>
    <mergeCell ref="A43:A44"/>
    <mergeCell ref="B43:B44"/>
    <mergeCell ref="C43:C44"/>
    <mergeCell ref="D43:D44"/>
    <mergeCell ref="E43:G44"/>
    <mergeCell ref="H43:H44"/>
    <mergeCell ref="A41:A42"/>
    <mergeCell ref="B41:B42"/>
    <mergeCell ref="C41:C42"/>
    <mergeCell ref="D41:D42"/>
    <mergeCell ref="E41:G42"/>
    <mergeCell ref="H41:H42"/>
    <mergeCell ref="A47:A48"/>
    <mergeCell ref="B47:B48"/>
    <mergeCell ref="C47:C48"/>
    <mergeCell ref="D47:D48"/>
    <mergeCell ref="E47:G48"/>
    <mergeCell ref="H47:H48"/>
    <mergeCell ref="A45:A46"/>
    <mergeCell ref="B45:B46"/>
    <mergeCell ref="C45:C46"/>
    <mergeCell ref="D45:D46"/>
    <mergeCell ref="E45:G46"/>
    <mergeCell ref="H45:H46"/>
    <mergeCell ref="A51:A52"/>
    <mergeCell ref="B51:B52"/>
    <mergeCell ref="C51:C52"/>
    <mergeCell ref="D51:D52"/>
    <mergeCell ref="E51:G52"/>
    <mergeCell ref="H51:H52"/>
    <mergeCell ref="A49:A50"/>
    <mergeCell ref="B49:B50"/>
    <mergeCell ref="C49:C50"/>
    <mergeCell ref="D49:D50"/>
    <mergeCell ref="E49:G50"/>
    <mergeCell ref="H49:H50"/>
    <mergeCell ref="A55:A56"/>
    <mergeCell ref="B55:B56"/>
    <mergeCell ref="C55:C56"/>
    <mergeCell ref="D55:D56"/>
    <mergeCell ref="E55:G56"/>
    <mergeCell ref="H55:H56"/>
    <mergeCell ref="A53:A54"/>
    <mergeCell ref="B53:B54"/>
    <mergeCell ref="C53:C54"/>
    <mergeCell ref="D53:D54"/>
    <mergeCell ref="E53:G54"/>
    <mergeCell ref="H53:H54"/>
    <mergeCell ref="A59:A60"/>
    <mergeCell ref="B59:B60"/>
    <mergeCell ref="C59:C60"/>
    <mergeCell ref="D59:D60"/>
    <mergeCell ref="E59:G60"/>
    <mergeCell ref="H59:H60"/>
    <mergeCell ref="A57:A58"/>
    <mergeCell ref="B57:B58"/>
    <mergeCell ref="C57:C58"/>
    <mergeCell ref="D57:D58"/>
    <mergeCell ref="E57:G58"/>
    <mergeCell ref="H57:H58"/>
    <mergeCell ref="A63:A64"/>
    <mergeCell ref="B63:B64"/>
    <mergeCell ref="C63:C64"/>
    <mergeCell ref="D63:D64"/>
    <mergeCell ref="E63:G64"/>
    <mergeCell ref="H63:H64"/>
    <mergeCell ref="A61:A62"/>
    <mergeCell ref="B61:B62"/>
    <mergeCell ref="C61:C62"/>
    <mergeCell ref="D61:D62"/>
    <mergeCell ref="E61:G62"/>
    <mergeCell ref="H61:H62"/>
    <mergeCell ref="A67:A68"/>
    <mergeCell ref="B67:B68"/>
    <mergeCell ref="C67:C68"/>
    <mergeCell ref="D67:D68"/>
    <mergeCell ref="E67:G68"/>
    <mergeCell ref="H67:H68"/>
    <mergeCell ref="A65:A66"/>
    <mergeCell ref="B65:B66"/>
    <mergeCell ref="C65:C66"/>
    <mergeCell ref="D65:D66"/>
    <mergeCell ref="E65:G66"/>
    <mergeCell ref="H65:H66"/>
    <mergeCell ref="A71:A72"/>
    <mergeCell ref="B71:B72"/>
    <mergeCell ref="C71:C72"/>
    <mergeCell ref="D71:D72"/>
    <mergeCell ref="E71:G72"/>
    <mergeCell ref="H71:H72"/>
    <mergeCell ref="A69:A70"/>
    <mergeCell ref="B69:B70"/>
    <mergeCell ref="C69:C70"/>
    <mergeCell ref="D69:D70"/>
    <mergeCell ref="E69:G70"/>
    <mergeCell ref="H69:H70"/>
    <mergeCell ref="A75:A76"/>
    <mergeCell ref="B75:B76"/>
    <mergeCell ref="C75:C76"/>
    <mergeCell ref="D75:D76"/>
    <mergeCell ref="E75:G76"/>
    <mergeCell ref="H75:H76"/>
    <mergeCell ref="A73:A74"/>
    <mergeCell ref="B73:B74"/>
    <mergeCell ref="C73:C74"/>
    <mergeCell ref="D73:D74"/>
    <mergeCell ref="E73:G74"/>
    <mergeCell ref="H73:H74"/>
    <mergeCell ref="A79:A80"/>
    <mergeCell ref="B79:B80"/>
    <mergeCell ref="C79:C80"/>
    <mergeCell ref="D79:D80"/>
    <mergeCell ref="E79:G80"/>
    <mergeCell ref="H79:H80"/>
    <mergeCell ref="A77:A78"/>
    <mergeCell ref="B77:B78"/>
    <mergeCell ref="C77:C78"/>
    <mergeCell ref="D77:D78"/>
    <mergeCell ref="E77:G78"/>
    <mergeCell ref="H77:H78"/>
    <mergeCell ref="A83:A84"/>
    <mergeCell ref="B83:B84"/>
    <mergeCell ref="C83:C84"/>
    <mergeCell ref="D83:D84"/>
    <mergeCell ref="E83:G84"/>
    <mergeCell ref="H83:H84"/>
    <mergeCell ref="A81:A82"/>
    <mergeCell ref="B81:B82"/>
    <mergeCell ref="C81:C82"/>
    <mergeCell ref="D81:D82"/>
    <mergeCell ref="E81:G82"/>
    <mergeCell ref="H81:H82"/>
    <mergeCell ref="A87:A88"/>
    <mergeCell ref="B87:B88"/>
    <mergeCell ref="C87:C88"/>
    <mergeCell ref="D87:D88"/>
    <mergeCell ref="E87:G88"/>
    <mergeCell ref="H87:H88"/>
    <mergeCell ref="A85:A86"/>
    <mergeCell ref="B85:B86"/>
    <mergeCell ref="C85:C86"/>
    <mergeCell ref="D85:D86"/>
    <mergeCell ref="E85:G86"/>
    <mergeCell ref="H85:H86"/>
    <mergeCell ref="A91:A92"/>
    <mergeCell ref="B91:B92"/>
    <mergeCell ref="C91:C92"/>
    <mergeCell ref="D91:D92"/>
    <mergeCell ref="E91:G92"/>
    <mergeCell ref="H91:H92"/>
    <mergeCell ref="A89:A90"/>
    <mergeCell ref="B89:B90"/>
    <mergeCell ref="C89:C90"/>
    <mergeCell ref="D89:D90"/>
    <mergeCell ref="E89:G90"/>
    <mergeCell ref="H89:H90"/>
    <mergeCell ref="A95:A96"/>
    <mergeCell ref="B95:B96"/>
    <mergeCell ref="C95:C96"/>
    <mergeCell ref="D95:D96"/>
    <mergeCell ref="E95:G96"/>
    <mergeCell ref="H95:H96"/>
    <mergeCell ref="A93:A94"/>
    <mergeCell ref="B93:B94"/>
    <mergeCell ref="C93:C94"/>
    <mergeCell ref="D93:D94"/>
    <mergeCell ref="E93:G94"/>
    <mergeCell ref="H93:H94"/>
    <mergeCell ref="A99:A100"/>
    <mergeCell ref="B99:B100"/>
    <mergeCell ref="C99:C100"/>
    <mergeCell ref="D99:D100"/>
    <mergeCell ref="E99:G100"/>
    <mergeCell ref="H99:H100"/>
    <mergeCell ref="A97:A98"/>
    <mergeCell ref="B97:B98"/>
    <mergeCell ref="C97:C98"/>
    <mergeCell ref="D97:D98"/>
    <mergeCell ref="E97:G98"/>
    <mergeCell ref="H97:H98"/>
    <mergeCell ref="A103:A104"/>
    <mergeCell ref="B103:B104"/>
    <mergeCell ref="C103:C104"/>
    <mergeCell ref="D103:D104"/>
    <mergeCell ref="E103:G104"/>
    <mergeCell ref="H103:H104"/>
    <mergeCell ref="A101:A102"/>
    <mergeCell ref="B101:B102"/>
    <mergeCell ref="C101:C102"/>
    <mergeCell ref="D101:D102"/>
    <mergeCell ref="E101:G102"/>
    <mergeCell ref="H101:H102"/>
    <mergeCell ref="A107:A108"/>
    <mergeCell ref="B107:B108"/>
    <mergeCell ref="C107:C108"/>
    <mergeCell ref="D107:D108"/>
    <mergeCell ref="E107:G108"/>
    <mergeCell ref="H107:H108"/>
    <mergeCell ref="A105:A106"/>
    <mergeCell ref="B105:B106"/>
    <mergeCell ref="C105:C106"/>
    <mergeCell ref="D105:D106"/>
    <mergeCell ref="E105:G106"/>
    <mergeCell ref="H105:H106"/>
    <mergeCell ref="A111:A112"/>
    <mergeCell ref="B111:B112"/>
    <mergeCell ref="C111:C112"/>
    <mergeCell ref="D111:D112"/>
    <mergeCell ref="E111:G112"/>
    <mergeCell ref="H111:H112"/>
    <mergeCell ref="A109:A110"/>
    <mergeCell ref="B109:B110"/>
    <mergeCell ref="C109:C110"/>
    <mergeCell ref="D109:D110"/>
    <mergeCell ref="E109:G110"/>
    <mergeCell ref="H109:H110"/>
    <mergeCell ref="A115:A116"/>
    <mergeCell ref="B115:B116"/>
    <mergeCell ref="C115:C116"/>
    <mergeCell ref="D115:D116"/>
    <mergeCell ref="E115:G116"/>
    <mergeCell ref="H115:H116"/>
    <mergeCell ref="A113:A114"/>
    <mergeCell ref="B113:B114"/>
    <mergeCell ref="C113:C114"/>
    <mergeCell ref="D113:D114"/>
    <mergeCell ref="E113:G114"/>
    <mergeCell ref="H113:H114"/>
    <mergeCell ref="A119:A120"/>
    <mergeCell ref="B119:B120"/>
    <mergeCell ref="C119:C120"/>
    <mergeCell ref="D119:D120"/>
    <mergeCell ref="E119:G120"/>
    <mergeCell ref="H119:H120"/>
    <mergeCell ref="A117:A118"/>
    <mergeCell ref="B117:B118"/>
    <mergeCell ref="C117:C118"/>
    <mergeCell ref="D117:D118"/>
    <mergeCell ref="E117:G118"/>
    <mergeCell ref="H117:H118"/>
    <mergeCell ref="A123:A124"/>
    <mergeCell ref="B123:B124"/>
    <mergeCell ref="C123:C124"/>
    <mergeCell ref="D123:D124"/>
    <mergeCell ref="E123:G124"/>
    <mergeCell ref="H123:H124"/>
    <mergeCell ref="A121:A122"/>
    <mergeCell ref="B121:B122"/>
    <mergeCell ref="C121:C122"/>
    <mergeCell ref="D121:D122"/>
    <mergeCell ref="E121:G122"/>
    <mergeCell ref="H121:H122"/>
    <mergeCell ref="A127:A128"/>
    <mergeCell ref="B127:B128"/>
    <mergeCell ref="C127:C128"/>
    <mergeCell ref="D127:D128"/>
    <mergeCell ref="E127:G128"/>
    <mergeCell ref="H127:H128"/>
    <mergeCell ref="A125:A126"/>
    <mergeCell ref="B125:B126"/>
    <mergeCell ref="C125:C126"/>
    <mergeCell ref="D125:D126"/>
    <mergeCell ref="E125:G126"/>
    <mergeCell ref="H125:H126"/>
    <mergeCell ref="A131:A132"/>
    <mergeCell ref="B131:B132"/>
    <mergeCell ref="C131:C132"/>
    <mergeCell ref="D131:D132"/>
    <mergeCell ref="E131:G132"/>
    <mergeCell ref="H131:H132"/>
    <mergeCell ref="A129:A130"/>
    <mergeCell ref="B129:B130"/>
    <mergeCell ref="C129:C130"/>
    <mergeCell ref="D129:D130"/>
    <mergeCell ref="E129:G130"/>
    <mergeCell ref="H129:H130"/>
    <mergeCell ref="A135:A136"/>
    <mergeCell ref="B135:B136"/>
    <mergeCell ref="C135:C136"/>
    <mergeCell ref="D135:D136"/>
    <mergeCell ref="E135:G136"/>
    <mergeCell ref="H135:H136"/>
    <mergeCell ref="A133:A134"/>
    <mergeCell ref="B133:B134"/>
    <mergeCell ref="C133:C134"/>
    <mergeCell ref="D133:D134"/>
    <mergeCell ref="E133:G134"/>
    <mergeCell ref="H133:H134"/>
    <mergeCell ref="A139:A140"/>
    <mergeCell ref="B139:B140"/>
    <mergeCell ref="C139:C140"/>
    <mergeCell ref="D139:D140"/>
    <mergeCell ref="E139:G140"/>
    <mergeCell ref="H139:H140"/>
    <mergeCell ref="A137:A138"/>
    <mergeCell ref="B137:B138"/>
    <mergeCell ref="C137:C138"/>
    <mergeCell ref="D137:D138"/>
    <mergeCell ref="E137:G138"/>
    <mergeCell ref="H137:H138"/>
    <mergeCell ref="A143:A144"/>
    <mergeCell ref="B143:B144"/>
    <mergeCell ref="C143:C144"/>
    <mergeCell ref="D143:D144"/>
    <mergeCell ref="E143:G144"/>
    <mergeCell ref="H143:H144"/>
    <mergeCell ref="A141:A142"/>
    <mergeCell ref="B141:B142"/>
    <mergeCell ref="C141:C142"/>
    <mergeCell ref="D141:D142"/>
    <mergeCell ref="E141:G142"/>
    <mergeCell ref="H141:H142"/>
    <mergeCell ref="A147:A148"/>
    <mergeCell ref="B147:B148"/>
    <mergeCell ref="C147:C148"/>
    <mergeCell ref="D147:D148"/>
    <mergeCell ref="E147:G148"/>
    <mergeCell ref="H147:H148"/>
    <mergeCell ref="A145:A146"/>
    <mergeCell ref="B145:B146"/>
    <mergeCell ref="C145:C146"/>
    <mergeCell ref="D145:D146"/>
    <mergeCell ref="E145:G146"/>
    <mergeCell ref="H145:H146"/>
    <mergeCell ref="A151:A152"/>
    <mergeCell ref="B151:B152"/>
    <mergeCell ref="C151:C152"/>
    <mergeCell ref="D151:D152"/>
    <mergeCell ref="E151:G152"/>
    <mergeCell ref="H151:H152"/>
    <mergeCell ref="A149:A150"/>
    <mergeCell ref="B149:B150"/>
    <mergeCell ref="C149:C150"/>
    <mergeCell ref="D149:D150"/>
    <mergeCell ref="E149:G150"/>
    <mergeCell ref="H149:H150"/>
    <mergeCell ref="A155:A156"/>
    <mergeCell ref="B155:B156"/>
    <mergeCell ref="C155:C156"/>
    <mergeCell ref="D155:D156"/>
    <mergeCell ref="E155:G156"/>
    <mergeCell ref="H155:H156"/>
    <mergeCell ref="A153:A154"/>
    <mergeCell ref="B153:B154"/>
    <mergeCell ref="C153:C154"/>
    <mergeCell ref="D153:D154"/>
    <mergeCell ref="E153:G154"/>
    <mergeCell ref="H153:H154"/>
    <mergeCell ref="A159:A160"/>
    <mergeCell ref="B159:B160"/>
    <mergeCell ref="C159:C160"/>
    <mergeCell ref="D159:D160"/>
    <mergeCell ref="E159:G160"/>
    <mergeCell ref="H159:H160"/>
    <mergeCell ref="A157:A158"/>
    <mergeCell ref="B157:B158"/>
    <mergeCell ref="C157:C158"/>
    <mergeCell ref="D157:D158"/>
    <mergeCell ref="E157:G158"/>
    <mergeCell ref="H157:H158"/>
    <mergeCell ref="A163:A164"/>
    <mergeCell ref="B163:B164"/>
    <mergeCell ref="C163:C164"/>
    <mergeCell ref="D163:D164"/>
    <mergeCell ref="E163:G164"/>
    <mergeCell ref="H163:H164"/>
    <mergeCell ref="A161:A162"/>
    <mergeCell ref="B161:B162"/>
    <mergeCell ref="C161:C162"/>
    <mergeCell ref="D161:D162"/>
    <mergeCell ref="E161:G162"/>
    <mergeCell ref="H161:H162"/>
    <mergeCell ref="A167:A168"/>
    <mergeCell ref="B167:B168"/>
    <mergeCell ref="C167:C168"/>
    <mergeCell ref="D167:D168"/>
    <mergeCell ref="E167:G168"/>
    <mergeCell ref="H167:H168"/>
    <mergeCell ref="A165:A166"/>
    <mergeCell ref="B165:B166"/>
    <mergeCell ref="C165:C166"/>
    <mergeCell ref="D165:D166"/>
    <mergeCell ref="E165:G166"/>
    <mergeCell ref="H165:H166"/>
    <mergeCell ref="A171:A172"/>
    <mergeCell ref="B171:B172"/>
    <mergeCell ref="C171:C172"/>
    <mergeCell ref="D171:D172"/>
    <mergeCell ref="E171:G172"/>
    <mergeCell ref="H171:H172"/>
    <mergeCell ref="A169:A170"/>
    <mergeCell ref="B169:B170"/>
    <mergeCell ref="C169:C170"/>
    <mergeCell ref="D169:D170"/>
    <mergeCell ref="E169:G170"/>
    <mergeCell ref="H169:H170"/>
    <mergeCell ref="A175:A176"/>
    <mergeCell ref="B175:B176"/>
    <mergeCell ref="C175:C176"/>
    <mergeCell ref="D175:D176"/>
    <mergeCell ref="E175:G176"/>
    <mergeCell ref="H175:H176"/>
    <mergeCell ref="A173:A174"/>
    <mergeCell ref="B173:B174"/>
    <mergeCell ref="C173:C174"/>
    <mergeCell ref="D173:D174"/>
    <mergeCell ref="E173:G174"/>
    <mergeCell ref="H173:H174"/>
    <mergeCell ref="A179:A180"/>
    <mergeCell ref="B179:B180"/>
    <mergeCell ref="C179:C180"/>
    <mergeCell ref="D179:D180"/>
    <mergeCell ref="E179:G180"/>
    <mergeCell ref="H179:H180"/>
    <mergeCell ref="A177:A178"/>
    <mergeCell ref="B177:B178"/>
    <mergeCell ref="C177:C178"/>
    <mergeCell ref="D177:D178"/>
    <mergeCell ref="E177:G178"/>
    <mergeCell ref="H177:H178"/>
    <mergeCell ref="A183:A184"/>
    <mergeCell ref="B183:B184"/>
    <mergeCell ref="C183:C184"/>
    <mergeCell ref="D183:D184"/>
    <mergeCell ref="E183:G184"/>
    <mergeCell ref="H183:H184"/>
    <mergeCell ref="A181:A182"/>
    <mergeCell ref="B181:B182"/>
    <mergeCell ref="C181:C182"/>
    <mergeCell ref="D181:D182"/>
    <mergeCell ref="E181:G182"/>
    <mergeCell ref="H181:H182"/>
    <mergeCell ref="A187:A188"/>
    <mergeCell ref="B187:B188"/>
    <mergeCell ref="C187:C188"/>
    <mergeCell ref="D187:D188"/>
    <mergeCell ref="E187:G188"/>
    <mergeCell ref="H187:H188"/>
    <mergeCell ref="A185:A186"/>
    <mergeCell ref="B185:B186"/>
    <mergeCell ref="C185:C186"/>
    <mergeCell ref="D185:D186"/>
    <mergeCell ref="E185:G186"/>
    <mergeCell ref="H185:H186"/>
    <mergeCell ref="A191:A192"/>
    <mergeCell ref="B191:B192"/>
    <mergeCell ref="C191:C192"/>
    <mergeCell ref="D191:D192"/>
    <mergeCell ref="E191:G192"/>
    <mergeCell ref="H191:H192"/>
    <mergeCell ref="A189:A190"/>
    <mergeCell ref="B189:B190"/>
    <mergeCell ref="C189:C190"/>
    <mergeCell ref="D189:D190"/>
    <mergeCell ref="E189:G190"/>
    <mergeCell ref="H189:H190"/>
    <mergeCell ref="A195:A196"/>
    <mergeCell ref="B195:B196"/>
    <mergeCell ref="C195:C196"/>
    <mergeCell ref="D195:D196"/>
    <mergeCell ref="E195:G196"/>
    <mergeCell ref="H195:H196"/>
    <mergeCell ref="A193:A194"/>
    <mergeCell ref="B193:B194"/>
    <mergeCell ref="C193:C194"/>
    <mergeCell ref="D193:D194"/>
    <mergeCell ref="E193:G194"/>
    <mergeCell ref="H193:H194"/>
    <mergeCell ref="A199:A200"/>
    <mergeCell ref="B199:B200"/>
    <mergeCell ref="C199:C200"/>
    <mergeCell ref="D199:D200"/>
    <mergeCell ref="E199:G200"/>
    <mergeCell ref="H199:H200"/>
    <mergeCell ref="A197:A198"/>
    <mergeCell ref="B197:B198"/>
    <mergeCell ref="C197:C198"/>
    <mergeCell ref="D197:D198"/>
    <mergeCell ref="E197:G198"/>
    <mergeCell ref="H197:H198"/>
    <mergeCell ref="A203:A204"/>
    <mergeCell ref="B203:B204"/>
    <mergeCell ref="C203:C204"/>
    <mergeCell ref="D203:D204"/>
    <mergeCell ref="E203:G204"/>
    <mergeCell ref="H203:H204"/>
    <mergeCell ref="A201:A202"/>
    <mergeCell ref="B201:B202"/>
    <mergeCell ref="C201:C202"/>
    <mergeCell ref="D201:D202"/>
    <mergeCell ref="E201:G202"/>
    <mergeCell ref="H201:H202"/>
    <mergeCell ref="A207:A208"/>
    <mergeCell ref="B207:B208"/>
    <mergeCell ref="C207:C208"/>
    <mergeCell ref="D207:D208"/>
    <mergeCell ref="E207:G208"/>
    <mergeCell ref="H207:H208"/>
    <mergeCell ref="A205:A206"/>
    <mergeCell ref="B205:B206"/>
    <mergeCell ref="C205:C206"/>
    <mergeCell ref="D205:D206"/>
    <mergeCell ref="E205:G206"/>
    <mergeCell ref="H205:H206"/>
    <mergeCell ref="A211:A212"/>
    <mergeCell ref="B211:B212"/>
    <mergeCell ref="C211:C212"/>
    <mergeCell ref="D211:D212"/>
    <mergeCell ref="E211:G212"/>
    <mergeCell ref="H211:H212"/>
    <mergeCell ref="A209:A210"/>
    <mergeCell ref="B209:B210"/>
    <mergeCell ref="C209:C210"/>
    <mergeCell ref="D209:D210"/>
    <mergeCell ref="E209:G210"/>
    <mergeCell ref="H209:H210"/>
    <mergeCell ref="A215:A216"/>
    <mergeCell ref="B215:B216"/>
    <mergeCell ref="C215:C216"/>
    <mergeCell ref="D215:D216"/>
    <mergeCell ref="E215:G216"/>
    <mergeCell ref="H215:H216"/>
    <mergeCell ref="A213:A214"/>
    <mergeCell ref="B213:B214"/>
    <mergeCell ref="C213:C214"/>
    <mergeCell ref="D213:D214"/>
    <mergeCell ref="E213:G214"/>
    <mergeCell ref="H213:H214"/>
    <mergeCell ref="A219:A220"/>
    <mergeCell ref="B219:B220"/>
    <mergeCell ref="C219:C220"/>
    <mergeCell ref="D219:D220"/>
    <mergeCell ref="E219:G220"/>
    <mergeCell ref="H219:H220"/>
    <mergeCell ref="A217:A218"/>
    <mergeCell ref="B217:B218"/>
    <mergeCell ref="C217:C218"/>
    <mergeCell ref="D217:D218"/>
    <mergeCell ref="E217:G218"/>
    <mergeCell ref="H217:H218"/>
    <mergeCell ref="A223:A224"/>
    <mergeCell ref="B223:B224"/>
    <mergeCell ref="C223:C224"/>
    <mergeCell ref="D223:D224"/>
    <mergeCell ref="E223:G224"/>
    <mergeCell ref="H223:H224"/>
    <mergeCell ref="A221:A222"/>
    <mergeCell ref="B221:B222"/>
    <mergeCell ref="C221:C222"/>
    <mergeCell ref="D221:D222"/>
    <mergeCell ref="E221:G222"/>
    <mergeCell ref="H221:H222"/>
    <mergeCell ref="A227:A228"/>
    <mergeCell ref="B227:B228"/>
    <mergeCell ref="C227:C228"/>
    <mergeCell ref="D227:D228"/>
    <mergeCell ref="E227:G228"/>
    <mergeCell ref="H227:H228"/>
    <mergeCell ref="A225:A226"/>
    <mergeCell ref="B225:B226"/>
    <mergeCell ref="C225:C226"/>
    <mergeCell ref="D225:D226"/>
    <mergeCell ref="E225:G226"/>
    <mergeCell ref="H225:H226"/>
    <mergeCell ref="A231:A232"/>
    <mergeCell ref="B231:B232"/>
    <mergeCell ref="C231:C232"/>
    <mergeCell ref="D231:D232"/>
    <mergeCell ref="E231:G232"/>
    <mergeCell ref="H231:H232"/>
    <mergeCell ref="A229:A230"/>
    <mergeCell ref="B229:B230"/>
    <mergeCell ref="C229:C230"/>
    <mergeCell ref="D229:D230"/>
    <mergeCell ref="E229:G230"/>
    <mergeCell ref="H229:H230"/>
    <mergeCell ref="A235:A236"/>
    <mergeCell ref="B235:B236"/>
    <mergeCell ref="C235:C236"/>
    <mergeCell ref="D235:D236"/>
    <mergeCell ref="E235:G236"/>
    <mergeCell ref="H235:H236"/>
    <mergeCell ref="A233:A234"/>
    <mergeCell ref="B233:B234"/>
    <mergeCell ref="C233:C234"/>
    <mergeCell ref="D233:D234"/>
    <mergeCell ref="E233:G234"/>
    <mergeCell ref="H233:H234"/>
    <mergeCell ref="A239:A240"/>
    <mergeCell ref="B239:B240"/>
    <mergeCell ref="C239:C240"/>
    <mergeCell ref="D239:D240"/>
    <mergeCell ref="E239:G240"/>
    <mergeCell ref="H239:H240"/>
    <mergeCell ref="A237:A238"/>
    <mergeCell ref="B237:B238"/>
    <mergeCell ref="C237:C238"/>
    <mergeCell ref="D237:D238"/>
    <mergeCell ref="E237:G238"/>
    <mergeCell ref="H237:H238"/>
    <mergeCell ref="A243:A244"/>
    <mergeCell ref="B243:B244"/>
    <mergeCell ref="C243:C244"/>
    <mergeCell ref="D243:D244"/>
    <mergeCell ref="E243:G244"/>
    <mergeCell ref="H243:H244"/>
    <mergeCell ref="A241:A242"/>
    <mergeCell ref="B241:B242"/>
    <mergeCell ref="C241:C242"/>
    <mergeCell ref="D241:D242"/>
    <mergeCell ref="E241:G242"/>
    <mergeCell ref="H241:H242"/>
    <mergeCell ref="A247:A248"/>
    <mergeCell ref="B247:B248"/>
    <mergeCell ref="C247:C248"/>
    <mergeCell ref="D247:D248"/>
    <mergeCell ref="E247:G248"/>
    <mergeCell ref="H247:H248"/>
    <mergeCell ref="A245:A246"/>
    <mergeCell ref="B245:B246"/>
    <mergeCell ref="C245:C246"/>
    <mergeCell ref="D245:D246"/>
    <mergeCell ref="E245:G246"/>
    <mergeCell ref="H245:H246"/>
    <mergeCell ref="A251:A252"/>
    <mergeCell ref="B251:B252"/>
    <mergeCell ref="C251:C252"/>
    <mergeCell ref="D251:D252"/>
    <mergeCell ref="E251:G252"/>
    <mergeCell ref="H251:H252"/>
    <mergeCell ref="A249:A250"/>
    <mergeCell ref="B249:B250"/>
    <mergeCell ref="C249:C250"/>
    <mergeCell ref="D249:D250"/>
    <mergeCell ref="E249:G250"/>
    <mergeCell ref="H249:H250"/>
    <mergeCell ref="A255:A256"/>
    <mergeCell ref="B255:B256"/>
    <mergeCell ref="C255:C256"/>
    <mergeCell ref="D255:D256"/>
    <mergeCell ref="E255:G256"/>
    <mergeCell ref="H255:H256"/>
    <mergeCell ref="A253:A254"/>
    <mergeCell ref="B253:B254"/>
    <mergeCell ref="C253:C254"/>
    <mergeCell ref="D253:D254"/>
    <mergeCell ref="E253:G254"/>
    <mergeCell ref="H253:H254"/>
    <mergeCell ref="A259:A260"/>
    <mergeCell ref="B259:B260"/>
    <mergeCell ref="C259:C260"/>
    <mergeCell ref="D259:D260"/>
    <mergeCell ref="E259:G260"/>
    <mergeCell ref="H259:H260"/>
    <mergeCell ref="A257:A258"/>
    <mergeCell ref="B257:B258"/>
    <mergeCell ref="C257:C258"/>
    <mergeCell ref="D257:D258"/>
    <mergeCell ref="E257:G258"/>
    <mergeCell ref="H257:H258"/>
    <mergeCell ref="A263:A264"/>
    <mergeCell ref="B263:B264"/>
    <mergeCell ref="C263:C264"/>
    <mergeCell ref="D263:D264"/>
    <mergeCell ref="E263:G264"/>
    <mergeCell ref="H263:H264"/>
    <mergeCell ref="A261:A262"/>
    <mergeCell ref="B261:B262"/>
    <mergeCell ref="C261:C262"/>
    <mergeCell ref="D261:D262"/>
    <mergeCell ref="E261:G262"/>
    <mergeCell ref="H261:H262"/>
    <mergeCell ref="A267:A268"/>
    <mergeCell ref="B267:B268"/>
    <mergeCell ref="C267:C268"/>
    <mergeCell ref="D267:D268"/>
    <mergeCell ref="E267:G268"/>
    <mergeCell ref="H267:H268"/>
    <mergeCell ref="A265:A266"/>
    <mergeCell ref="B265:B266"/>
    <mergeCell ref="C265:C266"/>
    <mergeCell ref="D265:D266"/>
    <mergeCell ref="E265:G266"/>
    <mergeCell ref="H265:H266"/>
    <mergeCell ref="A271:A272"/>
    <mergeCell ref="B271:B272"/>
    <mergeCell ref="C271:C272"/>
    <mergeCell ref="D271:D272"/>
    <mergeCell ref="E271:G272"/>
    <mergeCell ref="H271:H272"/>
    <mergeCell ref="A269:A270"/>
    <mergeCell ref="B269:B270"/>
    <mergeCell ref="C269:C270"/>
    <mergeCell ref="D269:D270"/>
    <mergeCell ref="E269:G270"/>
    <mergeCell ref="H269:H270"/>
    <mergeCell ref="A275:A276"/>
    <mergeCell ref="B275:B276"/>
    <mergeCell ref="C275:C276"/>
    <mergeCell ref="D275:D276"/>
    <mergeCell ref="E275:G276"/>
    <mergeCell ref="H275:H276"/>
    <mergeCell ref="A273:A274"/>
    <mergeCell ref="B273:B274"/>
    <mergeCell ref="C273:C274"/>
    <mergeCell ref="D273:D274"/>
    <mergeCell ref="E273:G274"/>
    <mergeCell ref="H273:H274"/>
    <mergeCell ref="A279:A280"/>
    <mergeCell ref="B279:B280"/>
    <mergeCell ref="C279:C280"/>
    <mergeCell ref="D279:D280"/>
    <mergeCell ref="E279:G280"/>
    <mergeCell ref="H279:H280"/>
    <mergeCell ref="A277:A278"/>
    <mergeCell ref="B277:B278"/>
    <mergeCell ref="C277:C278"/>
    <mergeCell ref="D277:D278"/>
    <mergeCell ref="E277:G278"/>
    <mergeCell ref="H277:H278"/>
    <mergeCell ref="A283:A284"/>
    <mergeCell ref="B283:B284"/>
    <mergeCell ref="C283:C284"/>
    <mergeCell ref="D283:D284"/>
    <mergeCell ref="E283:G284"/>
    <mergeCell ref="H283:H284"/>
    <mergeCell ref="A281:A282"/>
    <mergeCell ref="B281:B282"/>
    <mergeCell ref="C281:C282"/>
    <mergeCell ref="D281:D282"/>
    <mergeCell ref="E281:G282"/>
    <mergeCell ref="H281:H282"/>
    <mergeCell ref="A287:A288"/>
    <mergeCell ref="B287:B288"/>
    <mergeCell ref="C287:C288"/>
    <mergeCell ref="D287:D288"/>
    <mergeCell ref="E287:G288"/>
    <mergeCell ref="H287:H288"/>
    <mergeCell ref="A285:A286"/>
    <mergeCell ref="B285:B286"/>
    <mergeCell ref="C285:C286"/>
    <mergeCell ref="D285:D286"/>
    <mergeCell ref="E285:G286"/>
    <mergeCell ref="H285:H286"/>
    <mergeCell ref="A291:A292"/>
    <mergeCell ref="B291:B292"/>
    <mergeCell ref="C291:C292"/>
    <mergeCell ref="D291:D292"/>
    <mergeCell ref="E291:G292"/>
    <mergeCell ref="H291:H292"/>
    <mergeCell ref="A289:A290"/>
    <mergeCell ref="B289:B290"/>
    <mergeCell ref="C289:C290"/>
    <mergeCell ref="D289:D290"/>
    <mergeCell ref="E289:G290"/>
    <mergeCell ref="H289:H290"/>
    <mergeCell ref="A295:A296"/>
    <mergeCell ref="B295:B296"/>
    <mergeCell ref="C295:C296"/>
    <mergeCell ref="D295:D296"/>
    <mergeCell ref="E295:G296"/>
    <mergeCell ref="H295:H296"/>
    <mergeCell ref="A293:A294"/>
    <mergeCell ref="B293:B294"/>
    <mergeCell ref="C293:C294"/>
    <mergeCell ref="D293:D294"/>
    <mergeCell ref="E293:G294"/>
    <mergeCell ref="H293:H294"/>
    <mergeCell ref="A299:A300"/>
    <mergeCell ref="B299:B300"/>
    <mergeCell ref="C299:C300"/>
    <mergeCell ref="D299:D300"/>
    <mergeCell ref="E299:G300"/>
    <mergeCell ref="H299:H300"/>
    <mergeCell ref="A297:A298"/>
    <mergeCell ref="B297:B298"/>
    <mergeCell ref="C297:C298"/>
    <mergeCell ref="D297:D298"/>
    <mergeCell ref="E297:G298"/>
    <mergeCell ref="H297:H298"/>
    <mergeCell ref="A303:A304"/>
    <mergeCell ref="B303:B304"/>
    <mergeCell ref="C303:C304"/>
    <mergeCell ref="D303:D304"/>
    <mergeCell ref="E303:G304"/>
    <mergeCell ref="H303:H304"/>
    <mergeCell ref="A301:A302"/>
    <mergeCell ref="B301:B302"/>
    <mergeCell ref="C301:C302"/>
    <mergeCell ref="D301:D302"/>
    <mergeCell ref="E301:G302"/>
    <mergeCell ref="H301:H302"/>
    <mergeCell ref="A307:A308"/>
    <mergeCell ref="B307:B308"/>
    <mergeCell ref="C307:C308"/>
    <mergeCell ref="D307:D308"/>
    <mergeCell ref="E307:G308"/>
    <mergeCell ref="H307:H308"/>
    <mergeCell ref="A305:A306"/>
    <mergeCell ref="B305:B306"/>
    <mergeCell ref="C305:C306"/>
    <mergeCell ref="D305:D306"/>
    <mergeCell ref="E305:G306"/>
    <mergeCell ref="H305:H306"/>
    <mergeCell ref="A311:A312"/>
    <mergeCell ref="B311:B312"/>
    <mergeCell ref="C311:C312"/>
    <mergeCell ref="D311:D312"/>
    <mergeCell ref="E311:G312"/>
    <mergeCell ref="H311:H312"/>
    <mergeCell ref="A309:A310"/>
    <mergeCell ref="B309:B310"/>
    <mergeCell ref="C309:C310"/>
    <mergeCell ref="D309:D310"/>
    <mergeCell ref="E309:G310"/>
    <mergeCell ref="H309:H310"/>
    <mergeCell ref="A315:A316"/>
    <mergeCell ref="B315:B316"/>
    <mergeCell ref="C315:C316"/>
    <mergeCell ref="D315:D316"/>
    <mergeCell ref="E315:G316"/>
    <mergeCell ref="H315:H316"/>
    <mergeCell ref="A313:A314"/>
    <mergeCell ref="B313:B314"/>
    <mergeCell ref="C313:C314"/>
    <mergeCell ref="D313:D314"/>
    <mergeCell ref="E313:G314"/>
    <mergeCell ref="H313:H314"/>
    <mergeCell ref="A319:A320"/>
    <mergeCell ref="B319:B320"/>
    <mergeCell ref="C319:C320"/>
    <mergeCell ref="D319:D320"/>
    <mergeCell ref="E319:G320"/>
    <mergeCell ref="H319:H320"/>
    <mergeCell ref="A317:A318"/>
    <mergeCell ref="B317:B318"/>
    <mergeCell ref="C317:C318"/>
    <mergeCell ref="D317:D318"/>
    <mergeCell ref="E317:G318"/>
    <mergeCell ref="H317:H318"/>
    <mergeCell ref="A323:A324"/>
    <mergeCell ref="B323:B324"/>
    <mergeCell ref="C323:C324"/>
    <mergeCell ref="D323:D324"/>
    <mergeCell ref="E323:G324"/>
    <mergeCell ref="H323:H324"/>
    <mergeCell ref="A321:A322"/>
    <mergeCell ref="B321:B322"/>
    <mergeCell ref="C321:C322"/>
    <mergeCell ref="D321:D322"/>
    <mergeCell ref="E321:G322"/>
    <mergeCell ref="H321:H322"/>
  </mergeCells>
  <phoneticPr fontId="1" type="noConversion"/>
  <pageMargins left="0" right="0" top="0" bottom="0" header="0" footer="0"/>
  <pageSetup paperSize="9" scale="3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322"/>
  <sheetViews>
    <sheetView showGridLines="0" zoomScale="115" zoomScaleNormal="115" workbookViewId="0">
      <pane xSplit="8" ySplit="2" topLeftCell="I3" activePane="bottomRight" state="frozen"/>
      <selection pane="topRight" activeCell="I1" sqref="I1"/>
      <selection pane="bottomLeft" activeCell="A3" sqref="A3"/>
      <selection pane="bottomRight" activeCell="D127" sqref="D3:D128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0" max="11" width="9.5" bestFit="1" customWidth="1"/>
    <col min="12" max="12" width="11" bestFit="1" customWidth="1"/>
  </cols>
  <sheetData>
    <row r="1" spans="1:18" ht="35.25" customHeight="1" thickBot="1">
      <c r="A1" s="388" t="s">
        <v>140</v>
      </c>
      <c r="B1" s="389"/>
      <c r="C1" s="390" t="s">
        <v>27</v>
      </c>
      <c r="D1" s="391"/>
      <c r="E1" s="21" t="s">
        <v>26</v>
      </c>
      <c r="F1" s="20">
        <f>H1/26</f>
        <v>723111.5384615385</v>
      </c>
      <c r="G1" s="21" t="s">
        <v>4</v>
      </c>
      <c r="H1" s="22">
        <f>SUM(D3:D322)</f>
        <v>18800900</v>
      </c>
      <c r="I1" s="392"/>
      <c r="J1" s="338"/>
      <c r="K1" s="394"/>
      <c r="L1" s="396"/>
      <c r="M1" s="377"/>
      <c r="N1" s="379"/>
      <c r="O1" s="381"/>
      <c r="P1" s="383"/>
      <c r="Q1" s="377"/>
      <c r="R1" s="376"/>
    </row>
    <row r="2" spans="1:18" ht="17.25" thickBot="1">
      <c r="A2" s="27" t="s">
        <v>0</v>
      </c>
      <c r="B2" s="28" t="s">
        <v>1</v>
      </c>
      <c r="C2" s="28" t="s">
        <v>2</v>
      </c>
      <c r="D2" s="29" t="s">
        <v>3</v>
      </c>
      <c r="E2" s="385" t="s">
        <v>246</v>
      </c>
      <c r="F2" s="386"/>
      <c r="G2" s="387"/>
      <c r="H2" s="25" t="s">
        <v>5</v>
      </c>
      <c r="I2" s="393"/>
      <c r="J2" s="333"/>
      <c r="K2" s="395"/>
      <c r="L2" s="397"/>
      <c r="M2" s="378"/>
      <c r="N2" s="380"/>
      <c r="O2" s="382"/>
      <c r="P2" s="384"/>
      <c r="Q2" s="378"/>
      <c r="R2" s="376"/>
    </row>
    <row r="3" spans="1:18" ht="16.5" customHeight="1">
      <c r="A3" s="322" t="s">
        <v>152</v>
      </c>
      <c r="B3" s="324" t="s">
        <v>137</v>
      </c>
      <c r="C3" s="325" t="s">
        <v>138</v>
      </c>
      <c r="D3" s="326">
        <v>460000</v>
      </c>
      <c r="E3" s="327" t="s">
        <v>139</v>
      </c>
      <c r="F3" s="328"/>
      <c r="G3" s="329"/>
      <c r="H3" s="359" t="s">
        <v>8</v>
      </c>
    </row>
    <row r="4" spans="1:18" ht="16.5" customHeight="1">
      <c r="A4" s="323"/>
      <c r="B4" s="325"/>
      <c r="C4" s="325"/>
      <c r="D4" s="326"/>
      <c r="E4" s="330"/>
      <c r="F4" s="331"/>
      <c r="G4" s="332"/>
      <c r="H4" s="359"/>
    </row>
    <row r="5" spans="1:18" ht="16.5" customHeight="1">
      <c r="A5" s="335"/>
      <c r="B5" s="341" t="s">
        <v>161</v>
      </c>
      <c r="C5" s="353" t="s">
        <v>160</v>
      </c>
      <c r="D5" s="343">
        <v>430000</v>
      </c>
      <c r="E5" s="327" t="s">
        <v>162</v>
      </c>
      <c r="F5" s="345"/>
      <c r="G5" s="346"/>
      <c r="H5" s="398" t="s">
        <v>163</v>
      </c>
    </row>
    <row r="6" spans="1:18" ht="16.5" customHeight="1">
      <c r="A6" s="336"/>
      <c r="B6" s="342"/>
      <c r="C6" s="352"/>
      <c r="D6" s="344"/>
      <c r="E6" s="347"/>
      <c r="F6" s="348"/>
      <c r="G6" s="349"/>
      <c r="H6" s="399"/>
    </row>
    <row r="7" spans="1:18" ht="16.5" customHeight="1">
      <c r="A7" s="335" t="s">
        <v>153</v>
      </c>
      <c r="B7" s="341" t="s">
        <v>154</v>
      </c>
      <c r="C7" s="353" t="s">
        <v>155</v>
      </c>
      <c r="D7" s="343">
        <v>165000</v>
      </c>
      <c r="E7" s="327" t="s">
        <v>156</v>
      </c>
      <c r="F7" s="345"/>
      <c r="G7" s="346"/>
      <c r="H7" s="398" t="s">
        <v>145</v>
      </c>
    </row>
    <row r="8" spans="1:18" ht="30" customHeight="1">
      <c r="A8" s="336"/>
      <c r="B8" s="342"/>
      <c r="C8" s="352"/>
      <c r="D8" s="344"/>
      <c r="E8" s="347"/>
      <c r="F8" s="348"/>
      <c r="G8" s="349"/>
      <c r="H8" s="399"/>
    </row>
    <row r="9" spans="1:18" ht="16.5" customHeight="1">
      <c r="A9" s="322"/>
      <c r="B9" s="341" t="s">
        <v>158</v>
      </c>
      <c r="C9" s="353" t="s">
        <v>159</v>
      </c>
      <c r="D9" s="343">
        <v>80000</v>
      </c>
      <c r="E9" s="327" t="s">
        <v>157</v>
      </c>
      <c r="F9" s="345"/>
      <c r="G9" s="346"/>
      <c r="H9" s="360" t="s">
        <v>7</v>
      </c>
    </row>
    <row r="10" spans="1:18" ht="16.5" customHeight="1">
      <c r="A10" s="323"/>
      <c r="B10" s="342"/>
      <c r="C10" s="352"/>
      <c r="D10" s="344"/>
      <c r="E10" s="347"/>
      <c r="F10" s="348"/>
      <c r="G10" s="349"/>
      <c r="H10" s="359"/>
    </row>
    <row r="11" spans="1:18" ht="16.5" customHeight="1">
      <c r="A11" s="322" t="s">
        <v>164</v>
      </c>
      <c r="B11" s="341" t="s">
        <v>165</v>
      </c>
      <c r="C11" s="341" t="s">
        <v>166</v>
      </c>
      <c r="D11" s="343">
        <v>120000</v>
      </c>
      <c r="E11" s="327" t="s">
        <v>167</v>
      </c>
      <c r="F11" s="345"/>
      <c r="G11" s="346"/>
      <c r="H11" s="360" t="s">
        <v>168</v>
      </c>
    </row>
    <row r="12" spans="1:18" ht="16.5" customHeight="1">
      <c r="A12" s="323"/>
      <c r="B12" s="342"/>
      <c r="C12" s="342"/>
      <c r="D12" s="344"/>
      <c r="E12" s="347"/>
      <c r="F12" s="348"/>
      <c r="G12" s="349"/>
      <c r="H12" s="359"/>
      <c r="J12">
        <v>18800900</v>
      </c>
    </row>
    <row r="13" spans="1:18" ht="16.5" customHeight="1">
      <c r="A13" s="322"/>
      <c r="B13" s="324" t="s">
        <v>169</v>
      </c>
      <c r="C13" s="324" t="s">
        <v>170</v>
      </c>
      <c r="D13" s="326">
        <v>100000</v>
      </c>
      <c r="E13" s="327" t="s">
        <v>172</v>
      </c>
      <c r="F13" s="328"/>
      <c r="G13" s="329"/>
      <c r="H13" s="360" t="s">
        <v>171</v>
      </c>
    </row>
    <row r="14" spans="1:18" ht="16.5" customHeight="1">
      <c r="A14" s="323"/>
      <c r="B14" s="325"/>
      <c r="C14" s="325"/>
      <c r="D14" s="326"/>
      <c r="E14" s="330"/>
      <c r="F14" s="331"/>
      <c r="G14" s="332"/>
      <c r="H14" s="359"/>
    </row>
    <row r="15" spans="1:18" ht="16.5" customHeight="1">
      <c r="A15" s="322"/>
      <c r="B15" s="324" t="s">
        <v>173</v>
      </c>
      <c r="C15" s="324" t="s">
        <v>174</v>
      </c>
      <c r="D15" s="326">
        <v>495000</v>
      </c>
      <c r="E15" s="327" t="s">
        <v>175</v>
      </c>
      <c r="F15" s="328"/>
      <c r="G15" s="329"/>
      <c r="H15" s="360" t="s">
        <v>186</v>
      </c>
    </row>
    <row r="16" spans="1:18" ht="16.5" customHeight="1">
      <c r="A16" s="323"/>
      <c r="B16" s="325"/>
      <c r="C16" s="325"/>
      <c r="D16" s="326"/>
      <c r="E16" s="330"/>
      <c r="F16" s="331"/>
      <c r="G16" s="332"/>
      <c r="H16" s="359"/>
    </row>
    <row r="17" spans="1:12" ht="16.5" customHeight="1">
      <c r="A17" s="322"/>
      <c r="B17" s="324" t="s">
        <v>169</v>
      </c>
      <c r="C17" s="324" t="s">
        <v>170</v>
      </c>
      <c r="D17" s="326">
        <v>120000</v>
      </c>
      <c r="E17" s="337" t="s">
        <v>176</v>
      </c>
      <c r="F17" s="326"/>
      <c r="G17" s="326"/>
      <c r="H17" s="360" t="s">
        <v>171</v>
      </c>
    </row>
    <row r="18" spans="1:12" ht="16.5" customHeight="1">
      <c r="A18" s="323"/>
      <c r="B18" s="325"/>
      <c r="C18" s="325"/>
      <c r="D18" s="326"/>
      <c r="E18" s="326"/>
      <c r="F18" s="326"/>
      <c r="G18" s="326"/>
      <c r="H18" s="359"/>
    </row>
    <row r="19" spans="1:12" ht="16.5" customHeight="1">
      <c r="A19" s="335"/>
      <c r="B19" s="341" t="s">
        <v>177</v>
      </c>
      <c r="C19" s="341" t="s">
        <v>179</v>
      </c>
      <c r="D19" s="326">
        <v>100000</v>
      </c>
      <c r="E19" s="327" t="s">
        <v>178</v>
      </c>
      <c r="F19" s="345"/>
      <c r="G19" s="346"/>
      <c r="H19" s="360" t="s">
        <v>180</v>
      </c>
    </row>
    <row r="20" spans="1:12" ht="16.5" customHeight="1">
      <c r="A20" s="336"/>
      <c r="B20" s="342"/>
      <c r="C20" s="342"/>
      <c r="D20" s="326"/>
      <c r="E20" s="347"/>
      <c r="F20" s="348"/>
      <c r="G20" s="349"/>
      <c r="H20" s="359"/>
    </row>
    <row r="21" spans="1:12" ht="16.5" customHeight="1">
      <c r="A21" s="335" t="s">
        <v>181</v>
      </c>
      <c r="B21" s="341" t="s">
        <v>182</v>
      </c>
      <c r="C21" s="341" t="s">
        <v>183</v>
      </c>
      <c r="D21" s="326">
        <v>650000</v>
      </c>
      <c r="E21" s="327" t="s">
        <v>185</v>
      </c>
      <c r="F21" s="328"/>
      <c r="G21" s="329"/>
      <c r="H21" s="360" t="s">
        <v>184</v>
      </c>
    </row>
    <row r="22" spans="1:12" ht="16.5" customHeight="1">
      <c r="A22" s="336"/>
      <c r="B22" s="342"/>
      <c r="C22" s="342"/>
      <c r="D22" s="326"/>
      <c r="E22" s="330"/>
      <c r="F22" s="331"/>
      <c r="G22" s="332"/>
      <c r="H22" s="359"/>
    </row>
    <row r="23" spans="1:12" ht="16.5" customHeight="1">
      <c r="A23" s="335"/>
      <c r="B23" s="367" t="s">
        <v>188</v>
      </c>
      <c r="C23" s="324" t="s">
        <v>187</v>
      </c>
      <c r="D23" s="326">
        <v>200000</v>
      </c>
      <c r="E23" s="327" t="s">
        <v>189</v>
      </c>
      <c r="F23" s="328"/>
      <c r="G23" s="329"/>
      <c r="H23" s="360" t="s">
        <v>190</v>
      </c>
    </row>
    <row r="24" spans="1:12" ht="16.5" customHeight="1">
      <c r="A24" s="336"/>
      <c r="B24" s="368"/>
      <c r="C24" s="325"/>
      <c r="D24" s="326"/>
      <c r="E24" s="330"/>
      <c r="F24" s="331"/>
      <c r="G24" s="332"/>
      <c r="H24" s="359"/>
    </row>
    <row r="25" spans="1:12" ht="16.5" customHeight="1">
      <c r="A25" s="335"/>
      <c r="B25" s="367" t="s">
        <v>192</v>
      </c>
      <c r="C25" s="324"/>
      <c r="D25" s="326">
        <v>20900</v>
      </c>
      <c r="E25" s="327" t="s">
        <v>193</v>
      </c>
      <c r="F25" s="328"/>
      <c r="G25" s="329"/>
      <c r="H25" s="360" t="s">
        <v>191</v>
      </c>
      <c r="J25">
        <v>1200</v>
      </c>
      <c r="K25">
        <v>600</v>
      </c>
      <c r="L25">
        <v>1800</v>
      </c>
    </row>
    <row r="26" spans="1:12" ht="16.5" customHeight="1">
      <c r="A26" s="336"/>
      <c r="B26" s="368"/>
      <c r="C26" s="325"/>
      <c r="D26" s="326"/>
      <c r="E26" s="330"/>
      <c r="F26" s="331"/>
      <c r="G26" s="332"/>
      <c r="H26" s="359"/>
      <c r="J26">
        <v>2400</v>
      </c>
      <c r="K26">
        <v>2400</v>
      </c>
      <c r="L26">
        <v>2400</v>
      </c>
    </row>
    <row r="27" spans="1:12" ht="16.5" customHeight="1">
      <c r="A27" s="322" t="s">
        <v>194</v>
      </c>
      <c r="B27" s="324" t="s">
        <v>238</v>
      </c>
      <c r="C27" s="324"/>
      <c r="D27" s="326">
        <v>500000</v>
      </c>
      <c r="E27" s="327" t="s">
        <v>195</v>
      </c>
      <c r="F27" s="328"/>
      <c r="G27" s="329"/>
      <c r="H27" s="360" t="s">
        <v>7</v>
      </c>
    </row>
    <row r="28" spans="1:12" ht="17.25" customHeight="1">
      <c r="A28" s="323"/>
      <c r="B28" s="325"/>
      <c r="C28" s="325"/>
      <c r="D28" s="326"/>
      <c r="E28" s="330"/>
      <c r="F28" s="331"/>
      <c r="G28" s="332"/>
      <c r="H28" s="359"/>
    </row>
    <row r="29" spans="1:12" ht="16.5" customHeight="1">
      <c r="A29" s="322" t="s">
        <v>196</v>
      </c>
      <c r="B29" s="324"/>
      <c r="C29" s="325" t="s">
        <v>259</v>
      </c>
      <c r="D29" s="326">
        <v>410000</v>
      </c>
      <c r="E29" s="327" t="s">
        <v>197</v>
      </c>
      <c r="F29" s="328"/>
      <c r="G29" s="329"/>
      <c r="H29" s="360" t="s">
        <v>198</v>
      </c>
    </row>
    <row r="30" spans="1:12" ht="16.5" customHeight="1">
      <c r="A30" s="323"/>
      <c r="B30" s="325"/>
      <c r="C30" s="325"/>
      <c r="D30" s="326"/>
      <c r="E30" s="330"/>
      <c r="F30" s="331"/>
      <c r="G30" s="332"/>
      <c r="H30" s="359"/>
    </row>
    <row r="31" spans="1:12" ht="16.5" customHeight="1">
      <c r="A31" s="322" t="s">
        <v>199</v>
      </c>
      <c r="B31" s="341" t="s">
        <v>182</v>
      </c>
      <c r="C31" s="341" t="s">
        <v>183</v>
      </c>
      <c r="D31" s="326">
        <v>90000</v>
      </c>
      <c r="E31" s="327" t="s">
        <v>200</v>
      </c>
      <c r="F31" s="328"/>
      <c r="G31" s="329"/>
      <c r="H31" s="360" t="s">
        <v>201</v>
      </c>
    </row>
    <row r="32" spans="1:12" ht="16.5" customHeight="1">
      <c r="A32" s="323"/>
      <c r="B32" s="342"/>
      <c r="C32" s="342"/>
      <c r="D32" s="326"/>
      <c r="E32" s="330"/>
      <c r="F32" s="331"/>
      <c r="G32" s="332"/>
      <c r="H32" s="359"/>
    </row>
    <row r="33" spans="1:11" ht="16.5" customHeight="1">
      <c r="A33" s="322" t="s">
        <v>202</v>
      </c>
      <c r="B33" s="324" t="s">
        <v>203</v>
      </c>
      <c r="C33" s="324"/>
      <c r="D33" s="326">
        <v>65000</v>
      </c>
      <c r="E33" s="327" t="s">
        <v>204</v>
      </c>
      <c r="F33" s="328"/>
      <c r="G33" s="329"/>
      <c r="H33" s="359" t="s">
        <v>205</v>
      </c>
    </row>
    <row r="34" spans="1:11" ht="16.5" customHeight="1">
      <c r="A34" s="323"/>
      <c r="B34" s="325"/>
      <c r="C34" s="325"/>
      <c r="D34" s="326"/>
      <c r="E34" s="330"/>
      <c r="F34" s="331"/>
      <c r="G34" s="332"/>
      <c r="H34" s="359"/>
      <c r="K34" s="24"/>
    </row>
    <row r="35" spans="1:11" ht="16.5" customHeight="1">
      <c r="A35" s="339" t="s">
        <v>206</v>
      </c>
      <c r="B35" s="361" t="s">
        <v>207</v>
      </c>
      <c r="C35" s="362"/>
      <c r="D35" s="363">
        <v>200000</v>
      </c>
      <c r="E35" s="364" t="s">
        <v>209</v>
      </c>
      <c r="F35" s="365"/>
      <c r="G35" s="366"/>
      <c r="H35" s="360" t="s">
        <v>208</v>
      </c>
    </row>
    <row r="36" spans="1:11" ht="16.5" customHeight="1">
      <c r="A36" s="340"/>
      <c r="B36" s="342"/>
      <c r="C36" s="352"/>
      <c r="D36" s="344"/>
      <c r="E36" s="347"/>
      <c r="F36" s="348"/>
      <c r="G36" s="349"/>
      <c r="H36" s="359"/>
    </row>
    <row r="37" spans="1:11" ht="16.5" customHeight="1">
      <c r="A37" s="322" t="s">
        <v>210</v>
      </c>
      <c r="B37" s="361" t="s">
        <v>211</v>
      </c>
      <c r="C37" s="325" t="s">
        <v>212</v>
      </c>
      <c r="D37" s="326">
        <v>120000</v>
      </c>
      <c r="E37" s="327" t="s">
        <v>213</v>
      </c>
      <c r="F37" s="328"/>
      <c r="G37" s="329"/>
      <c r="H37" s="360" t="s">
        <v>214</v>
      </c>
    </row>
    <row r="38" spans="1:11" ht="16.5" customHeight="1">
      <c r="A38" s="323"/>
      <c r="B38" s="342"/>
      <c r="C38" s="325"/>
      <c r="D38" s="326"/>
      <c r="E38" s="330"/>
      <c r="F38" s="331"/>
      <c r="G38" s="332"/>
      <c r="H38" s="359"/>
      <c r="K38" s="24"/>
    </row>
    <row r="39" spans="1:11" ht="16.5" customHeight="1">
      <c r="A39" s="322"/>
      <c r="B39" s="361" t="s">
        <v>215</v>
      </c>
      <c r="C39" s="362"/>
      <c r="D39" s="363">
        <v>170000</v>
      </c>
      <c r="E39" s="364" t="s">
        <v>217</v>
      </c>
      <c r="F39" s="365"/>
      <c r="G39" s="366"/>
      <c r="H39" s="360" t="s">
        <v>216</v>
      </c>
    </row>
    <row r="40" spans="1:11" ht="16.5" customHeight="1">
      <c r="A40" s="323"/>
      <c r="B40" s="342"/>
      <c r="C40" s="352"/>
      <c r="D40" s="344"/>
      <c r="E40" s="347"/>
      <c r="F40" s="348"/>
      <c r="G40" s="349"/>
      <c r="H40" s="359"/>
      <c r="K40" s="24"/>
    </row>
    <row r="41" spans="1:11" ht="16.5" customHeight="1">
      <c r="A41" s="322"/>
      <c r="B41" s="324" t="s">
        <v>218</v>
      </c>
      <c r="C41" s="324"/>
      <c r="D41" s="326">
        <v>150000</v>
      </c>
      <c r="E41" s="327" t="s">
        <v>219</v>
      </c>
      <c r="F41" s="328"/>
      <c r="G41" s="329"/>
      <c r="H41" s="360" t="s">
        <v>214</v>
      </c>
    </row>
    <row r="42" spans="1:11" ht="16.5" customHeight="1">
      <c r="A42" s="323"/>
      <c r="B42" s="325"/>
      <c r="C42" s="325"/>
      <c r="D42" s="326"/>
      <c r="E42" s="330"/>
      <c r="F42" s="331"/>
      <c r="G42" s="332"/>
      <c r="H42" s="359"/>
    </row>
    <row r="43" spans="1:11" ht="16.5" customHeight="1">
      <c r="A43" s="322"/>
      <c r="B43" s="324" t="s">
        <v>220</v>
      </c>
      <c r="C43" s="324"/>
      <c r="D43" s="326">
        <v>250000</v>
      </c>
      <c r="E43" s="327" t="s">
        <v>221</v>
      </c>
      <c r="F43" s="328"/>
      <c r="G43" s="329"/>
      <c r="H43" s="360" t="s">
        <v>222</v>
      </c>
    </row>
    <row r="44" spans="1:11" ht="16.5" customHeight="1">
      <c r="A44" s="323"/>
      <c r="B44" s="325"/>
      <c r="C44" s="325"/>
      <c r="D44" s="326"/>
      <c r="E44" s="330"/>
      <c r="F44" s="331"/>
      <c r="G44" s="332"/>
      <c r="H44" s="359"/>
    </row>
    <row r="45" spans="1:11" ht="16.5" customHeight="1">
      <c r="A45" s="335" t="s">
        <v>223</v>
      </c>
      <c r="B45" s="341" t="s">
        <v>224</v>
      </c>
      <c r="C45" s="341" t="s">
        <v>225</v>
      </c>
      <c r="D45" s="343">
        <v>465000</v>
      </c>
      <c r="E45" s="327" t="s">
        <v>229</v>
      </c>
      <c r="F45" s="328"/>
      <c r="G45" s="329"/>
      <c r="H45" s="359" t="s">
        <v>234</v>
      </c>
      <c r="K45" s="24"/>
    </row>
    <row r="46" spans="1:11" ht="16.5" customHeight="1">
      <c r="A46" s="336"/>
      <c r="B46" s="342"/>
      <c r="C46" s="342"/>
      <c r="D46" s="344"/>
      <c r="E46" s="330"/>
      <c r="F46" s="331"/>
      <c r="G46" s="332"/>
      <c r="H46" s="359"/>
      <c r="K46" s="24"/>
    </row>
    <row r="47" spans="1:11" ht="16.5" customHeight="1">
      <c r="A47" s="354"/>
      <c r="B47" s="341" t="s">
        <v>226</v>
      </c>
      <c r="C47" s="341" t="s">
        <v>227</v>
      </c>
      <c r="D47" s="343">
        <v>600000</v>
      </c>
      <c r="E47" s="337" t="s">
        <v>228</v>
      </c>
      <c r="F47" s="326"/>
      <c r="G47" s="326"/>
      <c r="H47" s="359" t="s">
        <v>269</v>
      </c>
      <c r="I47" s="4"/>
    </row>
    <row r="48" spans="1:11" ht="16.5" customHeight="1">
      <c r="A48" s="340"/>
      <c r="B48" s="342"/>
      <c r="C48" s="342"/>
      <c r="D48" s="344"/>
      <c r="E48" s="326"/>
      <c r="F48" s="326"/>
      <c r="G48" s="326"/>
      <c r="H48" s="359"/>
    </row>
    <row r="49" spans="1:12" ht="16.5" customHeight="1">
      <c r="A49" s="335" t="s">
        <v>230</v>
      </c>
      <c r="B49" s="341" t="s">
        <v>231</v>
      </c>
      <c r="C49" s="341" t="s">
        <v>232</v>
      </c>
      <c r="D49" s="343">
        <v>1100000</v>
      </c>
      <c r="E49" s="327" t="s">
        <v>233</v>
      </c>
      <c r="F49" s="328"/>
      <c r="G49" s="329"/>
      <c r="H49" s="359" t="s">
        <v>242</v>
      </c>
    </row>
    <row r="50" spans="1:12" ht="16.5" customHeight="1">
      <c r="A50" s="336"/>
      <c r="B50" s="342"/>
      <c r="C50" s="342"/>
      <c r="D50" s="344"/>
      <c r="E50" s="330"/>
      <c r="F50" s="331"/>
      <c r="G50" s="332"/>
      <c r="H50" s="359"/>
    </row>
    <row r="51" spans="1:12" ht="16.5" customHeight="1">
      <c r="A51" s="322"/>
      <c r="B51" s="324" t="s">
        <v>240</v>
      </c>
      <c r="C51" s="325" t="s">
        <v>241</v>
      </c>
      <c r="D51" s="326">
        <v>500000</v>
      </c>
      <c r="E51" s="327" t="s">
        <v>239</v>
      </c>
      <c r="F51" s="328"/>
      <c r="G51" s="329"/>
      <c r="H51" s="359" t="s">
        <v>242</v>
      </c>
    </row>
    <row r="52" spans="1:12" ht="16.5" customHeight="1">
      <c r="A52" s="323"/>
      <c r="B52" s="325"/>
      <c r="C52" s="325"/>
      <c r="D52" s="326"/>
      <c r="E52" s="330"/>
      <c r="F52" s="331"/>
      <c r="G52" s="332"/>
      <c r="H52" s="359"/>
    </row>
    <row r="53" spans="1:12" ht="16.5" customHeight="1">
      <c r="A53" s="322"/>
      <c r="B53" s="324" t="s">
        <v>235</v>
      </c>
      <c r="C53" s="325" t="s">
        <v>236</v>
      </c>
      <c r="D53" s="326">
        <v>83000</v>
      </c>
      <c r="E53" s="327" t="s">
        <v>245</v>
      </c>
      <c r="F53" s="328"/>
      <c r="G53" s="329"/>
      <c r="H53" s="359" t="s">
        <v>243</v>
      </c>
    </row>
    <row r="54" spans="1:12" ht="16.5" customHeight="1">
      <c r="A54" s="323"/>
      <c r="B54" s="325"/>
      <c r="C54" s="325"/>
      <c r="D54" s="326"/>
      <c r="E54" s="330"/>
      <c r="F54" s="331"/>
      <c r="G54" s="332"/>
      <c r="H54" s="359"/>
    </row>
    <row r="55" spans="1:12" ht="16.5" customHeight="1">
      <c r="A55" s="322"/>
      <c r="B55" s="324" t="s">
        <v>237</v>
      </c>
      <c r="C55" s="325"/>
      <c r="D55" s="326">
        <v>180000</v>
      </c>
      <c r="E55" s="327" t="s">
        <v>244</v>
      </c>
      <c r="F55" s="328"/>
      <c r="G55" s="329"/>
      <c r="H55" s="359" t="s">
        <v>243</v>
      </c>
      <c r="L55" s="26"/>
    </row>
    <row r="56" spans="1:12" ht="16.5" customHeight="1">
      <c r="A56" s="323"/>
      <c r="B56" s="325"/>
      <c r="C56" s="325"/>
      <c r="D56" s="326"/>
      <c r="E56" s="330"/>
      <c r="F56" s="331"/>
      <c r="G56" s="332"/>
      <c r="H56" s="359"/>
    </row>
    <row r="57" spans="1:12" ht="16.5" customHeight="1">
      <c r="A57" s="322" t="s">
        <v>247</v>
      </c>
      <c r="B57" s="324" t="s">
        <v>248</v>
      </c>
      <c r="C57" s="326" t="s">
        <v>249</v>
      </c>
      <c r="D57" s="326">
        <v>180000</v>
      </c>
      <c r="E57" s="327" t="s">
        <v>258</v>
      </c>
      <c r="F57" s="328"/>
      <c r="G57" s="329"/>
      <c r="H57" s="359" t="s">
        <v>145</v>
      </c>
    </row>
    <row r="58" spans="1:12" ht="16.5" customHeight="1">
      <c r="A58" s="323"/>
      <c r="B58" s="325"/>
      <c r="C58" s="326"/>
      <c r="D58" s="326"/>
      <c r="E58" s="330"/>
      <c r="F58" s="331"/>
      <c r="G58" s="332"/>
      <c r="H58" s="359"/>
    </row>
    <row r="59" spans="1:12" ht="16.5" customHeight="1">
      <c r="A59" s="322" t="s">
        <v>250</v>
      </c>
      <c r="B59" s="324" t="s">
        <v>251</v>
      </c>
      <c r="C59" s="325"/>
      <c r="D59" s="326">
        <v>150000</v>
      </c>
      <c r="E59" s="327" t="s">
        <v>252</v>
      </c>
      <c r="F59" s="328"/>
      <c r="G59" s="329"/>
      <c r="H59" s="359" t="s">
        <v>268</v>
      </c>
    </row>
    <row r="60" spans="1:12" ht="16.5" customHeight="1">
      <c r="A60" s="323"/>
      <c r="B60" s="325"/>
      <c r="C60" s="325"/>
      <c r="D60" s="326"/>
      <c r="E60" s="330"/>
      <c r="F60" s="331"/>
      <c r="G60" s="332"/>
      <c r="H60" s="359"/>
    </row>
    <row r="61" spans="1:12" ht="16.5" customHeight="1">
      <c r="A61" s="322"/>
      <c r="B61" s="324" t="s">
        <v>248</v>
      </c>
      <c r="C61" s="325" t="s">
        <v>249</v>
      </c>
      <c r="D61" s="326">
        <v>68000</v>
      </c>
      <c r="E61" s="327" t="s">
        <v>254</v>
      </c>
      <c r="F61" s="328"/>
      <c r="G61" s="329"/>
      <c r="H61" s="360" t="s">
        <v>151</v>
      </c>
    </row>
    <row r="62" spans="1:12" ht="16.5" customHeight="1">
      <c r="A62" s="323"/>
      <c r="B62" s="325"/>
      <c r="C62" s="325"/>
      <c r="D62" s="326"/>
      <c r="E62" s="330"/>
      <c r="F62" s="331"/>
      <c r="G62" s="332"/>
      <c r="H62" s="359"/>
    </row>
    <row r="63" spans="1:12" ht="16.5" customHeight="1">
      <c r="A63" s="322"/>
      <c r="B63" s="324" t="s">
        <v>255</v>
      </c>
      <c r="C63" s="324" t="s">
        <v>253</v>
      </c>
      <c r="D63" s="326">
        <v>230000</v>
      </c>
      <c r="E63" s="327" t="s">
        <v>256</v>
      </c>
      <c r="F63" s="328"/>
      <c r="G63" s="329"/>
      <c r="H63" s="360" t="s">
        <v>257</v>
      </c>
    </row>
    <row r="64" spans="1:12" ht="16.5" customHeight="1">
      <c r="A64" s="323"/>
      <c r="B64" s="325"/>
      <c r="C64" s="325"/>
      <c r="D64" s="326"/>
      <c r="E64" s="330"/>
      <c r="F64" s="331"/>
      <c r="G64" s="332"/>
      <c r="H64" s="359"/>
    </row>
    <row r="65" spans="1:8" ht="16.5" customHeight="1">
      <c r="A65" s="334"/>
      <c r="B65" s="324" t="s">
        <v>260</v>
      </c>
      <c r="C65" s="324" t="s">
        <v>261</v>
      </c>
      <c r="D65" s="326">
        <v>100000</v>
      </c>
      <c r="E65" s="327" t="s">
        <v>262</v>
      </c>
      <c r="F65" s="328"/>
      <c r="G65" s="329"/>
      <c r="H65" s="360" t="s">
        <v>263</v>
      </c>
    </row>
    <row r="66" spans="1:8" ht="16.5" customHeight="1">
      <c r="A66" s="323"/>
      <c r="B66" s="325"/>
      <c r="C66" s="325"/>
      <c r="D66" s="326"/>
      <c r="E66" s="330"/>
      <c r="F66" s="331"/>
      <c r="G66" s="332"/>
      <c r="H66" s="359"/>
    </row>
    <row r="67" spans="1:8" ht="16.5" customHeight="1">
      <c r="A67" s="322" t="s">
        <v>264</v>
      </c>
      <c r="B67" s="324" t="s">
        <v>265</v>
      </c>
      <c r="C67" s="324"/>
      <c r="D67" s="326">
        <v>120000</v>
      </c>
      <c r="E67" s="327" t="s">
        <v>266</v>
      </c>
      <c r="F67" s="328"/>
      <c r="G67" s="329"/>
      <c r="H67" s="360" t="s">
        <v>267</v>
      </c>
    </row>
    <row r="68" spans="1:8" ht="16.5" customHeight="1">
      <c r="A68" s="323"/>
      <c r="B68" s="325"/>
      <c r="C68" s="325"/>
      <c r="D68" s="326"/>
      <c r="E68" s="330"/>
      <c r="F68" s="331"/>
      <c r="G68" s="332"/>
      <c r="H68" s="359"/>
    </row>
    <row r="69" spans="1:8" ht="16.5" customHeight="1">
      <c r="A69" s="322" t="s">
        <v>270</v>
      </c>
      <c r="B69" s="324" t="s">
        <v>271</v>
      </c>
      <c r="C69" s="324"/>
      <c r="D69" s="326">
        <v>160000</v>
      </c>
      <c r="E69" s="327" t="s">
        <v>272</v>
      </c>
      <c r="F69" s="328"/>
      <c r="G69" s="329"/>
      <c r="H69" s="360" t="s">
        <v>273</v>
      </c>
    </row>
    <row r="70" spans="1:8" ht="16.5" customHeight="1">
      <c r="A70" s="323"/>
      <c r="B70" s="325"/>
      <c r="C70" s="325"/>
      <c r="D70" s="326"/>
      <c r="E70" s="330"/>
      <c r="F70" s="331"/>
      <c r="G70" s="332"/>
      <c r="H70" s="359"/>
    </row>
    <row r="71" spans="1:8" ht="16.5" customHeight="1">
      <c r="A71" s="322"/>
      <c r="B71" s="324" t="s">
        <v>274</v>
      </c>
      <c r="C71" s="324" t="s">
        <v>275</v>
      </c>
      <c r="D71" s="326">
        <v>450000</v>
      </c>
      <c r="E71" s="327" t="s">
        <v>276</v>
      </c>
      <c r="F71" s="328"/>
      <c r="G71" s="329"/>
      <c r="H71" s="360" t="s">
        <v>277</v>
      </c>
    </row>
    <row r="72" spans="1:8" ht="16.5" customHeight="1">
      <c r="A72" s="323"/>
      <c r="B72" s="325"/>
      <c r="C72" s="325"/>
      <c r="D72" s="326"/>
      <c r="E72" s="330"/>
      <c r="F72" s="331"/>
      <c r="G72" s="332"/>
      <c r="H72" s="359"/>
    </row>
    <row r="73" spans="1:8" ht="16.5" customHeight="1">
      <c r="A73" s="322"/>
      <c r="B73" s="324" t="s">
        <v>278</v>
      </c>
      <c r="C73" s="324" t="s">
        <v>279</v>
      </c>
      <c r="D73" s="326">
        <v>310000</v>
      </c>
      <c r="E73" s="327" t="s">
        <v>280</v>
      </c>
      <c r="F73" s="328"/>
      <c r="G73" s="329"/>
      <c r="H73" s="360" t="s">
        <v>277</v>
      </c>
    </row>
    <row r="74" spans="1:8" ht="16.5" customHeight="1">
      <c r="A74" s="323"/>
      <c r="B74" s="325"/>
      <c r="C74" s="325"/>
      <c r="D74" s="326"/>
      <c r="E74" s="330"/>
      <c r="F74" s="331"/>
      <c r="G74" s="332"/>
      <c r="H74" s="359"/>
    </row>
    <row r="75" spans="1:8" ht="16.5" customHeight="1">
      <c r="A75" s="335"/>
      <c r="B75" s="324" t="s">
        <v>281</v>
      </c>
      <c r="C75" s="341" t="s">
        <v>282</v>
      </c>
      <c r="D75" s="343">
        <v>310000</v>
      </c>
      <c r="E75" s="327" t="s">
        <v>283</v>
      </c>
      <c r="F75" s="345"/>
      <c r="G75" s="346"/>
      <c r="H75" s="360" t="s">
        <v>287</v>
      </c>
    </row>
    <row r="76" spans="1:8" ht="16.5" customHeight="1">
      <c r="A76" s="336"/>
      <c r="B76" s="325"/>
      <c r="C76" s="352"/>
      <c r="D76" s="344"/>
      <c r="E76" s="347"/>
      <c r="F76" s="348"/>
      <c r="G76" s="349"/>
      <c r="H76" s="359"/>
    </row>
    <row r="77" spans="1:8" ht="16.5" customHeight="1">
      <c r="A77" s="322"/>
      <c r="B77" s="324" t="s">
        <v>284</v>
      </c>
      <c r="C77" s="324" t="s">
        <v>285</v>
      </c>
      <c r="D77" s="326">
        <v>125000</v>
      </c>
      <c r="E77" s="327" t="s">
        <v>286</v>
      </c>
      <c r="F77" s="328"/>
      <c r="G77" s="329"/>
      <c r="H77" s="360" t="s">
        <v>145</v>
      </c>
    </row>
    <row r="78" spans="1:8" ht="16.5" customHeight="1">
      <c r="A78" s="323"/>
      <c r="B78" s="325"/>
      <c r="C78" s="325"/>
      <c r="D78" s="326"/>
      <c r="E78" s="330"/>
      <c r="F78" s="331"/>
      <c r="G78" s="332"/>
      <c r="H78" s="359"/>
    </row>
    <row r="79" spans="1:8" ht="16.5" customHeight="1">
      <c r="A79" s="322" t="s">
        <v>288</v>
      </c>
      <c r="B79" s="324" t="s">
        <v>289</v>
      </c>
      <c r="C79" s="324"/>
      <c r="D79" s="326">
        <v>290000</v>
      </c>
      <c r="E79" s="327" t="s">
        <v>290</v>
      </c>
      <c r="F79" s="328"/>
      <c r="G79" s="329"/>
      <c r="H79" s="359" t="s">
        <v>291</v>
      </c>
    </row>
    <row r="80" spans="1:8" ht="16.5" customHeight="1">
      <c r="A80" s="323"/>
      <c r="B80" s="325"/>
      <c r="C80" s="325"/>
      <c r="D80" s="326"/>
      <c r="E80" s="330"/>
      <c r="F80" s="331"/>
      <c r="G80" s="332"/>
      <c r="H80" s="359"/>
    </row>
    <row r="81" spans="1:10" ht="16.5" customHeight="1">
      <c r="A81" s="322" t="s">
        <v>292</v>
      </c>
      <c r="B81" s="324" t="s">
        <v>294</v>
      </c>
      <c r="C81" s="324" t="s">
        <v>295</v>
      </c>
      <c r="D81" s="326">
        <v>460000</v>
      </c>
      <c r="E81" s="327" t="s">
        <v>297</v>
      </c>
      <c r="F81" s="328"/>
      <c r="G81" s="329"/>
      <c r="H81" s="359" t="s">
        <v>151</v>
      </c>
    </row>
    <row r="82" spans="1:10" ht="16.5" customHeight="1">
      <c r="A82" s="323"/>
      <c r="B82" s="325"/>
      <c r="C82" s="325"/>
      <c r="D82" s="326"/>
      <c r="E82" s="330"/>
      <c r="F82" s="331"/>
      <c r="G82" s="332"/>
      <c r="H82" s="359"/>
    </row>
    <row r="83" spans="1:10" ht="16.5" customHeight="1">
      <c r="A83" s="322"/>
      <c r="B83" s="324" t="s">
        <v>293</v>
      </c>
      <c r="C83" s="324" t="s">
        <v>296</v>
      </c>
      <c r="D83" s="326">
        <v>330000</v>
      </c>
      <c r="E83" s="327" t="s">
        <v>298</v>
      </c>
      <c r="F83" s="328"/>
      <c r="G83" s="329"/>
      <c r="H83" s="398" t="s">
        <v>319</v>
      </c>
    </row>
    <row r="84" spans="1:10" ht="16.5" customHeight="1">
      <c r="A84" s="323"/>
      <c r="B84" s="325"/>
      <c r="C84" s="325"/>
      <c r="D84" s="326"/>
      <c r="E84" s="330"/>
      <c r="F84" s="331"/>
      <c r="G84" s="332"/>
      <c r="H84" s="399"/>
    </row>
    <row r="85" spans="1:10" ht="16.5" customHeight="1">
      <c r="A85" s="322" t="s">
        <v>299</v>
      </c>
      <c r="B85" s="341" t="s">
        <v>300</v>
      </c>
      <c r="C85" s="341"/>
      <c r="D85" s="343">
        <v>461000</v>
      </c>
      <c r="E85" s="327" t="s">
        <v>307</v>
      </c>
      <c r="F85" s="345"/>
      <c r="G85" s="346"/>
      <c r="H85" s="360" t="s">
        <v>303</v>
      </c>
    </row>
    <row r="86" spans="1:10" ht="16.5" customHeight="1">
      <c r="A86" s="323"/>
      <c r="B86" s="342"/>
      <c r="C86" s="352"/>
      <c r="D86" s="344"/>
      <c r="E86" s="347"/>
      <c r="F86" s="348"/>
      <c r="G86" s="349"/>
      <c r="H86" s="359"/>
    </row>
    <row r="87" spans="1:10" ht="16.5" customHeight="1">
      <c r="A87" s="322"/>
      <c r="B87" s="324" t="s">
        <v>301</v>
      </c>
      <c r="C87" s="324" t="s">
        <v>302</v>
      </c>
      <c r="D87" s="326">
        <v>400000</v>
      </c>
      <c r="E87" s="327" t="s">
        <v>308</v>
      </c>
      <c r="F87" s="328"/>
      <c r="G87" s="329"/>
      <c r="H87" s="398" t="s">
        <v>304</v>
      </c>
      <c r="J87">
        <v>6</v>
      </c>
    </row>
    <row r="88" spans="1:10" ht="16.5" customHeight="1">
      <c r="A88" s="323"/>
      <c r="B88" s="325"/>
      <c r="C88" s="325"/>
      <c r="D88" s="326"/>
      <c r="E88" s="330"/>
      <c r="F88" s="331"/>
      <c r="G88" s="332"/>
      <c r="H88" s="399"/>
    </row>
    <row r="89" spans="1:10" ht="16.5" customHeight="1">
      <c r="A89" s="335"/>
      <c r="B89" s="324" t="s">
        <v>306</v>
      </c>
      <c r="C89" s="325"/>
      <c r="D89" s="326">
        <v>740000</v>
      </c>
      <c r="E89" s="327" t="s">
        <v>310</v>
      </c>
      <c r="F89" s="345"/>
      <c r="G89" s="346"/>
      <c r="H89" s="360" t="s">
        <v>317</v>
      </c>
    </row>
    <row r="90" spans="1:10" ht="16.5" customHeight="1">
      <c r="A90" s="340"/>
      <c r="B90" s="325"/>
      <c r="C90" s="325"/>
      <c r="D90" s="326"/>
      <c r="E90" s="347"/>
      <c r="F90" s="348"/>
      <c r="G90" s="349"/>
      <c r="H90" s="359"/>
    </row>
    <row r="91" spans="1:10" ht="16.5" customHeight="1">
      <c r="A91" s="322"/>
      <c r="B91" s="324" t="s">
        <v>305</v>
      </c>
      <c r="C91" s="324"/>
      <c r="D91" s="326">
        <v>40000</v>
      </c>
      <c r="E91" s="327" t="s">
        <v>309</v>
      </c>
      <c r="F91" s="328"/>
      <c r="G91" s="329"/>
      <c r="H91" s="400" t="s">
        <v>318</v>
      </c>
    </row>
    <row r="92" spans="1:10" ht="16.5" customHeight="1">
      <c r="A92" s="323"/>
      <c r="B92" s="325"/>
      <c r="C92" s="325"/>
      <c r="D92" s="326"/>
      <c r="E92" s="330"/>
      <c r="F92" s="331"/>
      <c r="G92" s="332"/>
      <c r="H92" s="401"/>
    </row>
    <row r="93" spans="1:10" ht="16.5" customHeight="1">
      <c r="A93" s="322" t="s">
        <v>311</v>
      </c>
      <c r="B93" s="324" t="s">
        <v>312</v>
      </c>
      <c r="C93" s="325"/>
      <c r="D93" s="326">
        <v>100000</v>
      </c>
      <c r="E93" s="327" t="s">
        <v>314</v>
      </c>
      <c r="F93" s="328"/>
      <c r="G93" s="329"/>
      <c r="H93" s="400" t="s">
        <v>316</v>
      </c>
    </row>
    <row r="94" spans="1:10" ht="16.5" customHeight="1">
      <c r="A94" s="323"/>
      <c r="B94" s="325"/>
      <c r="C94" s="325"/>
      <c r="D94" s="326"/>
      <c r="E94" s="330"/>
      <c r="F94" s="331"/>
      <c r="G94" s="332"/>
      <c r="H94" s="401"/>
    </row>
    <row r="95" spans="1:10" ht="16.5" customHeight="1">
      <c r="A95" s="322"/>
      <c r="B95" s="341" t="s">
        <v>313</v>
      </c>
      <c r="C95" s="341"/>
      <c r="D95" s="343">
        <v>80000</v>
      </c>
      <c r="E95" s="327" t="s">
        <v>315</v>
      </c>
      <c r="F95" s="345"/>
      <c r="G95" s="346"/>
      <c r="H95" s="360" t="s">
        <v>316</v>
      </c>
    </row>
    <row r="96" spans="1:10" ht="16.5" customHeight="1">
      <c r="A96" s="323"/>
      <c r="B96" s="342"/>
      <c r="C96" s="352"/>
      <c r="D96" s="344"/>
      <c r="E96" s="347"/>
      <c r="F96" s="348"/>
      <c r="G96" s="349"/>
      <c r="H96" s="359"/>
    </row>
    <row r="97" spans="1:12" ht="16.5" customHeight="1">
      <c r="A97" s="335"/>
      <c r="B97" s="324" t="s">
        <v>320</v>
      </c>
      <c r="C97" s="325" t="s">
        <v>321</v>
      </c>
      <c r="D97" s="326">
        <v>145000</v>
      </c>
      <c r="E97" s="327" t="s">
        <v>322</v>
      </c>
      <c r="F97" s="328"/>
      <c r="G97" s="329"/>
      <c r="H97" s="359" t="s">
        <v>317</v>
      </c>
    </row>
    <row r="98" spans="1:12" ht="16.5" customHeight="1">
      <c r="A98" s="340"/>
      <c r="B98" s="325"/>
      <c r="C98" s="325"/>
      <c r="D98" s="326"/>
      <c r="E98" s="330"/>
      <c r="F98" s="331"/>
      <c r="G98" s="332"/>
      <c r="H98" s="359"/>
    </row>
    <row r="99" spans="1:12" ht="16.5" customHeight="1">
      <c r="A99" s="322"/>
      <c r="B99" s="324" t="s">
        <v>312</v>
      </c>
      <c r="C99" s="324"/>
      <c r="D99" s="326">
        <v>110000</v>
      </c>
      <c r="E99" s="327" t="s">
        <v>325</v>
      </c>
      <c r="F99" s="328"/>
      <c r="G99" s="329"/>
      <c r="H99" s="359" t="s">
        <v>316</v>
      </c>
    </row>
    <row r="100" spans="1:12" ht="16.5" customHeight="1">
      <c r="A100" s="323"/>
      <c r="B100" s="325"/>
      <c r="C100" s="325"/>
      <c r="D100" s="326"/>
      <c r="E100" s="330"/>
      <c r="F100" s="331"/>
      <c r="G100" s="332"/>
      <c r="H100" s="359"/>
    </row>
    <row r="101" spans="1:12" ht="16.5" customHeight="1">
      <c r="A101" s="322"/>
      <c r="B101" s="341" t="s">
        <v>323</v>
      </c>
      <c r="C101" s="341" t="s">
        <v>324</v>
      </c>
      <c r="D101" s="343">
        <v>150000</v>
      </c>
      <c r="E101" s="327" t="s">
        <v>326</v>
      </c>
      <c r="F101" s="345"/>
      <c r="G101" s="346"/>
      <c r="H101" s="359" t="s">
        <v>317</v>
      </c>
      <c r="L101" s="23"/>
    </row>
    <row r="102" spans="1:12" ht="16.5" customHeight="1">
      <c r="A102" s="323"/>
      <c r="B102" s="342"/>
      <c r="C102" s="352"/>
      <c r="D102" s="344"/>
      <c r="E102" s="347"/>
      <c r="F102" s="348"/>
      <c r="G102" s="349"/>
      <c r="H102" s="359"/>
    </row>
    <row r="103" spans="1:12" ht="16.5" customHeight="1">
      <c r="A103" s="322" t="s">
        <v>327</v>
      </c>
      <c r="B103" s="324" t="s">
        <v>328</v>
      </c>
      <c r="C103" s="324"/>
      <c r="D103" s="326">
        <v>200000</v>
      </c>
      <c r="E103" s="327"/>
      <c r="F103" s="328"/>
      <c r="G103" s="329"/>
      <c r="H103" s="359" t="s">
        <v>329</v>
      </c>
    </row>
    <row r="104" spans="1:12" ht="16.5" customHeight="1">
      <c r="A104" s="323"/>
      <c r="B104" s="325"/>
      <c r="C104" s="325"/>
      <c r="D104" s="326"/>
      <c r="E104" s="330"/>
      <c r="F104" s="331"/>
      <c r="G104" s="332"/>
      <c r="H104" s="359"/>
    </row>
    <row r="105" spans="1:12" ht="16.5" customHeight="1">
      <c r="A105" s="322" t="s">
        <v>330</v>
      </c>
      <c r="B105" s="341" t="s">
        <v>331</v>
      </c>
      <c r="C105" s="341" t="s">
        <v>332</v>
      </c>
      <c r="D105" s="343">
        <v>230000</v>
      </c>
      <c r="E105" s="327" t="s">
        <v>333</v>
      </c>
      <c r="F105" s="345"/>
      <c r="G105" s="346"/>
      <c r="H105" s="359" t="s">
        <v>317</v>
      </c>
    </row>
    <row r="106" spans="1:12" ht="16.5" customHeight="1">
      <c r="A106" s="323"/>
      <c r="B106" s="342"/>
      <c r="C106" s="352"/>
      <c r="D106" s="344"/>
      <c r="E106" s="347"/>
      <c r="F106" s="348"/>
      <c r="G106" s="349"/>
      <c r="H106" s="359"/>
    </row>
    <row r="107" spans="1:12" ht="16.5" customHeight="1">
      <c r="A107" s="322"/>
      <c r="B107" s="324" t="s">
        <v>334</v>
      </c>
      <c r="C107" s="324" t="s">
        <v>335</v>
      </c>
      <c r="D107" s="326">
        <v>770000</v>
      </c>
      <c r="E107" s="327" t="s">
        <v>336</v>
      </c>
      <c r="F107" s="328"/>
      <c r="G107" s="329"/>
      <c r="H107" s="360" t="s">
        <v>371</v>
      </c>
      <c r="L107" s="23"/>
    </row>
    <row r="108" spans="1:12" ht="16.5" customHeight="1">
      <c r="A108" s="323"/>
      <c r="B108" s="325"/>
      <c r="C108" s="325"/>
      <c r="D108" s="326"/>
      <c r="E108" s="330"/>
      <c r="F108" s="331"/>
      <c r="G108" s="332"/>
      <c r="H108" s="359"/>
    </row>
    <row r="109" spans="1:12" ht="16.5" customHeight="1">
      <c r="A109" s="335"/>
      <c r="B109" s="324" t="s">
        <v>337</v>
      </c>
      <c r="C109" s="325" t="s">
        <v>338</v>
      </c>
      <c r="D109" s="326">
        <v>150000</v>
      </c>
      <c r="E109" s="327" t="s">
        <v>339</v>
      </c>
      <c r="F109" s="328"/>
      <c r="G109" s="329"/>
      <c r="H109" s="360" t="s">
        <v>344</v>
      </c>
    </row>
    <row r="110" spans="1:12" ht="16.5" customHeight="1">
      <c r="A110" s="340"/>
      <c r="B110" s="325"/>
      <c r="C110" s="325"/>
      <c r="D110" s="326"/>
      <c r="E110" s="330"/>
      <c r="F110" s="331"/>
      <c r="G110" s="332"/>
      <c r="H110" s="359"/>
    </row>
    <row r="111" spans="1:12" ht="16.5" customHeight="1">
      <c r="A111" s="322" t="s">
        <v>340</v>
      </c>
      <c r="B111" s="324" t="s">
        <v>341</v>
      </c>
      <c r="C111" s="325" t="s">
        <v>342</v>
      </c>
      <c r="D111" s="326">
        <v>210000</v>
      </c>
      <c r="E111" s="327" t="s">
        <v>343</v>
      </c>
      <c r="F111" s="328"/>
      <c r="G111" s="329"/>
      <c r="H111" s="360" t="s">
        <v>344</v>
      </c>
    </row>
    <row r="112" spans="1:12" ht="16.5" customHeight="1">
      <c r="A112" s="323"/>
      <c r="B112" s="325"/>
      <c r="C112" s="325"/>
      <c r="D112" s="326"/>
      <c r="E112" s="330"/>
      <c r="F112" s="331"/>
      <c r="G112" s="332"/>
      <c r="H112" s="359"/>
    </row>
    <row r="113" spans="1:8" ht="16.5" customHeight="1">
      <c r="A113" s="322"/>
      <c r="B113" s="341" t="s">
        <v>346</v>
      </c>
      <c r="C113" s="341" t="s">
        <v>347</v>
      </c>
      <c r="D113" s="343">
        <v>1350000</v>
      </c>
      <c r="E113" s="327" t="s">
        <v>348</v>
      </c>
      <c r="F113" s="328"/>
      <c r="G113" s="329"/>
      <c r="H113" s="360" t="s">
        <v>344</v>
      </c>
    </row>
    <row r="114" spans="1:8" ht="16.5" customHeight="1">
      <c r="A114" s="323"/>
      <c r="B114" s="342"/>
      <c r="C114" s="352"/>
      <c r="D114" s="344"/>
      <c r="E114" s="330"/>
      <c r="F114" s="331"/>
      <c r="G114" s="332"/>
      <c r="H114" s="359"/>
    </row>
    <row r="115" spans="1:8" ht="16.5" customHeight="1">
      <c r="A115" s="322" t="s">
        <v>345</v>
      </c>
      <c r="B115" s="341" t="s">
        <v>331</v>
      </c>
      <c r="C115" s="341" t="s">
        <v>332</v>
      </c>
      <c r="D115" s="343">
        <v>230000</v>
      </c>
      <c r="E115" s="327" t="s">
        <v>623</v>
      </c>
      <c r="F115" s="345"/>
      <c r="G115" s="346"/>
      <c r="H115" s="400" t="s">
        <v>273</v>
      </c>
    </row>
    <row r="116" spans="1:8" ht="16.5" customHeight="1">
      <c r="A116" s="323"/>
      <c r="B116" s="342"/>
      <c r="C116" s="352"/>
      <c r="D116" s="344"/>
      <c r="E116" s="347"/>
      <c r="F116" s="348"/>
      <c r="G116" s="349"/>
      <c r="H116" s="401"/>
    </row>
    <row r="117" spans="1:8" ht="16.5" customHeight="1">
      <c r="A117" s="322"/>
      <c r="B117" s="324" t="s">
        <v>349</v>
      </c>
      <c r="C117" s="325"/>
      <c r="D117" s="326">
        <v>224000</v>
      </c>
      <c r="E117" s="327" t="s">
        <v>350</v>
      </c>
      <c r="F117" s="328"/>
      <c r="G117" s="329"/>
      <c r="H117" s="359" t="s">
        <v>351</v>
      </c>
    </row>
    <row r="118" spans="1:8" ht="16.5" customHeight="1">
      <c r="A118" s="323"/>
      <c r="B118" s="325"/>
      <c r="C118" s="325"/>
      <c r="D118" s="326"/>
      <c r="E118" s="330"/>
      <c r="F118" s="331"/>
      <c r="G118" s="332"/>
      <c r="H118" s="399"/>
    </row>
    <row r="119" spans="1:8" ht="16.5" customHeight="1">
      <c r="A119" s="322" t="s">
        <v>352</v>
      </c>
      <c r="B119" s="324" t="s">
        <v>353</v>
      </c>
      <c r="C119" s="324" t="s">
        <v>360</v>
      </c>
      <c r="D119" s="343">
        <v>820000</v>
      </c>
      <c r="E119" s="327" t="s">
        <v>367</v>
      </c>
      <c r="F119" s="328"/>
      <c r="G119" s="329"/>
      <c r="H119" s="359" t="s">
        <v>361</v>
      </c>
    </row>
    <row r="120" spans="1:8" ht="36.75" customHeight="1">
      <c r="A120" s="323"/>
      <c r="B120" s="325"/>
      <c r="C120" s="325"/>
      <c r="D120" s="344"/>
      <c r="E120" s="330"/>
      <c r="F120" s="331"/>
      <c r="G120" s="332"/>
      <c r="H120" s="359"/>
    </row>
    <row r="121" spans="1:8">
      <c r="A121" s="322"/>
      <c r="B121" s="324" t="s">
        <v>354</v>
      </c>
      <c r="C121" s="325" t="s">
        <v>355</v>
      </c>
      <c r="D121" s="343">
        <v>660000</v>
      </c>
      <c r="E121" s="337" t="s">
        <v>366</v>
      </c>
      <c r="F121" s="326"/>
      <c r="G121" s="326"/>
      <c r="H121" s="360" t="s">
        <v>362</v>
      </c>
    </row>
    <row r="122" spans="1:8">
      <c r="A122" s="323"/>
      <c r="B122" s="325"/>
      <c r="C122" s="325"/>
      <c r="D122" s="344"/>
      <c r="E122" s="326"/>
      <c r="F122" s="326"/>
      <c r="G122" s="326"/>
      <c r="H122" s="359"/>
    </row>
    <row r="123" spans="1:8">
      <c r="A123" s="322"/>
      <c r="B123" s="324" t="s">
        <v>356</v>
      </c>
      <c r="C123" s="324" t="s">
        <v>357</v>
      </c>
      <c r="D123" s="343">
        <v>310000</v>
      </c>
      <c r="E123" s="337" t="s">
        <v>368</v>
      </c>
      <c r="F123" s="326"/>
      <c r="G123" s="326"/>
      <c r="H123" s="359" t="s">
        <v>370</v>
      </c>
    </row>
    <row r="124" spans="1:8">
      <c r="A124" s="323"/>
      <c r="B124" s="325"/>
      <c r="C124" s="325"/>
      <c r="D124" s="344"/>
      <c r="E124" s="326"/>
      <c r="F124" s="326"/>
      <c r="G124" s="326"/>
      <c r="H124" s="359"/>
    </row>
    <row r="125" spans="1:8">
      <c r="A125" s="322"/>
      <c r="B125" s="324" t="s">
        <v>358</v>
      </c>
      <c r="C125" s="325" t="s">
        <v>359</v>
      </c>
      <c r="D125" s="343">
        <v>210000</v>
      </c>
      <c r="E125" s="337" t="s">
        <v>369</v>
      </c>
      <c r="F125" s="326"/>
      <c r="G125" s="326"/>
      <c r="H125" s="333"/>
    </row>
    <row r="126" spans="1:8">
      <c r="A126" s="323"/>
      <c r="B126" s="325"/>
      <c r="C126" s="325"/>
      <c r="D126" s="344"/>
      <c r="E126" s="326"/>
      <c r="F126" s="326"/>
      <c r="G126" s="326"/>
      <c r="H126" s="333"/>
    </row>
    <row r="127" spans="1:8">
      <c r="A127" s="322"/>
      <c r="B127" s="324" t="s">
        <v>363</v>
      </c>
      <c r="C127" s="325"/>
      <c r="D127" s="343">
        <v>104000</v>
      </c>
      <c r="E127" s="337" t="s">
        <v>364</v>
      </c>
      <c r="F127" s="326"/>
      <c r="G127" s="326"/>
      <c r="H127" s="360" t="s">
        <v>365</v>
      </c>
    </row>
    <row r="128" spans="1:8">
      <c r="A128" s="323"/>
      <c r="B128" s="325"/>
      <c r="C128" s="325"/>
      <c r="D128" s="344"/>
      <c r="E128" s="326"/>
      <c r="F128" s="326"/>
      <c r="G128" s="326"/>
      <c r="H128" s="359"/>
    </row>
    <row r="129" spans="1:8">
      <c r="A129" s="322"/>
      <c r="B129" s="324"/>
      <c r="C129" s="325"/>
      <c r="D129" s="326"/>
      <c r="E129" s="337"/>
      <c r="F129" s="326"/>
      <c r="G129" s="326"/>
      <c r="H129" s="338"/>
    </row>
    <row r="130" spans="1:8">
      <c r="A130" s="323"/>
      <c r="B130" s="325"/>
      <c r="C130" s="325"/>
      <c r="D130" s="326"/>
      <c r="E130" s="326"/>
      <c r="F130" s="326"/>
      <c r="G130" s="326"/>
      <c r="H130" s="333"/>
    </row>
    <row r="131" spans="1:8">
      <c r="A131" s="322"/>
      <c r="B131" s="324"/>
      <c r="C131" s="324"/>
      <c r="D131" s="326"/>
      <c r="E131" s="327"/>
      <c r="F131" s="328"/>
      <c r="G131" s="329"/>
      <c r="H131" s="338"/>
    </row>
    <row r="132" spans="1:8">
      <c r="A132" s="323"/>
      <c r="B132" s="325"/>
      <c r="C132" s="325"/>
      <c r="D132" s="326"/>
      <c r="E132" s="330"/>
      <c r="F132" s="331"/>
      <c r="G132" s="332"/>
      <c r="H132" s="333"/>
    </row>
    <row r="133" spans="1:8">
      <c r="A133" s="323"/>
      <c r="B133" s="341"/>
      <c r="C133" s="324"/>
      <c r="D133" s="326"/>
      <c r="E133" s="327"/>
      <c r="F133" s="328"/>
      <c r="G133" s="329"/>
      <c r="H133" s="338"/>
    </row>
    <row r="134" spans="1:8">
      <c r="A134" s="323"/>
      <c r="B134" s="352"/>
      <c r="C134" s="325"/>
      <c r="D134" s="326"/>
      <c r="E134" s="330"/>
      <c r="F134" s="331"/>
      <c r="G134" s="332"/>
      <c r="H134" s="333"/>
    </row>
    <row r="135" spans="1:8">
      <c r="A135" s="322"/>
      <c r="B135" s="324"/>
      <c r="C135" s="325"/>
      <c r="D135" s="326"/>
      <c r="E135" s="337"/>
      <c r="F135" s="326"/>
      <c r="G135" s="326"/>
      <c r="H135" s="338"/>
    </row>
    <row r="136" spans="1:8">
      <c r="A136" s="323"/>
      <c r="B136" s="325"/>
      <c r="C136" s="325"/>
      <c r="D136" s="326"/>
      <c r="E136" s="326"/>
      <c r="F136" s="326"/>
      <c r="G136" s="326"/>
      <c r="H136" s="333"/>
    </row>
    <row r="137" spans="1:8">
      <c r="A137" s="322"/>
      <c r="B137" s="341"/>
      <c r="C137" s="353"/>
      <c r="D137" s="343"/>
      <c r="E137" s="327"/>
      <c r="F137" s="345"/>
      <c r="G137" s="346"/>
      <c r="H137" s="333"/>
    </row>
    <row r="138" spans="1:8">
      <c r="A138" s="323"/>
      <c r="B138" s="342"/>
      <c r="C138" s="352"/>
      <c r="D138" s="344"/>
      <c r="E138" s="347"/>
      <c r="F138" s="348"/>
      <c r="G138" s="349"/>
      <c r="H138" s="333"/>
    </row>
    <row r="139" spans="1:8">
      <c r="A139" s="322"/>
      <c r="B139" s="324"/>
      <c r="C139" s="325"/>
      <c r="D139" s="326"/>
      <c r="E139" s="337"/>
      <c r="F139" s="326"/>
      <c r="G139" s="326"/>
      <c r="H139" s="338"/>
    </row>
    <row r="140" spans="1:8">
      <c r="A140" s="323"/>
      <c r="B140" s="325"/>
      <c r="C140" s="325"/>
      <c r="D140" s="326"/>
      <c r="E140" s="326"/>
      <c r="F140" s="326"/>
      <c r="G140" s="326"/>
      <c r="H140" s="333"/>
    </row>
    <row r="141" spans="1:8">
      <c r="A141" s="322"/>
      <c r="B141" s="324"/>
      <c r="C141" s="325"/>
      <c r="D141" s="326"/>
      <c r="E141" s="337"/>
      <c r="F141" s="326"/>
      <c r="G141" s="326"/>
      <c r="H141" s="338"/>
    </row>
    <row r="142" spans="1:8">
      <c r="A142" s="323"/>
      <c r="B142" s="325"/>
      <c r="C142" s="325"/>
      <c r="D142" s="326"/>
      <c r="E142" s="326"/>
      <c r="F142" s="326"/>
      <c r="G142" s="326"/>
      <c r="H142" s="333"/>
    </row>
    <row r="143" spans="1:8">
      <c r="A143" s="322"/>
      <c r="B143" s="324"/>
      <c r="C143" s="325"/>
      <c r="D143" s="326"/>
      <c r="E143" s="337"/>
      <c r="F143" s="326"/>
      <c r="G143" s="326"/>
      <c r="H143" s="338"/>
    </row>
    <row r="144" spans="1:8">
      <c r="A144" s="323"/>
      <c r="B144" s="325"/>
      <c r="C144" s="325"/>
      <c r="D144" s="326"/>
      <c r="E144" s="326"/>
      <c r="F144" s="326"/>
      <c r="G144" s="326"/>
      <c r="H144" s="333"/>
    </row>
    <row r="145" spans="1:8" ht="16.5" customHeight="1">
      <c r="A145" s="322"/>
      <c r="B145" s="341"/>
      <c r="C145" s="324"/>
      <c r="D145" s="326"/>
      <c r="E145" s="327"/>
      <c r="F145" s="328"/>
      <c r="G145" s="329"/>
      <c r="H145" s="333"/>
    </row>
    <row r="146" spans="1:8">
      <c r="A146" s="323"/>
      <c r="B146" s="352"/>
      <c r="C146" s="325"/>
      <c r="D146" s="326"/>
      <c r="E146" s="330"/>
      <c r="F146" s="331"/>
      <c r="G146" s="332"/>
      <c r="H146" s="333"/>
    </row>
    <row r="147" spans="1:8" ht="16.5" customHeight="1">
      <c r="A147" s="322"/>
      <c r="B147" s="341"/>
      <c r="C147" s="353"/>
      <c r="D147" s="343"/>
      <c r="E147" s="327"/>
      <c r="F147" s="345"/>
      <c r="G147" s="346"/>
      <c r="H147" s="338"/>
    </row>
    <row r="148" spans="1:8">
      <c r="A148" s="323"/>
      <c r="B148" s="342"/>
      <c r="C148" s="352"/>
      <c r="D148" s="344"/>
      <c r="E148" s="347"/>
      <c r="F148" s="348"/>
      <c r="G148" s="349"/>
      <c r="H148" s="333"/>
    </row>
    <row r="149" spans="1:8">
      <c r="A149" s="322"/>
      <c r="B149" s="324"/>
      <c r="C149" s="324"/>
      <c r="D149" s="326"/>
      <c r="E149" s="337"/>
      <c r="F149" s="326"/>
      <c r="G149" s="326"/>
      <c r="H149" s="338"/>
    </row>
    <row r="150" spans="1:8">
      <c r="A150" s="323"/>
      <c r="B150" s="325"/>
      <c r="C150" s="325"/>
      <c r="D150" s="326"/>
      <c r="E150" s="326"/>
      <c r="F150" s="326"/>
      <c r="G150" s="326"/>
      <c r="H150" s="333"/>
    </row>
    <row r="151" spans="1:8">
      <c r="A151" s="322"/>
      <c r="B151" s="341"/>
      <c r="C151" s="324"/>
      <c r="D151" s="326"/>
      <c r="E151" s="327"/>
      <c r="F151" s="328"/>
      <c r="G151" s="329"/>
      <c r="H151" s="333"/>
    </row>
    <row r="152" spans="1:8">
      <c r="A152" s="323"/>
      <c r="B152" s="352"/>
      <c r="C152" s="325"/>
      <c r="D152" s="326"/>
      <c r="E152" s="330"/>
      <c r="F152" s="331"/>
      <c r="G152" s="332"/>
      <c r="H152" s="333"/>
    </row>
    <row r="153" spans="1:8">
      <c r="A153" s="322"/>
      <c r="B153" s="324"/>
      <c r="C153" s="324"/>
      <c r="D153" s="326"/>
      <c r="E153" s="327"/>
      <c r="F153" s="328"/>
      <c r="G153" s="329"/>
      <c r="H153" s="333"/>
    </row>
    <row r="154" spans="1:8">
      <c r="A154" s="323"/>
      <c r="B154" s="325"/>
      <c r="C154" s="325"/>
      <c r="D154" s="326"/>
      <c r="E154" s="330"/>
      <c r="F154" s="331"/>
      <c r="G154" s="332"/>
      <c r="H154" s="333"/>
    </row>
    <row r="155" spans="1:8">
      <c r="A155" s="322"/>
      <c r="B155" s="324"/>
      <c r="C155" s="324"/>
      <c r="D155" s="326"/>
      <c r="E155" s="337"/>
      <c r="F155" s="326"/>
      <c r="G155" s="326"/>
      <c r="H155" s="338"/>
    </row>
    <row r="156" spans="1:8">
      <c r="A156" s="323"/>
      <c r="B156" s="325"/>
      <c r="C156" s="325"/>
      <c r="D156" s="326"/>
      <c r="E156" s="326"/>
      <c r="F156" s="326"/>
      <c r="G156" s="326"/>
      <c r="H156" s="333"/>
    </row>
    <row r="157" spans="1:8">
      <c r="A157" s="322"/>
      <c r="B157" s="324"/>
      <c r="C157" s="325"/>
      <c r="D157" s="326"/>
      <c r="E157" s="337"/>
      <c r="F157" s="326"/>
      <c r="G157" s="326"/>
      <c r="H157" s="338"/>
    </row>
    <row r="158" spans="1:8">
      <c r="A158" s="323"/>
      <c r="B158" s="325"/>
      <c r="C158" s="325"/>
      <c r="D158" s="326"/>
      <c r="E158" s="326"/>
      <c r="F158" s="326"/>
      <c r="G158" s="326"/>
      <c r="H158" s="333"/>
    </row>
    <row r="159" spans="1:8">
      <c r="A159" s="322"/>
      <c r="B159" s="324"/>
      <c r="C159" s="324"/>
      <c r="D159" s="326"/>
      <c r="E159" s="327"/>
      <c r="F159" s="328"/>
      <c r="G159" s="329"/>
      <c r="H159" s="333"/>
    </row>
    <row r="160" spans="1:8">
      <c r="A160" s="323"/>
      <c r="B160" s="325"/>
      <c r="C160" s="325"/>
      <c r="D160" s="326"/>
      <c r="E160" s="330"/>
      <c r="F160" s="331"/>
      <c r="G160" s="332"/>
      <c r="H160" s="333"/>
    </row>
    <row r="161" spans="1:8">
      <c r="A161" s="322"/>
      <c r="B161" s="324"/>
      <c r="C161" s="324"/>
      <c r="D161" s="326"/>
      <c r="E161" s="337"/>
      <c r="F161" s="326"/>
      <c r="G161" s="326"/>
      <c r="H161" s="333"/>
    </row>
    <row r="162" spans="1:8">
      <c r="A162" s="323"/>
      <c r="B162" s="325"/>
      <c r="C162" s="325"/>
      <c r="D162" s="326"/>
      <c r="E162" s="326"/>
      <c r="F162" s="326"/>
      <c r="G162" s="326"/>
      <c r="H162" s="333"/>
    </row>
    <row r="163" spans="1:8">
      <c r="A163" s="322"/>
      <c r="B163" s="324"/>
      <c r="C163" s="325"/>
      <c r="D163" s="326"/>
      <c r="E163" s="337"/>
      <c r="F163" s="326"/>
      <c r="G163" s="326"/>
      <c r="H163" s="333"/>
    </row>
    <row r="164" spans="1:8">
      <c r="A164" s="323"/>
      <c r="B164" s="325"/>
      <c r="C164" s="325"/>
      <c r="D164" s="326"/>
      <c r="E164" s="326"/>
      <c r="F164" s="326"/>
      <c r="G164" s="326"/>
      <c r="H164" s="333"/>
    </row>
    <row r="165" spans="1:8">
      <c r="A165" s="322"/>
      <c r="B165" s="324"/>
      <c r="C165" s="325"/>
      <c r="D165" s="326"/>
      <c r="E165" s="337"/>
      <c r="F165" s="326"/>
      <c r="G165" s="326"/>
      <c r="H165" s="338"/>
    </row>
    <row r="166" spans="1:8">
      <c r="A166" s="323"/>
      <c r="B166" s="325"/>
      <c r="C166" s="325"/>
      <c r="D166" s="326"/>
      <c r="E166" s="326"/>
      <c r="F166" s="326"/>
      <c r="G166" s="326"/>
      <c r="H166" s="333"/>
    </row>
    <row r="167" spans="1:8">
      <c r="A167" s="322"/>
      <c r="B167" s="324"/>
      <c r="C167" s="324"/>
      <c r="D167" s="326"/>
      <c r="E167" s="337"/>
      <c r="F167" s="326"/>
      <c r="G167" s="326"/>
      <c r="H167" s="333"/>
    </row>
    <row r="168" spans="1:8">
      <c r="A168" s="323"/>
      <c r="B168" s="325"/>
      <c r="C168" s="325"/>
      <c r="D168" s="326"/>
      <c r="E168" s="326"/>
      <c r="F168" s="326"/>
      <c r="G168" s="326"/>
      <c r="H168" s="333"/>
    </row>
    <row r="169" spans="1:8">
      <c r="A169" s="322"/>
      <c r="B169" s="324"/>
      <c r="C169" s="324"/>
      <c r="D169" s="326"/>
      <c r="E169" s="337"/>
      <c r="F169" s="326"/>
      <c r="G169" s="326"/>
      <c r="H169" s="338"/>
    </row>
    <row r="170" spans="1:8">
      <c r="A170" s="323"/>
      <c r="B170" s="325"/>
      <c r="C170" s="325"/>
      <c r="D170" s="326"/>
      <c r="E170" s="326"/>
      <c r="F170" s="326"/>
      <c r="G170" s="326"/>
      <c r="H170" s="333"/>
    </row>
    <row r="171" spans="1:8">
      <c r="A171" s="322"/>
      <c r="B171" s="324"/>
      <c r="C171" s="325"/>
      <c r="D171" s="326"/>
      <c r="E171" s="337"/>
      <c r="F171" s="326"/>
      <c r="G171" s="326"/>
      <c r="H171" s="338"/>
    </row>
    <row r="172" spans="1:8">
      <c r="A172" s="323"/>
      <c r="B172" s="325"/>
      <c r="C172" s="325"/>
      <c r="D172" s="326"/>
      <c r="E172" s="326"/>
      <c r="F172" s="326"/>
      <c r="G172" s="326"/>
      <c r="H172" s="333"/>
    </row>
    <row r="173" spans="1:8">
      <c r="A173" s="322"/>
      <c r="B173" s="324"/>
      <c r="C173" s="325"/>
      <c r="D173" s="326"/>
      <c r="E173" s="337"/>
      <c r="F173" s="326"/>
      <c r="G173" s="326"/>
      <c r="H173" s="338"/>
    </row>
    <row r="174" spans="1:8">
      <c r="A174" s="323"/>
      <c r="B174" s="325"/>
      <c r="C174" s="325"/>
      <c r="D174" s="326"/>
      <c r="E174" s="326"/>
      <c r="F174" s="326"/>
      <c r="G174" s="326"/>
      <c r="H174" s="333"/>
    </row>
    <row r="175" spans="1:8">
      <c r="A175" s="322"/>
      <c r="B175" s="324"/>
      <c r="C175" s="325"/>
      <c r="D175" s="326"/>
      <c r="E175" s="337"/>
      <c r="F175" s="326"/>
      <c r="G175" s="326"/>
      <c r="H175" s="333"/>
    </row>
    <row r="176" spans="1:8">
      <c r="A176" s="323"/>
      <c r="B176" s="325"/>
      <c r="C176" s="325"/>
      <c r="D176" s="326"/>
      <c r="E176" s="326"/>
      <c r="F176" s="326"/>
      <c r="G176" s="326"/>
      <c r="H176" s="333"/>
    </row>
    <row r="177" spans="1:8" ht="16.5" customHeight="1">
      <c r="A177" s="322"/>
      <c r="B177" s="324"/>
      <c r="C177" s="324"/>
      <c r="D177" s="326"/>
      <c r="E177" s="337"/>
      <c r="F177" s="326"/>
      <c r="G177" s="326"/>
      <c r="H177" s="338"/>
    </row>
    <row r="178" spans="1:8">
      <c r="A178" s="323"/>
      <c r="B178" s="325"/>
      <c r="C178" s="325"/>
      <c r="D178" s="326"/>
      <c r="E178" s="326"/>
      <c r="F178" s="326"/>
      <c r="G178" s="326"/>
      <c r="H178" s="333"/>
    </row>
    <row r="179" spans="1:8">
      <c r="A179" s="322"/>
      <c r="B179" s="324"/>
      <c r="C179" s="325"/>
      <c r="D179" s="326"/>
      <c r="E179" s="337"/>
      <c r="F179" s="326"/>
      <c r="G179" s="326"/>
      <c r="H179" s="333"/>
    </row>
    <row r="180" spans="1:8">
      <c r="A180" s="323"/>
      <c r="B180" s="325"/>
      <c r="C180" s="325"/>
      <c r="D180" s="326"/>
      <c r="E180" s="326"/>
      <c r="F180" s="326"/>
      <c r="G180" s="326"/>
      <c r="H180" s="333"/>
    </row>
    <row r="181" spans="1:8">
      <c r="A181" s="322"/>
      <c r="B181" s="324"/>
      <c r="C181" s="324"/>
      <c r="D181" s="326"/>
      <c r="E181" s="337"/>
      <c r="F181" s="326"/>
      <c r="G181" s="326"/>
      <c r="H181" s="338"/>
    </row>
    <row r="182" spans="1:8">
      <c r="A182" s="323"/>
      <c r="B182" s="325"/>
      <c r="C182" s="325"/>
      <c r="D182" s="326"/>
      <c r="E182" s="326"/>
      <c r="F182" s="326"/>
      <c r="G182" s="326"/>
      <c r="H182" s="333"/>
    </row>
    <row r="183" spans="1:8">
      <c r="A183" s="322"/>
      <c r="B183" s="324"/>
      <c r="C183" s="325"/>
      <c r="D183" s="326"/>
      <c r="E183" s="337"/>
      <c r="F183" s="326"/>
      <c r="G183" s="326"/>
      <c r="H183" s="338"/>
    </row>
    <row r="184" spans="1:8">
      <c r="A184" s="323"/>
      <c r="B184" s="325"/>
      <c r="C184" s="325"/>
      <c r="D184" s="326"/>
      <c r="E184" s="326"/>
      <c r="F184" s="326"/>
      <c r="G184" s="326"/>
      <c r="H184" s="333"/>
    </row>
    <row r="185" spans="1:8">
      <c r="A185" s="323"/>
      <c r="B185" s="324"/>
      <c r="C185" s="325"/>
      <c r="D185" s="326"/>
      <c r="E185" s="337"/>
      <c r="F185" s="326"/>
      <c r="G185" s="326"/>
      <c r="H185" s="333"/>
    </row>
    <row r="186" spans="1:8">
      <c r="A186" s="323"/>
      <c r="B186" s="325"/>
      <c r="C186" s="325"/>
      <c r="D186" s="326"/>
      <c r="E186" s="326"/>
      <c r="F186" s="326"/>
      <c r="G186" s="326"/>
      <c r="H186" s="333"/>
    </row>
    <row r="187" spans="1:8">
      <c r="A187" s="323"/>
      <c r="B187" s="324"/>
      <c r="C187" s="325"/>
      <c r="D187" s="326"/>
      <c r="E187" s="337"/>
      <c r="F187" s="326"/>
      <c r="G187" s="326"/>
      <c r="H187" s="338"/>
    </row>
    <row r="188" spans="1:8">
      <c r="A188" s="323"/>
      <c r="B188" s="325"/>
      <c r="C188" s="325"/>
      <c r="D188" s="326"/>
      <c r="E188" s="326"/>
      <c r="F188" s="326"/>
      <c r="G188" s="326"/>
      <c r="H188" s="333"/>
    </row>
    <row r="189" spans="1:8" ht="16.5" customHeight="1">
      <c r="A189" s="322"/>
      <c r="B189" s="324"/>
      <c r="C189" s="325"/>
      <c r="D189" s="326"/>
      <c r="E189" s="337"/>
      <c r="F189" s="326"/>
      <c r="G189" s="326"/>
      <c r="H189" s="333"/>
    </row>
    <row r="190" spans="1:8">
      <c r="A190" s="323"/>
      <c r="B190" s="325"/>
      <c r="C190" s="325"/>
      <c r="D190" s="326"/>
      <c r="E190" s="326"/>
      <c r="F190" s="326"/>
      <c r="G190" s="326"/>
      <c r="H190" s="333"/>
    </row>
    <row r="191" spans="1:8">
      <c r="A191" s="323"/>
      <c r="B191" s="324"/>
      <c r="C191" s="325"/>
      <c r="D191" s="326"/>
      <c r="E191" s="337"/>
      <c r="F191" s="326"/>
      <c r="G191" s="326"/>
      <c r="H191" s="333"/>
    </row>
    <row r="192" spans="1:8">
      <c r="A192" s="323"/>
      <c r="B192" s="325"/>
      <c r="C192" s="325"/>
      <c r="D192" s="326"/>
      <c r="E192" s="326"/>
      <c r="F192" s="326"/>
      <c r="G192" s="326"/>
      <c r="H192" s="333"/>
    </row>
    <row r="193" spans="1:8">
      <c r="A193" s="323"/>
      <c r="B193" s="325"/>
      <c r="C193" s="325"/>
      <c r="D193" s="326"/>
      <c r="E193" s="337"/>
      <c r="F193" s="326"/>
      <c r="G193" s="326"/>
      <c r="H193" s="333"/>
    </row>
    <row r="194" spans="1:8">
      <c r="A194" s="323"/>
      <c r="B194" s="325"/>
      <c r="C194" s="325"/>
      <c r="D194" s="326"/>
      <c r="E194" s="326"/>
      <c r="F194" s="326"/>
      <c r="G194" s="326"/>
      <c r="H194" s="333"/>
    </row>
    <row r="195" spans="1:8">
      <c r="A195" s="322"/>
      <c r="B195" s="325"/>
      <c r="C195" s="325"/>
      <c r="D195" s="326"/>
      <c r="E195" s="337"/>
      <c r="F195" s="326"/>
      <c r="G195" s="326"/>
      <c r="H195" s="333"/>
    </row>
    <row r="196" spans="1:8">
      <c r="A196" s="323"/>
      <c r="B196" s="325"/>
      <c r="C196" s="325"/>
      <c r="D196" s="326"/>
      <c r="E196" s="326"/>
      <c r="F196" s="326"/>
      <c r="G196" s="326"/>
      <c r="H196" s="333"/>
    </row>
    <row r="197" spans="1:8">
      <c r="A197" s="322"/>
      <c r="B197" s="325"/>
      <c r="C197" s="325"/>
      <c r="D197" s="326"/>
      <c r="E197" s="337"/>
      <c r="F197" s="326"/>
      <c r="G197" s="326"/>
      <c r="H197" s="333"/>
    </row>
    <row r="198" spans="1:8">
      <c r="A198" s="323"/>
      <c r="B198" s="325"/>
      <c r="C198" s="325"/>
      <c r="D198" s="326"/>
      <c r="E198" s="326"/>
      <c r="F198" s="326"/>
      <c r="G198" s="326"/>
      <c r="H198" s="333"/>
    </row>
    <row r="199" spans="1:8">
      <c r="A199" s="322"/>
      <c r="B199" s="324"/>
      <c r="C199" s="325"/>
      <c r="D199" s="326"/>
      <c r="E199" s="337"/>
      <c r="F199" s="326"/>
      <c r="G199" s="326"/>
      <c r="H199" s="333"/>
    </row>
    <row r="200" spans="1:8">
      <c r="A200" s="323"/>
      <c r="B200" s="325"/>
      <c r="C200" s="325"/>
      <c r="D200" s="326"/>
      <c r="E200" s="326"/>
      <c r="F200" s="326"/>
      <c r="G200" s="326"/>
      <c r="H200" s="333"/>
    </row>
    <row r="201" spans="1:8">
      <c r="A201" s="322"/>
      <c r="B201" s="324"/>
      <c r="C201" s="325"/>
      <c r="D201" s="326"/>
      <c r="E201" s="337"/>
      <c r="F201" s="326"/>
      <c r="G201" s="326"/>
      <c r="H201" s="338"/>
    </row>
    <row r="202" spans="1:8" s="30" customFormat="1">
      <c r="A202" s="323"/>
      <c r="B202" s="325"/>
      <c r="C202" s="325"/>
      <c r="D202" s="326"/>
      <c r="E202" s="326"/>
      <c r="F202" s="326"/>
      <c r="G202" s="326"/>
      <c r="H202" s="333"/>
    </row>
    <row r="203" spans="1:8">
      <c r="A203" s="323"/>
      <c r="B203" s="325"/>
      <c r="C203" s="325"/>
      <c r="D203" s="326"/>
      <c r="E203" s="337"/>
      <c r="F203" s="326"/>
      <c r="G203" s="326"/>
      <c r="H203" s="333"/>
    </row>
    <row r="204" spans="1:8">
      <c r="A204" s="323"/>
      <c r="B204" s="325"/>
      <c r="C204" s="325"/>
      <c r="D204" s="326"/>
      <c r="E204" s="326"/>
      <c r="F204" s="326"/>
      <c r="G204" s="326"/>
      <c r="H204" s="333"/>
    </row>
    <row r="205" spans="1:8">
      <c r="A205" s="322"/>
      <c r="B205" s="324"/>
      <c r="C205" s="325"/>
      <c r="D205" s="326"/>
      <c r="E205" s="337"/>
      <c r="F205" s="326"/>
      <c r="G205" s="326"/>
      <c r="H205" s="333"/>
    </row>
    <row r="206" spans="1:8">
      <c r="A206" s="323"/>
      <c r="B206" s="325"/>
      <c r="C206" s="325"/>
      <c r="D206" s="326"/>
      <c r="E206" s="326"/>
      <c r="F206" s="326"/>
      <c r="G206" s="326"/>
      <c r="H206" s="333"/>
    </row>
    <row r="207" spans="1:8">
      <c r="A207" s="323"/>
      <c r="B207" s="324"/>
      <c r="C207" s="325"/>
      <c r="D207" s="326"/>
      <c r="E207" s="337"/>
      <c r="F207" s="326"/>
      <c r="G207" s="326"/>
      <c r="H207" s="338"/>
    </row>
    <row r="208" spans="1:8" s="30" customFormat="1">
      <c r="A208" s="323"/>
      <c r="B208" s="325"/>
      <c r="C208" s="325"/>
      <c r="D208" s="326"/>
      <c r="E208" s="326"/>
      <c r="F208" s="326"/>
      <c r="G208" s="326"/>
      <c r="H208" s="333"/>
    </row>
    <row r="209" spans="1:8">
      <c r="A209" s="323"/>
      <c r="B209" s="324"/>
      <c r="C209" s="325"/>
      <c r="D209" s="326"/>
      <c r="E209" s="337"/>
      <c r="F209" s="326"/>
      <c r="G209" s="326"/>
      <c r="H209" s="338"/>
    </row>
    <row r="210" spans="1:8">
      <c r="A210" s="323"/>
      <c r="B210" s="325"/>
      <c r="C210" s="325"/>
      <c r="D210" s="326"/>
      <c r="E210" s="326"/>
      <c r="F210" s="326"/>
      <c r="G210" s="326"/>
      <c r="H210" s="333"/>
    </row>
    <row r="211" spans="1:8">
      <c r="A211" s="322"/>
      <c r="B211" s="324"/>
      <c r="C211" s="325"/>
      <c r="D211" s="326"/>
      <c r="E211" s="337"/>
      <c r="F211" s="326"/>
      <c r="G211" s="326"/>
      <c r="H211" s="333"/>
    </row>
    <row r="212" spans="1:8">
      <c r="A212" s="323"/>
      <c r="B212" s="325"/>
      <c r="C212" s="325"/>
      <c r="D212" s="326"/>
      <c r="E212" s="326"/>
      <c r="F212" s="326"/>
      <c r="G212" s="326"/>
      <c r="H212" s="333"/>
    </row>
    <row r="213" spans="1:8">
      <c r="A213" s="323"/>
      <c r="B213" s="324"/>
      <c r="C213" s="325"/>
      <c r="D213" s="326"/>
      <c r="E213" s="337"/>
      <c r="F213" s="326"/>
      <c r="G213" s="326"/>
      <c r="H213" s="333"/>
    </row>
    <row r="214" spans="1:8">
      <c r="A214" s="323"/>
      <c r="B214" s="325"/>
      <c r="C214" s="325"/>
      <c r="D214" s="326"/>
      <c r="E214" s="326"/>
      <c r="F214" s="326"/>
      <c r="G214" s="326"/>
      <c r="H214" s="333"/>
    </row>
    <row r="215" spans="1:8">
      <c r="A215" s="322"/>
      <c r="B215" s="324"/>
      <c r="C215" s="325"/>
      <c r="D215" s="326"/>
      <c r="E215" s="326"/>
      <c r="F215" s="326"/>
      <c r="G215" s="326"/>
      <c r="H215" s="333"/>
    </row>
    <row r="216" spans="1:8">
      <c r="A216" s="323"/>
      <c r="B216" s="325"/>
      <c r="C216" s="325"/>
      <c r="D216" s="326"/>
      <c r="E216" s="326"/>
      <c r="F216" s="326"/>
      <c r="G216" s="326"/>
      <c r="H216" s="333"/>
    </row>
    <row r="217" spans="1:8">
      <c r="A217" s="322"/>
      <c r="B217" s="324"/>
      <c r="C217" s="325"/>
      <c r="D217" s="326"/>
      <c r="E217" s="337"/>
      <c r="F217" s="326"/>
      <c r="G217" s="326"/>
      <c r="H217" s="338"/>
    </row>
    <row r="218" spans="1:8" s="30" customFormat="1">
      <c r="A218" s="323"/>
      <c r="B218" s="325"/>
      <c r="C218" s="325"/>
      <c r="D218" s="326"/>
      <c r="E218" s="326"/>
      <c r="F218" s="326"/>
      <c r="G218" s="326"/>
      <c r="H218" s="333"/>
    </row>
    <row r="219" spans="1:8">
      <c r="A219" s="323"/>
      <c r="B219" s="325"/>
      <c r="C219" s="325"/>
      <c r="D219" s="326"/>
      <c r="E219" s="337"/>
      <c r="F219" s="326"/>
      <c r="G219" s="326"/>
      <c r="H219" s="338"/>
    </row>
    <row r="220" spans="1:8">
      <c r="A220" s="323"/>
      <c r="B220" s="325"/>
      <c r="C220" s="325"/>
      <c r="D220" s="326"/>
      <c r="E220" s="326"/>
      <c r="F220" s="326"/>
      <c r="G220" s="326"/>
      <c r="H220" s="333"/>
    </row>
    <row r="221" spans="1:8">
      <c r="A221" s="322"/>
      <c r="B221" s="324"/>
      <c r="C221" s="325"/>
      <c r="D221" s="326"/>
      <c r="E221" s="337"/>
      <c r="F221" s="326"/>
      <c r="G221" s="326"/>
      <c r="H221" s="333"/>
    </row>
    <row r="222" spans="1:8">
      <c r="A222" s="323"/>
      <c r="B222" s="325"/>
      <c r="C222" s="325"/>
      <c r="D222" s="326"/>
      <c r="E222" s="326"/>
      <c r="F222" s="326"/>
      <c r="G222" s="326"/>
      <c r="H222" s="333"/>
    </row>
    <row r="223" spans="1:8">
      <c r="A223" s="322"/>
      <c r="B223" s="324"/>
      <c r="C223" s="325"/>
      <c r="D223" s="326"/>
      <c r="E223" s="337"/>
      <c r="F223" s="326"/>
      <c r="G223" s="326"/>
      <c r="H223" s="338"/>
    </row>
    <row r="224" spans="1:8" s="30" customFormat="1">
      <c r="A224" s="323"/>
      <c r="B224" s="325"/>
      <c r="C224" s="325"/>
      <c r="D224" s="326"/>
      <c r="E224" s="326"/>
      <c r="F224" s="326"/>
      <c r="G224" s="326"/>
      <c r="H224" s="333"/>
    </row>
    <row r="225" spans="1:8">
      <c r="A225" s="323"/>
      <c r="B225" s="324"/>
      <c r="C225" s="325"/>
      <c r="D225" s="326"/>
      <c r="E225" s="337"/>
      <c r="F225" s="326"/>
      <c r="G225" s="326"/>
      <c r="H225" s="338"/>
    </row>
    <row r="226" spans="1:8">
      <c r="A226" s="323"/>
      <c r="B226" s="325"/>
      <c r="C226" s="325"/>
      <c r="D226" s="326"/>
      <c r="E226" s="326"/>
      <c r="F226" s="326"/>
      <c r="G226" s="326"/>
      <c r="H226" s="333"/>
    </row>
    <row r="227" spans="1:8">
      <c r="A227" s="323"/>
      <c r="B227" s="325"/>
      <c r="C227" s="325"/>
      <c r="D227" s="326"/>
      <c r="E227" s="326"/>
      <c r="F227" s="326"/>
      <c r="G227" s="326"/>
      <c r="H227" s="338"/>
    </row>
    <row r="228" spans="1:8">
      <c r="A228" s="323"/>
      <c r="B228" s="325"/>
      <c r="C228" s="325"/>
      <c r="D228" s="326"/>
      <c r="E228" s="326"/>
      <c r="F228" s="326"/>
      <c r="G228" s="326"/>
      <c r="H228" s="333"/>
    </row>
    <row r="229" spans="1:8">
      <c r="A229" s="322"/>
      <c r="B229" s="325"/>
      <c r="C229" s="325"/>
      <c r="D229" s="326"/>
      <c r="E229" s="337"/>
      <c r="F229" s="326"/>
      <c r="G229" s="326"/>
      <c r="H229" s="338"/>
    </row>
    <row r="230" spans="1:8" s="30" customFormat="1">
      <c r="A230" s="323"/>
      <c r="B230" s="325"/>
      <c r="C230" s="325"/>
      <c r="D230" s="326"/>
      <c r="E230" s="326"/>
      <c r="F230" s="326"/>
      <c r="G230" s="326"/>
      <c r="H230" s="333"/>
    </row>
    <row r="231" spans="1:8">
      <c r="A231" s="322"/>
      <c r="B231" s="325"/>
      <c r="C231" s="325"/>
      <c r="D231" s="326"/>
      <c r="E231" s="337"/>
      <c r="F231" s="326"/>
      <c r="G231" s="326"/>
      <c r="H231" s="338"/>
    </row>
    <row r="232" spans="1:8">
      <c r="A232" s="323"/>
      <c r="B232" s="325"/>
      <c r="C232" s="325"/>
      <c r="D232" s="326"/>
      <c r="E232" s="326"/>
      <c r="F232" s="326"/>
      <c r="G232" s="326"/>
      <c r="H232" s="333"/>
    </row>
    <row r="233" spans="1:8">
      <c r="A233" s="323"/>
      <c r="B233" s="324"/>
      <c r="C233" s="325"/>
      <c r="D233" s="326"/>
      <c r="E233" s="337"/>
      <c r="F233" s="326"/>
      <c r="G233" s="326"/>
      <c r="H233" s="338"/>
    </row>
    <row r="234" spans="1:8">
      <c r="A234" s="323"/>
      <c r="B234" s="325"/>
      <c r="C234" s="325"/>
      <c r="D234" s="326"/>
      <c r="E234" s="326"/>
      <c r="F234" s="326"/>
      <c r="G234" s="326"/>
      <c r="H234" s="333"/>
    </row>
    <row r="235" spans="1:8" ht="16.5" customHeight="1">
      <c r="A235" s="322"/>
      <c r="B235" s="324"/>
      <c r="C235" s="324"/>
      <c r="D235" s="326"/>
      <c r="E235" s="327"/>
      <c r="F235" s="328"/>
      <c r="G235" s="329"/>
      <c r="H235" s="338"/>
    </row>
    <row r="236" spans="1:8" ht="16.5" customHeight="1">
      <c r="A236" s="323"/>
      <c r="B236" s="325"/>
      <c r="C236" s="325"/>
      <c r="D236" s="326"/>
      <c r="E236" s="330"/>
      <c r="F236" s="331"/>
      <c r="G236" s="332"/>
      <c r="H236" s="333"/>
    </row>
    <row r="237" spans="1:8" ht="16.5" customHeight="1">
      <c r="A237" s="322"/>
      <c r="B237" s="324"/>
      <c r="C237" s="325"/>
      <c r="D237" s="326"/>
      <c r="E237" s="326"/>
      <c r="F237" s="326"/>
      <c r="G237" s="326"/>
      <c r="H237" s="338"/>
    </row>
    <row r="238" spans="1:8" ht="16.5" customHeight="1">
      <c r="A238" s="323"/>
      <c r="B238" s="325"/>
      <c r="C238" s="325"/>
      <c r="D238" s="326"/>
      <c r="E238" s="326"/>
      <c r="F238" s="326"/>
      <c r="G238" s="326"/>
      <c r="H238" s="333"/>
    </row>
    <row r="239" spans="1:8" ht="16.5" customHeight="1">
      <c r="A239" s="336"/>
      <c r="B239" s="324"/>
      <c r="C239" s="324"/>
      <c r="D239" s="326"/>
      <c r="E239" s="327"/>
      <c r="F239" s="328"/>
      <c r="G239" s="329"/>
      <c r="H239" s="350"/>
    </row>
    <row r="240" spans="1:8" ht="16.5" customHeight="1">
      <c r="A240" s="323"/>
      <c r="B240" s="325"/>
      <c r="C240" s="325"/>
      <c r="D240" s="326"/>
      <c r="E240" s="330"/>
      <c r="F240" s="331"/>
      <c r="G240" s="332"/>
      <c r="H240" s="351"/>
    </row>
    <row r="241" spans="1:8" ht="16.5" customHeight="1">
      <c r="A241" s="322"/>
      <c r="B241" s="324"/>
      <c r="C241" s="325"/>
      <c r="D241" s="326"/>
      <c r="E241" s="337"/>
      <c r="F241" s="326"/>
      <c r="G241" s="326"/>
      <c r="H241" s="338"/>
    </row>
    <row r="242" spans="1:8" ht="16.5" customHeight="1">
      <c r="A242" s="323"/>
      <c r="B242" s="325"/>
      <c r="C242" s="325"/>
      <c r="D242" s="326"/>
      <c r="E242" s="326"/>
      <c r="F242" s="326"/>
      <c r="G242" s="326"/>
      <c r="H242" s="333"/>
    </row>
    <row r="243" spans="1:8" ht="16.5" customHeight="1">
      <c r="A243" s="335"/>
      <c r="B243" s="324"/>
      <c r="C243" s="341"/>
      <c r="D243" s="343"/>
      <c r="E243" s="327"/>
      <c r="F243" s="345"/>
      <c r="G243" s="346"/>
      <c r="H243" s="333"/>
    </row>
    <row r="244" spans="1:8" ht="16.5" customHeight="1">
      <c r="A244" s="336"/>
      <c r="B244" s="325"/>
      <c r="C244" s="342"/>
      <c r="D244" s="344"/>
      <c r="E244" s="347"/>
      <c r="F244" s="348"/>
      <c r="G244" s="349"/>
      <c r="H244" s="333"/>
    </row>
    <row r="245" spans="1:8" ht="16.5" customHeight="1">
      <c r="A245" s="322"/>
      <c r="B245" s="324"/>
      <c r="C245" s="325"/>
      <c r="D245" s="326"/>
      <c r="E245" s="327"/>
      <c r="F245" s="328"/>
      <c r="G245" s="329"/>
      <c r="H245" s="333"/>
    </row>
    <row r="246" spans="1:8" ht="16.5" customHeight="1">
      <c r="A246" s="323"/>
      <c r="B246" s="325"/>
      <c r="C246" s="325"/>
      <c r="D246" s="326"/>
      <c r="E246" s="330"/>
      <c r="F246" s="331"/>
      <c r="G246" s="332"/>
      <c r="H246" s="333"/>
    </row>
    <row r="247" spans="1:8" ht="16.5" customHeight="1">
      <c r="A247" s="322"/>
      <c r="B247" s="324"/>
      <c r="C247" s="324"/>
      <c r="D247" s="326"/>
      <c r="E247" s="327"/>
      <c r="F247" s="328"/>
      <c r="G247" s="329"/>
      <c r="H247" s="333"/>
    </row>
    <row r="248" spans="1:8" ht="16.5" customHeight="1">
      <c r="A248" s="323"/>
      <c r="B248" s="325"/>
      <c r="C248" s="325"/>
      <c r="D248" s="326"/>
      <c r="E248" s="330"/>
      <c r="F248" s="331"/>
      <c r="G248" s="332"/>
      <c r="H248" s="333"/>
    </row>
    <row r="249" spans="1:8" ht="16.5" customHeight="1">
      <c r="A249" s="322"/>
      <c r="B249" s="324"/>
      <c r="C249" s="325"/>
      <c r="D249" s="326"/>
      <c r="E249" s="327"/>
      <c r="F249" s="328"/>
      <c r="G249" s="329"/>
      <c r="H249" s="333"/>
    </row>
    <row r="250" spans="1:8" ht="16.5" customHeight="1">
      <c r="A250" s="323"/>
      <c r="B250" s="325"/>
      <c r="C250" s="325"/>
      <c r="D250" s="326"/>
      <c r="E250" s="330"/>
      <c r="F250" s="331"/>
      <c r="G250" s="332"/>
      <c r="H250" s="333"/>
    </row>
    <row r="251" spans="1:8" ht="16.5" customHeight="1">
      <c r="A251" s="322"/>
      <c r="B251" s="324"/>
      <c r="C251" s="325"/>
      <c r="D251" s="326"/>
      <c r="E251" s="327"/>
      <c r="F251" s="328"/>
      <c r="G251" s="329"/>
      <c r="H251" s="333"/>
    </row>
    <row r="252" spans="1:8" ht="17.25" customHeight="1">
      <c r="A252" s="323"/>
      <c r="B252" s="325"/>
      <c r="C252" s="325"/>
      <c r="D252" s="326"/>
      <c r="E252" s="330"/>
      <c r="F252" s="331"/>
      <c r="G252" s="332"/>
      <c r="H252" s="333"/>
    </row>
    <row r="253" spans="1:8" ht="16.5" customHeight="1">
      <c r="A253" s="322"/>
      <c r="B253" s="324"/>
      <c r="C253" s="325"/>
      <c r="D253" s="326"/>
      <c r="E253" s="327"/>
      <c r="F253" s="328"/>
      <c r="G253" s="329"/>
      <c r="H253" s="333"/>
    </row>
    <row r="254" spans="1:8" ht="16.5" customHeight="1">
      <c r="A254" s="323"/>
      <c r="B254" s="325"/>
      <c r="C254" s="325"/>
      <c r="D254" s="326"/>
      <c r="E254" s="330"/>
      <c r="F254" s="331"/>
      <c r="G254" s="332"/>
      <c r="H254" s="333"/>
    </row>
    <row r="255" spans="1:8" ht="16.5" customHeight="1">
      <c r="A255" s="322"/>
      <c r="B255" s="324"/>
      <c r="C255" s="324"/>
      <c r="D255" s="326"/>
      <c r="E255" s="327"/>
      <c r="F255" s="328"/>
      <c r="G255" s="329"/>
      <c r="H255" s="333"/>
    </row>
    <row r="256" spans="1:8" ht="16.5" customHeight="1">
      <c r="A256" s="323"/>
      <c r="B256" s="325"/>
      <c r="C256" s="325"/>
      <c r="D256" s="326"/>
      <c r="E256" s="330"/>
      <c r="F256" s="331"/>
      <c r="G256" s="332"/>
      <c r="H256" s="333"/>
    </row>
    <row r="257" spans="1:11" ht="16.5" customHeight="1">
      <c r="A257" s="322"/>
      <c r="B257" s="324"/>
      <c r="C257" s="324"/>
      <c r="D257" s="326"/>
      <c r="E257" s="327"/>
      <c r="F257" s="328"/>
      <c r="G257" s="329"/>
      <c r="H257" s="333"/>
    </row>
    <row r="258" spans="1:11" ht="16.5" customHeight="1">
      <c r="A258" s="323"/>
      <c r="B258" s="325"/>
      <c r="C258" s="325"/>
      <c r="D258" s="326"/>
      <c r="E258" s="330"/>
      <c r="F258" s="331"/>
      <c r="G258" s="332"/>
      <c r="H258" s="333"/>
    </row>
    <row r="259" spans="1:11" ht="16.5" customHeight="1">
      <c r="A259" s="322"/>
      <c r="B259" s="324"/>
      <c r="C259" s="325"/>
      <c r="D259" s="326"/>
      <c r="E259" s="337"/>
      <c r="F259" s="326"/>
      <c r="G259" s="326"/>
      <c r="H259" s="333"/>
    </row>
    <row r="260" spans="1:11" ht="16.5" customHeight="1">
      <c r="A260" s="323"/>
      <c r="B260" s="325"/>
      <c r="C260" s="325"/>
      <c r="D260" s="326"/>
      <c r="E260" s="326"/>
      <c r="F260" s="326"/>
      <c r="G260" s="326"/>
      <c r="H260" s="333"/>
    </row>
    <row r="261" spans="1:11" ht="16.5" customHeight="1">
      <c r="A261" s="322"/>
      <c r="B261" s="324"/>
      <c r="C261" s="324"/>
      <c r="D261" s="326"/>
      <c r="E261" s="337"/>
      <c r="F261" s="326"/>
      <c r="G261" s="326"/>
      <c r="H261" s="333"/>
    </row>
    <row r="262" spans="1:11" ht="16.5" customHeight="1">
      <c r="A262" s="323"/>
      <c r="B262" s="325"/>
      <c r="C262" s="325"/>
      <c r="D262" s="326"/>
      <c r="E262" s="326"/>
      <c r="F262" s="326"/>
      <c r="G262" s="326"/>
      <c r="H262" s="333"/>
    </row>
    <row r="263" spans="1:11" ht="16.5" customHeight="1">
      <c r="A263" s="339"/>
      <c r="B263" s="324"/>
      <c r="C263" s="324"/>
      <c r="D263" s="326"/>
      <c r="E263" s="327"/>
      <c r="F263" s="328"/>
      <c r="G263" s="329"/>
      <c r="H263" s="333"/>
    </row>
    <row r="264" spans="1:11" ht="16.5" customHeight="1">
      <c r="A264" s="340"/>
      <c r="B264" s="325"/>
      <c r="C264" s="325"/>
      <c r="D264" s="326"/>
      <c r="E264" s="330"/>
      <c r="F264" s="331"/>
      <c r="G264" s="332"/>
      <c r="H264" s="333"/>
    </row>
    <row r="265" spans="1:11" ht="16.5" customHeight="1">
      <c r="A265" s="322"/>
      <c r="B265" s="324"/>
      <c r="C265" s="324"/>
      <c r="D265" s="326"/>
      <c r="E265" s="327"/>
      <c r="F265" s="328"/>
      <c r="G265" s="329"/>
      <c r="H265" s="333"/>
    </row>
    <row r="266" spans="1:11" ht="16.5" customHeight="1">
      <c r="A266" s="323"/>
      <c r="B266" s="325"/>
      <c r="C266" s="325"/>
      <c r="D266" s="326"/>
      <c r="E266" s="330"/>
      <c r="F266" s="331"/>
      <c r="G266" s="332"/>
      <c r="H266" s="333"/>
      <c r="K266" s="24"/>
    </row>
    <row r="267" spans="1:11" ht="16.5" customHeight="1">
      <c r="A267" s="322"/>
      <c r="B267" s="324"/>
      <c r="C267" s="324"/>
      <c r="D267" s="326"/>
      <c r="E267" s="327"/>
      <c r="F267" s="328"/>
      <c r="G267" s="329"/>
      <c r="H267" s="338"/>
    </row>
    <row r="268" spans="1:11" ht="16.5" customHeight="1">
      <c r="A268" s="323"/>
      <c r="B268" s="325"/>
      <c r="C268" s="325"/>
      <c r="D268" s="326"/>
      <c r="E268" s="330"/>
      <c r="F268" s="331"/>
      <c r="G268" s="332"/>
      <c r="H268" s="333"/>
      <c r="K268" s="24"/>
    </row>
    <row r="269" spans="1:11" ht="16.5" customHeight="1">
      <c r="A269" s="322"/>
      <c r="B269" s="324"/>
      <c r="C269" s="324"/>
      <c r="D269" s="326"/>
      <c r="E269" s="327"/>
      <c r="F269" s="328"/>
      <c r="G269" s="329"/>
      <c r="H269" s="333"/>
      <c r="K269" s="24"/>
    </row>
    <row r="270" spans="1:11" ht="16.5" customHeight="1">
      <c r="A270" s="323"/>
      <c r="B270" s="325"/>
      <c r="C270" s="325"/>
      <c r="D270" s="326"/>
      <c r="E270" s="330"/>
      <c r="F270" s="331"/>
      <c r="G270" s="332"/>
      <c r="H270" s="333"/>
      <c r="K270" s="24"/>
    </row>
    <row r="271" spans="1:11" ht="16.5" customHeight="1">
      <c r="A271" s="322"/>
      <c r="B271" s="324"/>
      <c r="C271" s="325"/>
      <c r="D271" s="326"/>
      <c r="E271" s="337"/>
      <c r="F271" s="326"/>
      <c r="G271" s="326"/>
      <c r="H271" s="333"/>
      <c r="K271" s="24"/>
    </row>
    <row r="272" spans="1:11" ht="16.5" customHeight="1">
      <c r="A272" s="323"/>
      <c r="B272" s="325"/>
      <c r="C272" s="325"/>
      <c r="D272" s="326"/>
      <c r="E272" s="326"/>
      <c r="F272" s="326"/>
      <c r="G272" s="326"/>
      <c r="H272" s="333"/>
      <c r="K272" s="24"/>
    </row>
    <row r="273" spans="1:11" ht="16.5" customHeight="1">
      <c r="A273" s="322"/>
      <c r="B273" s="324"/>
      <c r="C273" s="325"/>
      <c r="D273" s="326"/>
      <c r="E273" s="327"/>
      <c r="F273" s="328"/>
      <c r="G273" s="329"/>
      <c r="H273" s="338"/>
      <c r="I273" s="4"/>
    </row>
    <row r="274" spans="1:11" ht="16.5" customHeight="1">
      <c r="A274" s="323"/>
      <c r="B274" s="325"/>
      <c r="C274" s="325"/>
      <c r="D274" s="326"/>
      <c r="E274" s="330"/>
      <c r="F274" s="331"/>
      <c r="G274" s="332"/>
      <c r="H274" s="333"/>
    </row>
    <row r="275" spans="1:11" ht="16.5" customHeight="1">
      <c r="A275" s="322"/>
      <c r="B275" s="324"/>
      <c r="C275" s="325"/>
      <c r="D275" s="326"/>
      <c r="E275" s="327"/>
      <c r="F275" s="328"/>
      <c r="G275" s="329"/>
      <c r="H275" s="333"/>
    </row>
    <row r="276" spans="1:11" ht="16.5" customHeight="1">
      <c r="A276" s="323"/>
      <c r="B276" s="325"/>
      <c r="C276" s="325"/>
      <c r="D276" s="326"/>
      <c r="E276" s="330"/>
      <c r="F276" s="331"/>
      <c r="G276" s="332"/>
      <c r="H276" s="333"/>
    </row>
    <row r="277" spans="1:11" ht="16.5" customHeight="1">
      <c r="A277" s="322"/>
      <c r="B277" s="324"/>
      <c r="C277" s="325"/>
      <c r="D277" s="326"/>
      <c r="E277" s="327"/>
      <c r="F277" s="328"/>
      <c r="G277" s="329"/>
      <c r="H277" s="333"/>
    </row>
    <row r="278" spans="1:11" ht="16.5" customHeight="1">
      <c r="A278" s="323"/>
      <c r="B278" s="325"/>
      <c r="C278" s="325"/>
      <c r="D278" s="326"/>
      <c r="E278" s="330"/>
      <c r="F278" s="331"/>
      <c r="G278" s="332"/>
      <c r="H278" s="333"/>
    </row>
    <row r="279" spans="1:11" ht="16.5" customHeight="1">
      <c r="A279" s="322"/>
      <c r="B279" s="324"/>
      <c r="C279" s="325"/>
      <c r="D279" s="326"/>
      <c r="E279" s="327"/>
      <c r="F279" s="328"/>
      <c r="G279" s="329"/>
      <c r="H279" s="333"/>
    </row>
    <row r="280" spans="1:11" ht="16.5" customHeight="1">
      <c r="A280" s="323"/>
      <c r="B280" s="325"/>
      <c r="C280" s="325"/>
      <c r="D280" s="326"/>
      <c r="E280" s="330"/>
      <c r="F280" s="331"/>
      <c r="G280" s="332"/>
      <c r="H280" s="333"/>
    </row>
    <row r="281" spans="1:11" ht="16.5" customHeight="1">
      <c r="A281" s="322"/>
      <c r="B281" s="324"/>
      <c r="C281" s="325"/>
      <c r="D281" s="326"/>
      <c r="E281" s="327"/>
      <c r="F281" s="328"/>
      <c r="G281" s="329"/>
      <c r="H281" s="333"/>
    </row>
    <row r="282" spans="1:11" ht="16.5" customHeight="1">
      <c r="A282" s="323"/>
      <c r="B282" s="325"/>
      <c r="C282" s="325"/>
      <c r="D282" s="326"/>
      <c r="E282" s="330"/>
      <c r="F282" s="331"/>
      <c r="G282" s="332"/>
      <c r="H282" s="333"/>
    </row>
    <row r="283" spans="1:11" ht="16.5" customHeight="1">
      <c r="A283" s="322"/>
      <c r="B283" s="324"/>
      <c r="C283" s="326"/>
      <c r="D283" s="326"/>
      <c r="E283" s="327"/>
      <c r="F283" s="328"/>
      <c r="G283" s="329"/>
      <c r="H283" s="333"/>
    </row>
    <row r="284" spans="1:11" ht="16.5" customHeight="1">
      <c r="A284" s="323"/>
      <c r="B284" s="325"/>
      <c r="C284" s="326"/>
      <c r="D284" s="326"/>
      <c r="E284" s="330"/>
      <c r="F284" s="331"/>
      <c r="G284" s="332"/>
      <c r="H284" s="333"/>
    </row>
    <row r="285" spans="1:11" ht="16.5" customHeight="1">
      <c r="A285" s="322"/>
      <c r="B285" s="324"/>
      <c r="C285" s="325"/>
      <c r="D285" s="326"/>
      <c r="E285" s="337"/>
      <c r="F285" s="326"/>
      <c r="G285" s="326"/>
      <c r="H285" s="333"/>
      <c r="I285" s="3"/>
      <c r="K285" s="23"/>
    </row>
    <row r="286" spans="1:11" ht="16.5" customHeight="1">
      <c r="A286" s="323"/>
      <c r="B286" s="325"/>
      <c r="C286" s="325"/>
      <c r="D286" s="326"/>
      <c r="E286" s="326"/>
      <c r="F286" s="326"/>
      <c r="G286" s="326"/>
      <c r="H286" s="333"/>
    </row>
    <row r="287" spans="1:11" ht="16.5" customHeight="1">
      <c r="A287" s="322"/>
      <c r="B287" s="324"/>
      <c r="C287" s="325"/>
      <c r="D287" s="326"/>
      <c r="E287" s="327"/>
      <c r="F287" s="328"/>
      <c r="G287" s="329"/>
      <c r="H287" s="333"/>
    </row>
    <row r="288" spans="1:11" ht="16.5" customHeight="1">
      <c r="A288" s="323"/>
      <c r="B288" s="325"/>
      <c r="C288" s="325"/>
      <c r="D288" s="326"/>
      <c r="E288" s="330"/>
      <c r="F288" s="331"/>
      <c r="G288" s="332"/>
      <c r="H288" s="333"/>
    </row>
    <row r="289" spans="1:8" ht="16.5" customHeight="1">
      <c r="A289" s="322"/>
      <c r="B289" s="324"/>
      <c r="C289" s="324"/>
      <c r="D289" s="326"/>
      <c r="E289" s="327"/>
      <c r="F289" s="328"/>
      <c r="G289" s="329"/>
      <c r="H289" s="333"/>
    </row>
    <row r="290" spans="1:8" ht="16.5" customHeight="1">
      <c r="A290" s="323"/>
      <c r="B290" s="325"/>
      <c r="C290" s="325"/>
      <c r="D290" s="326"/>
      <c r="E290" s="330"/>
      <c r="F290" s="331"/>
      <c r="G290" s="332"/>
      <c r="H290" s="333"/>
    </row>
    <row r="291" spans="1:8" ht="16.5" customHeight="1">
      <c r="A291" s="335"/>
      <c r="B291" s="324"/>
      <c r="C291" s="325"/>
      <c r="D291" s="326"/>
      <c r="E291" s="327"/>
      <c r="F291" s="328"/>
      <c r="G291" s="329"/>
      <c r="H291" s="333"/>
    </row>
    <row r="292" spans="1:8" ht="16.5" customHeight="1">
      <c r="A292" s="336"/>
      <c r="B292" s="325"/>
      <c r="C292" s="325"/>
      <c r="D292" s="326"/>
      <c r="E292" s="330"/>
      <c r="F292" s="331"/>
      <c r="G292" s="332"/>
      <c r="H292" s="333"/>
    </row>
    <row r="293" spans="1:8" ht="16.5" customHeight="1">
      <c r="A293" s="334"/>
      <c r="B293" s="324"/>
      <c r="C293" s="324"/>
      <c r="D293" s="326"/>
      <c r="E293" s="327"/>
      <c r="F293" s="328"/>
      <c r="G293" s="329"/>
      <c r="H293" s="333"/>
    </row>
    <row r="294" spans="1:8" ht="16.5" customHeight="1">
      <c r="A294" s="323"/>
      <c r="B294" s="325"/>
      <c r="C294" s="325"/>
      <c r="D294" s="326"/>
      <c r="E294" s="330"/>
      <c r="F294" s="331"/>
      <c r="G294" s="332"/>
      <c r="H294" s="333"/>
    </row>
    <row r="295" spans="1:8" ht="16.5" customHeight="1">
      <c r="A295" s="322"/>
      <c r="B295" s="324"/>
      <c r="C295" s="325"/>
      <c r="D295" s="326"/>
      <c r="E295" s="327"/>
      <c r="F295" s="328"/>
      <c r="G295" s="329"/>
      <c r="H295" s="333"/>
    </row>
    <row r="296" spans="1:8" ht="16.5" customHeight="1">
      <c r="A296" s="323"/>
      <c r="B296" s="325"/>
      <c r="C296" s="325"/>
      <c r="D296" s="326"/>
      <c r="E296" s="330"/>
      <c r="F296" s="331"/>
      <c r="G296" s="332"/>
      <c r="H296" s="333"/>
    </row>
    <row r="297" spans="1:8" ht="16.5" customHeight="1">
      <c r="A297" s="313"/>
      <c r="B297" s="314"/>
      <c r="C297" s="307"/>
      <c r="D297" s="309"/>
      <c r="E297" s="315"/>
      <c r="F297" s="316"/>
      <c r="G297" s="317"/>
      <c r="H297" s="321"/>
    </row>
    <row r="298" spans="1:8" ht="16.5" customHeight="1">
      <c r="A298" s="305"/>
      <c r="B298" s="307"/>
      <c r="C298" s="307"/>
      <c r="D298" s="309"/>
      <c r="E298" s="318"/>
      <c r="F298" s="319"/>
      <c r="G298" s="320"/>
      <c r="H298" s="311"/>
    </row>
    <row r="299" spans="1:8" ht="16.5" customHeight="1">
      <c r="A299" s="313"/>
      <c r="B299" s="314"/>
      <c r="C299" s="307"/>
      <c r="D299" s="309"/>
      <c r="E299" s="315"/>
      <c r="F299" s="316"/>
      <c r="G299" s="317"/>
      <c r="H299" s="321"/>
    </row>
    <row r="300" spans="1:8" ht="16.5" customHeight="1">
      <c r="A300" s="305"/>
      <c r="B300" s="307"/>
      <c r="C300" s="307"/>
      <c r="D300" s="309"/>
      <c r="E300" s="318"/>
      <c r="F300" s="319"/>
      <c r="G300" s="320"/>
      <c r="H300" s="311"/>
    </row>
    <row r="301" spans="1:8">
      <c r="A301" s="305"/>
      <c r="B301" s="307"/>
      <c r="C301" s="307"/>
      <c r="D301" s="309"/>
      <c r="E301" s="309"/>
      <c r="F301" s="309"/>
      <c r="G301" s="309"/>
      <c r="H301" s="311"/>
    </row>
    <row r="302" spans="1:8">
      <c r="A302" s="305"/>
      <c r="B302" s="307"/>
      <c r="C302" s="307"/>
      <c r="D302" s="309"/>
      <c r="E302" s="309"/>
      <c r="F302" s="309"/>
      <c r="G302" s="309"/>
      <c r="H302" s="311"/>
    </row>
    <row r="303" spans="1:8" ht="16.5" customHeight="1">
      <c r="A303" s="313"/>
      <c r="B303" s="314"/>
      <c r="C303" s="307"/>
      <c r="D303" s="309"/>
      <c r="E303" s="315"/>
      <c r="F303" s="316"/>
      <c r="G303" s="317"/>
      <c r="H303" s="311"/>
    </row>
    <row r="304" spans="1:8" ht="16.5" customHeight="1">
      <c r="A304" s="305"/>
      <c r="B304" s="307"/>
      <c r="C304" s="307"/>
      <c r="D304" s="309"/>
      <c r="E304" s="318"/>
      <c r="F304" s="319"/>
      <c r="G304" s="320"/>
      <c r="H304" s="311"/>
    </row>
    <row r="305" spans="1:8" ht="16.5" customHeight="1">
      <c r="A305" s="313"/>
      <c r="B305" s="314"/>
      <c r="C305" s="307"/>
      <c r="D305" s="309"/>
      <c r="E305" s="315"/>
      <c r="F305" s="316"/>
      <c r="G305" s="317"/>
      <c r="H305" s="311"/>
    </row>
    <row r="306" spans="1:8" ht="16.5" customHeight="1">
      <c r="A306" s="305"/>
      <c r="B306" s="307"/>
      <c r="C306" s="307"/>
      <c r="D306" s="309"/>
      <c r="E306" s="318"/>
      <c r="F306" s="319"/>
      <c r="G306" s="320"/>
      <c r="H306" s="311"/>
    </row>
    <row r="307" spans="1:8" ht="16.5" customHeight="1">
      <c r="A307" s="313"/>
      <c r="B307" s="314"/>
      <c r="C307" s="307"/>
      <c r="D307" s="309"/>
      <c r="E307" s="315"/>
      <c r="F307" s="316"/>
      <c r="G307" s="317"/>
      <c r="H307" s="321"/>
    </row>
    <row r="308" spans="1:8" ht="16.5" customHeight="1">
      <c r="A308" s="305"/>
      <c r="B308" s="307"/>
      <c r="C308" s="307"/>
      <c r="D308" s="309"/>
      <c r="E308" s="318"/>
      <c r="F308" s="319"/>
      <c r="G308" s="320"/>
      <c r="H308" s="311"/>
    </row>
    <row r="309" spans="1:8" ht="16.5" customHeight="1">
      <c r="A309" s="313"/>
      <c r="B309" s="314"/>
      <c r="C309" s="307"/>
      <c r="D309" s="309"/>
      <c r="E309" s="315"/>
      <c r="F309" s="316"/>
      <c r="G309" s="317"/>
      <c r="H309" s="321"/>
    </row>
    <row r="310" spans="1:8" ht="16.5" customHeight="1">
      <c r="A310" s="305"/>
      <c r="B310" s="307"/>
      <c r="C310" s="307"/>
      <c r="D310" s="309"/>
      <c r="E310" s="318"/>
      <c r="F310" s="319"/>
      <c r="G310" s="320"/>
      <c r="H310" s="311"/>
    </row>
    <row r="311" spans="1:8">
      <c r="A311" s="305"/>
      <c r="B311" s="307"/>
      <c r="C311" s="307"/>
      <c r="D311" s="309"/>
      <c r="E311" s="309"/>
      <c r="F311" s="309"/>
      <c r="G311" s="309"/>
      <c r="H311" s="311"/>
    </row>
    <row r="312" spans="1:8">
      <c r="A312" s="305"/>
      <c r="B312" s="307"/>
      <c r="C312" s="307"/>
      <c r="D312" s="309"/>
      <c r="E312" s="309"/>
      <c r="F312" s="309"/>
      <c r="G312" s="309"/>
      <c r="H312" s="311"/>
    </row>
    <row r="313" spans="1:8" ht="16.5" customHeight="1">
      <c r="A313" s="313"/>
      <c r="B313" s="314"/>
      <c r="C313" s="307"/>
      <c r="D313" s="309"/>
      <c r="E313" s="315"/>
      <c r="F313" s="316"/>
      <c r="G313" s="317"/>
      <c r="H313" s="311"/>
    </row>
    <row r="314" spans="1:8" ht="16.5" customHeight="1">
      <c r="A314" s="305"/>
      <c r="B314" s="307"/>
      <c r="C314" s="307"/>
      <c r="D314" s="309"/>
      <c r="E314" s="318"/>
      <c r="F314" s="319"/>
      <c r="G314" s="320"/>
      <c r="H314" s="311"/>
    </row>
    <row r="315" spans="1:8" ht="16.5" customHeight="1">
      <c r="A315" s="313"/>
      <c r="B315" s="314"/>
      <c r="C315" s="307"/>
      <c r="D315" s="309"/>
      <c r="E315" s="315"/>
      <c r="F315" s="316"/>
      <c r="G315" s="317"/>
      <c r="H315" s="321"/>
    </row>
    <row r="316" spans="1:8" ht="16.5" customHeight="1">
      <c r="A316" s="305"/>
      <c r="B316" s="307"/>
      <c r="C316" s="307"/>
      <c r="D316" s="309"/>
      <c r="E316" s="318"/>
      <c r="F316" s="319"/>
      <c r="G316" s="320"/>
      <c r="H316" s="311"/>
    </row>
    <row r="317" spans="1:8" ht="16.5" customHeight="1">
      <c r="A317" s="313"/>
      <c r="B317" s="314"/>
      <c r="C317" s="307"/>
      <c r="D317" s="309"/>
      <c r="E317" s="315"/>
      <c r="F317" s="316"/>
      <c r="G317" s="317"/>
      <c r="H317" s="321"/>
    </row>
    <row r="318" spans="1:8" ht="16.5" customHeight="1">
      <c r="A318" s="305"/>
      <c r="B318" s="307"/>
      <c r="C318" s="307"/>
      <c r="D318" s="309"/>
      <c r="E318" s="318"/>
      <c r="F318" s="319"/>
      <c r="G318" s="320"/>
      <c r="H318" s="311"/>
    </row>
    <row r="319" spans="1:8">
      <c r="A319" s="305"/>
      <c r="B319" s="307"/>
      <c r="C319" s="307"/>
      <c r="D319" s="309"/>
      <c r="E319" s="309"/>
      <c r="F319" s="309"/>
      <c r="G319" s="309"/>
      <c r="H319" s="311"/>
    </row>
    <row r="320" spans="1:8">
      <c r="A320" s="305"/>
      <c r="B320" s="307"/>
      <c r="C320" s="307"/>
      <c r="D320" s="309"/>
      <c r="E320" s="309"/>
      <c r="F320" s="309"/>
      <c r="G320" s="309"/>
      <c r="H320" s="311"/>
    </row>
    <row r="321" spans="1:8">
      <c r="A321" s="305"/>
      <c r="B321" s="307"/>
      <c r="C321" s="307"/>
      <c r="D321" s="309"/>
      <c r="E321" s="309"/>
      <c r="F321" s="309"/>
      <c r="G321" s="309"/>
      <c r="H321" s="311"/>
    </row>
    <row r="322" spans="1:8" ht="17.25" thickBot="1">
      <c r="A322" s="306"/>
      <c r="B322" s="308"/>
      <c r="C322" s="308"/>
      <c r="D322" s="310"/>
      <c r="E322" s="310"/>
      <c r="F322" s="310"/>
      <c r="G322" s="310"/>
      <c r="H322" s="312"/>
    </row>
  </sheetData>
  <mergeCells count="973">
    <mergeCell ref="A321:A322"/>
    <mergeCell ref="B321:B322"/>
    <mergeCell ref="C321:C322"/>
    <mergeCell ref="D321:D322"/>
    <mergeCell ref="E321:G322"/>
    <mergeCell ref="H321:H322"/>
    <mergeCell ref="A319:A320"/>
    <mergeCell ref="B319:B320"/>
    <mergeCell ref="C319:C320"/>
    <mergeCell ref="D319:D320"/>
    <mergeCell ref="E319:G320"/>
    <mergeCell ref="H319:H320"/>
    <mergeCell ref="A317:A318"/>
    <mergeCell ref="B317:B318"/>
    <mergeCell ref="C317:C318"/>
    <mergeCell ref="D317:D318"/>
    <mergeCell ref="E317:G318"/>
    <mergeCell ref="H317:H318"/>
    <mergeCell ref="A315:A316"/>
    <mergeCell ref="B315:B316"/>
    <mergeCell ref="C315:C316"/>
    <mergeCell ref="D315:D316"/>
    <mergeCell ref="E315:G316"/>
    <mergeCell ref="H315:H316"/>
    <mergeCell ref="A313:A314"/>
    <mergeCell ref="B313:B314"/>
    <mergeCell ref="C313:C314"/>
    <mergeCell ref="D313:D314"/>
    <mergeCell ref="E313:G314"/>
    <mergeCell ref="H313:H314"/>
    <mergeCell ref="A311:A312"/>
    <mergeCell ref="B311:B312"/>
    <mergeCell ref="C311:C312"/>
    <mergeCell ref="D311:D312"/>
    <mergeCell ref="E311:G312"/>
    <mergeCell ref="H311:H312"/>
    <mergeCell ref="A309:A310"/>
    <mergeCell ref="B309:B310"/>
    <mergeCell ref="C309:C310"/>
    <mergeCell ref="D309:D310"/>
    <mergeCell ref="E309:G310"/>
    <mergeCell ref="H309:H310"/>
    <mergeCell ref="A307:A308"/>
    <mergeCell ref="B307:B308"/>
    <mergeCell ref="C307:C308"/>
    <mergeCell ref="D307:D308"/>
    <mergeCell ref="E307:G308"/>
    <mergeCell ref="H307:H308"/>
    <mergeCell ref="A305:A306"/>
    <mergeCell ref="B305:B306"/>
    <mergeCell ref="C305:C306"/>
    <mergeCell ref="D305:D306"/>
    <mergeCell ref="E305:G306"/>
    <mergeCell ref="H305:H306"/>
    <mergeCell ref="A303:A304"/>
    <mergeCell ref="B303:B304"/>
    <mergeCell ref="C303:C304"/>
    <mergeCell ref="D303:D304"/>
    <mergeCell ref="E303:G304"/>
    <mergeCell ref="H303:H304"/>
    <mergeCell ref="A301:A302"/>
    <mergeCell ref="B301:B302"/>
    <mergeCell ref="C301:C302"/>
    <mergeCell ref="D301:D302"/>
    <mergeCell ref="E301:G302"/>
    <mergeCell ref="H301:H302"/>
    <mergeCell ref="A299:A300"/>
    <mergeCell ref="B299:B300"/>
    <mergeCell ref="C299:C300"/>
    <mergeCell ref="D299:D300"/>
    <mergeCell ref="E299:G300"/>
    <mergeCell ref="H299:H300"/>
    <mergeCell ref="A297:A298"/>
    <mergeCell ref="B297:B298"/>
    <mergeCell ref="C297:C298"/>
    <mergeCell ref="D297:D298"/>
    <mergeCell ref="E297:G298"/>
    <mergeCell ref="H297:H298"/>
    <mergeCell ref="A295:A296"/>
    <mergeCell ref="B295:B296"/>
    <mergeCell ref="C295:C296"/>
    <mergeCell ref="D295:D296"/>
    <mergeCell ref="E295:G296"/>
    <mergeCell ref="H295:H296"/>
    <mergeCell ref="A293:A294"/>
    <mergeCell ref="B293:B294"/>
    <mergeCell ref="C293:C294"/>
    <mergeCell ref="D293:D294"/>
    <mergeCell ref="E293:G294"/>
    <mergeCell ref="H293:H294"/>
    <mergeCell ref="A291:A292"/>
    <mergeCell ref="B291:B292"/>
    <mergeCell ref="C291:C292"/>
    <mergeCell ref="D291:D292"/>
    <mergeCell ref="E291:G292"/>
    <mergeCell ref="H291:H292"/>
    <mergeCell ref="A289:A290"/>
    <mergeCell ref="B289:B290"/>
    <mergeCell ref="C289:C290"/>
    <mergeCell ref="D289:D290"/>
    <mergeCell ref="E289:G290"/>
    <mergeCell ref="H289:H290"/>
    <mergeCell ref="A287:A288"/>
    <mergeCell ref="B287:B288"/>
    <mergeCell ref="C287:C288"/>
    <mergeCell ref="D287:D288"/>
    <mergeCell ref="E287:G288"/>
    <mergeCell ref="H287:H288"/>
    <mergeCell ref="A285:A286"/>
    <mergeCell ref="B285:B286"/>
    <mergeCell ref="C285:C286"/>
    <mergeCell ref="D285:D286"/>
    <mergeCell ref="E285:G286"/>
    <mergeCell ref="H285:H286"/>
    <mergeCell ref="A283:A284"/>
    <mergeCell ref="B283:B284"/>
    <mergeCell ref="C283:C284"/>
    <mergeCell ref="D283:D284"/>
    <mergeCell ref="E283:G284"/>
    <mergeCell ref="H283:H284"/>
    <mergeCell ref="A281:A282"/>
    <mergeCell ref="B281:B282"/>
    <mergeCell ref="C281:C282"/>
    <mergeCell ref="D281:D282"/>
    <mergeCell ref="E281:G282"/>
    <mergeCell ref="H281:H282"/>
    <mergeCell ref="A279:A280"/>
    <mergeCell ref="B279:B280"/>
    <mergeCell ref="C279:C280"/>
    <mergeCell ref="D279:D280"/>
    <mergeCell ref="E279:G280"/>
    <mergeCell ref="H279:H280"/>
    <mergeCell ref="A277:A278"/>
    <mergeCell ref="B277:B278"/>
    <mergeCell ref="C277:C278"/>
    <mergeCell ref="D277:D278"/>
    <mergeCell ref="E277:G278"/>
    <mergeCell ref="H277:H278"/>
    <mergeCell ref="A275:A276"/>
    <mergeCell ref="B275:B276"/>
    <mergeCell ref="C275:C276"/>
    <mergeCell ref="D275:D276"/>
    <mergeCell ref="E275:G276"/>
    <mergeCell ref="H275:H276"/>
    <mergeCell ref="A273:A274"/>
    <mergeCell ref="B273:B274"/>
    <mergeCell ref="C273:C274"/>
    <mergeCell ref="D273:D274"/>
    <mergeCell ref="E273:G274"/>
    <mergeCell ref="H273:H274"/>
    <mergeCell ref="A271:A272"/>
    <mergeCell ref="B271:B272"/>
    <mergeCell ref="C271:C272"/>
    <mergeCell ref="D271:D272"/>
    <mergeCell ref="E271:G272"/>
    <mergeCell ref="H271:H272"/>
    <mergeCell ref="A269:A270"/>
    <mergeCell ref="B269:B270"/>
    <mergeCell ref="C269:C270"/>
    <mergeCell ref="D269:D270"/>
    <mergeCell ref="E269:G270"/>
    <mergeCell ref="H269:H270"/>
    <mergeCell ref="A267:A268"/>
    <mergeCell ref="B267:B268"/>
    <mergeCell ref="C267:C268"/>
    <mergeCell ref="D267:D268"/>
    <mergeCell ref="E267:G268"/>
    <mergeCell ref="H267:H268"/>
    <mergeCell ref="A265:A266"/>
    <mergeCell ref="B265:B266"/>
    <mergeCell ref="C265:C266"/>
    <mergeCell ref="D265:D266"/>
    <mergeCell ref="E265:G266"/>
    <mergeCell ref="H265:H266"/>
    <mergeCell ref="A263:A264"/>
    <mergeCell ref="B263:B264"/>
    <mergeCell ref="C263:C264"/>
    <mergeCell ref="D263:D264"/>
    <mergeCell ref="E263:G264"/>
    <mergeCell ref="H263:H264"/>
    <mergeCell ref="A261:A262"/>
    <mergeCell ref="B261:B262"/>
    <mergeCell ref="C261:C262"/>
    <mergeCell ref="D261:D262"/>
    <mergeCell ref="E261:G262"/>
    <mergeCell ref="H261:H262"/>
    <mergeCell ref="A259:A260"/>
    <mergeCell ref="B259:B260"/>
    <mergeCell ref="C259:C260"/>
    <mergeCell ref="D259:D260"/>
    <mergeCell ref="E259:G260"/>
    <mergeCell ref="H259:H260"/>
    <mergeCell ref="A257:A258"/>
    <mergeCell ref="B257:B258"/>
    <mergeCell ref="C257:C258"/>
    <mergeCell ref="D257:D258"/>
    <mergeCell ref="E257:G258"/>
    <mergeCell ref="H257:H258"/>
    <mergeCell ref="A255:A256"/>
    <mergeCell ref="B255:B256"/>
    <mergeCell ref="C255:C256"/>
    <mergeCell ref="D255:D256"/>
    <mergeCell ref="E255:G256"/>
    <mergeCell ref="H255:H256"/>
    <mergeCell ref="A253:A254"/>
    <mergeCell ref="B253:B254"/>
    <mergeCell ref="C253:C254"/>
    <mergeCell ref="D253:D254"/>
    <mergeCell ref="E253:G254"/>
    <mergeCell ref="H253:H254"/>
    <mergeCell ref="A251:A252"/>
    <mergeCell ref="B251:B252"/>
    <mergeCell ref="C251:C252"/>
    <mergeCell ref="D251:D252"/>
    <mergeCell ref="E251:G252"/>
    <mergeCell ref="H251:H252"/>
    <mergeCell ref="A249:A250"/>
    <mergeCell ref="B249:B250"/>
    <mergeCell ref="C249:C250"/>
    <mergeCell ref="D249:D250"/>
    <mergeCell ref="E249:G250"/>
    <mergeCell ref="H249:H250"/>
    <mergeCell ref="A247:A248"/>
    <mergeCell ref="B247:B248"/>
    <mergeCell ref="C247:C248"/>
    <mergeCell ref="D247:D248"/>
    <mergeCell ref="E247:G248"/>
    <mergeCell ref="H247:H248"/>
    <mergeCell ref="A245:A246"/>
    <mergeCell ref="B245:B246"/>
    <mergeCell ref="C245:C246"/>
    <mergeCell ref="D245:D246"/>
    <mergeCell ref="E245:G246"/>
    <mergeCell ref="H245:H246"/>
    <mergeCell ref="A243:A244"/>
    <mergeCell ref="B243:B244"/>
    <mergeCell ref="C243:C244"/>
    <mergeCell ref="D243:D244"/>
    <mergeCell ref="E243:G244"/>
    <mergeCell ref="H243:H244"/>
    <mergeCell ref="A241:A242"/>
    <mergeCell ref="B241:B242"/>
    <mergeCell ref="C241:C242"/>
    <mergeCell ref="D241:D242"/>
    <mergeCell ref="E241:G242"/>
    <mergeCell ref="H241:H242"/>
    <mergeCell ref="A239:A240"/>
    <mergeCell ref="B239:B240"/>
    <mergeCell ref="C239:C240"/>
    <mergeCell ref="D239:D240"/>
    <mergeCell ref="E239:G240"/>
    <mergeCell ref="H239:H240"/>
    <mergeCell ref="A237:A238"/>
    <mergeCell ref="B237:B238"/>
    <mergeCell ref="C237:C238"/>
    <mergeCell ref="D237:D238"/>
    <mergeCell ref="E237:G238"/>
    <mergeCell ref="H237:H238"/>
    <mergeCell ref="A235:A236"/>
    <mergeCell ref="B235:B236"/>
    <mergeCell ref="C235:C236"/>
    <mergeCell ref="D235:D236"/>
    <mergeCell ref="E235:G236"/>
    <mergeCell ref="H235:H236"/>
    <mergeCell ref="A233:A234"/>
    <mergeCell ref="B233:B234"/>
    <mergeCell ref="C233:C234"/>
    <mergeCell ref="D233:D234"/>
    <mergeCell ref="E233:G234"/>
    <mergeCell ref="H233:H234"/>
    <mergeCell ref="A231:A232"/>
    <mergeCell ref="B231:B232"/>
    <mergeCell ref="C231:C232"/>
    <mergeCell ref="D231:D232"/>
    <mergeCell ref="E231:G232"/>
    <mergeCell ref="H231:H232"/>
    <mergeCell ref="A229:A230"/>
    <mergeCell ref="B229:B230"/>
    <mergeCell ref="C229:C230"/>
    <mergeCell ref="D229:D230"/>
    <mergeCell ref="E229:G230"/>
    <mergeCell ref="H229:H230"/>
    <mergeCell ref="A227:A228"/>
    <mergeCell ref="B227:B228"/>
    <mergeCell ref="C227:C228"/>
    <mergeCell ref="D227:D228"/>
    <mergeCell ref="E227:G228"/>
    <mergeCell ref="H227:H228"/>
    <mergeCell ref="A225:A226"/>
    <mergeCell ref="B225:B226"/>
    <mergeCell ref="C225:C226"/>
    <mergeCell ref="D225:D226"/>
    <mergeCell ref="E225:G226"/>
    <mergeCell ref="H225:H226"/>
    <mergeCell ref="A223:A224"/>
    <mergeCell ref="B223:B224"/>
    <mergeCell ref="C223:C224"/>
    <mergeCell ref="D223:D224"/>
    <mergeCell ref="E223:G224"/>
    <mergeCell ref="H223:H224"/>
    <mergeCell ref="A221:A222"/>
    <mergeCell ref="B221:B222"/>
    <mergeCell ref="C221:C222"/>
    <mergeCell ref="D221:D222"/>
    <mergeCell ref="E221:G222"/>
    <mergeCell ref="H221:H222"/>
    <mergeCell ref="A219:A220"/>
    <mergeCell ref="B219:B220"/>
    <mergeCell ref="C219:C220"/>
    <mergeCell ref="D219:D220"/>
    <mergeCell ref="E219:G220"/>
    <mergeCell ref="H219:H220"/>
    <mergeCell ref="A217:A218"/>
    <mergeCell ref="B217:B218"/>
    <mergeCell ref="C217:C218"/>
    <mergeCell ref="D217:D218"/>
    <mergeCell ref="E217:G218"/>
    <mergeCell ref="H217:H218"/>
    <mergeCell ref="A215:A216"/>
    <mergeCell ref="B215:B216"/>
    <mergeCell ref="C215:C216"/>
    <mergeCell ref="D215:D216"/>
    <mergeCell ref="E215:G216"/>
    <mergeCell ref="H215:H216"/>
    <mergeCell ref="A213:A214"/>
    <mergeCell ref="B213:B214"/>
    <mergeCell ref="C213:C214"/>
    <mergeCell ref="D213:D214"/>
    <mergeCell ref="E213:G214"/>
    <mergeCell ref="H213:H214"/>
    <mergeCell ref="A211:A212"/>
    <mergeCell ref="B211:B212"/>
    <mergeCell ref="C211:C212"/>
    <mergeCell ref="D211:D212"/>
    <mergeCell ref="E211:G212"/>
    <mergeCell ref="H211:H212"/>
    <mergeCell ref="A209:A210"/>
    <mergeCell ref="B209:B210"/>
    <mergeCell ref="C209:C210"/>
    <mergeCell ref="D209:D210"/>
    <mergeCell ref="E209:G210"/>
    <mergeCell ref="H209:H210"/>
    <mergeCell ref="A207:A208"/>
    <mergeCell ref="B207:B208"/>
    <mergeCell ref="C207:C208"/>
    <mergeCell ref="D207:D208"/>
    <mergeCell ref="E207:G208"/>
    <mergeCell ref="H207:H208"/>
    <mergeCell ref="A205:A206"/>
    <mergeCell ref="B205:B206"/>
    <mergeCell ref="C205:C206"/>
    <mergeCell ref="D205:D206"/>
    <mergeCell ref="E205:G206"/>
    <mergeCell ref="H205:H206"/>
    <mergeCell ref="A203:A204"/>
    <mergeCell ref="B203:B204"/>
    <mergeCell ref="C203:C204"/>
    <mergeCell ref="D203:D204"/>
    <mergeCell ref="E203:G204"/>
    <mergeCell ref="H203:H204"/>
    <mergeCell ref="A201:A202"/>
    <mergeCell ref="B201:B202"/>
    <mergeCell ref="C201:C202"/>
    <mergeCell ref="D201:D202"/>
    <mergeCell ref="E201:G202"/>
    <mergeCell ref="H201:H202"/>
    <mergeCell ref="A199:A200"/>
    <mergeCell ref="B199:B200"/>
    <mergeCell ref="C199:C200"/>
    <mergeCell ref="D199:D200"/>
    <mergeCell ref="E199:G200"/>
    <mergeCell ref="H199:H200"/>
    <mergeCell ref="A197:A198"/>
    <mergeCell ref="B197:B198"/>
    <mergeCell ref="C197:C198"/>
    <mergeCell ref="D197:D198"/>
    <mergeCell ref="E197:G198"/>
    <mergeCell ref="H197:H198"/>
    <mergeCell ref="A195:A196"/>
    <mergeCell ref="B195:B196"/>
    <mergeCell ref="C195:C196"/>
    <mergeCell ref="D195:D196"/>
    <mergeCell ref="E195:G196"/>
    <mergeCell ref="H195:H196"/>
    <mergeCell ref="A193:A194"/>
    <mergeCell ref="B193:B194"/>
    <mergeCell ref="C193:C194"/>
    <mergeCell ref="D193:D194"/>
    <mergeCell ref="E193:G194"/>
    <mergeCell ref="H193:H194"/>
    <mergeCell ref="A191:A192"/>
    <mergeCell ref="B191:B192"/>
    <mergeCell ref="C191:C192"/>
    <mergeCell ref="D191:D192"/>
    <mergeCell ref="E191:G192"/>
    <mergeCell ref="H191:H192"/>
    <mergeCell ref="A189:A190"/>
    <mergeCell ref="B189:B190"/>
    <mergeCell ref="C189:C190"/>
    <mergeCell ref="D189:D190"/>
    <mergeCell ref="E189:G190"/>
    <mergeCell ref="H189:H190"/>
    <mergeCell ref="A187:A188"/>
    <mergeCell ref="B187:B188"/>
    <mergeCell ref="C187:C188"/>
    <mergeCell ref="D187:D188"/>
    <mergeCell ref="E187:G188"/>
    <mergeCell ref="H187:H188"/>
    <mergeCell ref="A185:A186"/>
    <mergeCell ref="B185:B186"/>
    <mergeCell ref="C185:C186"/>
    <mergeCell ref="D185:D186"/>
    <mergeCell ref="E185:G186"/>
    <mergeCell ref="H185:H186"/>
    <mergeCell ref="A183:A184"/>
    <mergeCell ref="B183:B184"/>
    <mergeCell ref="C183:C184"/>
    <mergeCell ref="D183:D184"/>
    <mergeCell ref="E183:G184"/>
    <mergeCell ref="H183:H184"/>
    <mergeCell ref="A181:A182"/>
    <mergeCell ref="B181:B182"/>
    <mergeCell ref="C181:C182"/>
    <mergeCell ref="D181:D182"/>
    <mergeCell ref="E181:G182"/>
    <mergeCell ref="H181:H182"/>
    <mergeCell ref="A179:A180"/>
    <mergeCell ref="B179:B180"/>
    <mergeCell ref="C179:C180"/>
    <mergeCell ref="D179:D180"/>
    <mergeCell ref="E179:G180"/>
    <mergeCell ref="H179:H180"/>
    <mergeCell ref="A177:A178"/>
    <mergeCell ref="B177:B178"/>
    <mergeCell ref="C177:C178"/>
    <mergeCell ref="D177:D178"/>
    <mergeCell ref="E177:G178"/>
    <mergeCell ref="H177:H178"/>
    <mergeCell ref="A175:A176"/>
    <mergeCell ref="B175:B176"/>
    <mergeCell ref="C175:C176"/>
    <mergeCell ref="D175:D176"/>
    <mergeCell ref="E175:G176"/>
    <mergeCell ref="H175:H176"/>
    <mergeCell ref="A173:A174"/>
    <mergeCell ref="B173:B174"/>
    <mergeCell ref="C173:C174"/>
    <mergeCell ref="D173:D174"/>
    <mergeCell ref="E173:G174"/>
    <mergeCell ref="H173:H174"/>
    <mergeCell ref="A171:A172"/>
    <mergeCell ref="B171:B172"/>
    <mergeCell ref="C171:C172"/>
    <mergeCell ref="D171:D172"/>
    <mergeCell ref="E171:G172"/>
    <mergeCell ref="H171:H172"/>
    <mergeCell ref="A169:A170"/>
    <mergeCell ref="B169:B170"/>
    <mergeCell ref="C169:C170"/>
    <mergeCell ref="D169:D170"/>
    <mergeCell ref="E169:G170"/>
    <mergeCell ref="H169:H170"/>
    <mergeCell ref="A167:A168"/>
    <mergeCell ref="B167:B168"/>
    <mergeCell ref="C167:C168"/>
    <mergeCell ref="D167:D168"/>
    <mergeCell ref="E167:G168"/>
    <mergeCell ref="H167:H168"/>
    <mergeCell ref="A165:A166"/>
    <mergeCell ref="B165:B166"/>
    <mergeCell ref="C165:C166"/>
    <mergeCell ref="D165:D166"/>
    <mergeCell ref="E165:G166"/>
    <mergeCell ref="H165:H166"/>
    <mergeCell ref="A163:A164"/>
    <mergeCell ref="B163:B164"/>
    <mergeCell ref="C163:C164"/>
    <mergeCell ref="D163:D164"/>
    <mergeCell ref="E163:G164"/>
    <mergeCell ref="H163:H164"/>
    <mergeCell ref="A161:A162"/>
    <mergeCell ref="B161:B162"/>
    <mergeCell ref="C161:C162"/>
    <mergeCell ref="D161:D162"/>
    <mergeCell ref="E161:G162"/>
    <mergeCell ref="H161:H162"/>
    <mergeCell ref="A159:A160"/>
    <mergeCell ref="B159:B160"/>
    <mergeCell ref="C159:C160"/>
    <mergeCell ref="D159:D160"/>
    <mergeCell ref="E159:G160"/>
    <mergeCell ref="H159:H160"/>
    <mergeCell ref="A157:A158"/>
    <mergeCell ref="B157:B158"/>
    <mergeCell ref="C157:C158"/>
    <mergeCell ref="D157:D158"/>
    <mergeCell ref="E157:G158"/>
    <mergeCell ref="H157:H158"/>
    <mergeCell ref="A155:A156"/>
    <mergeCell ref="B155:B156"/>
    <mergeCell ref="C155:C156"/>
    <mergeCell ref="D155:D156"/>
    <mergeCell ref="E155:G156"/>
    <mergeCell ref="H155:H156"/>
    <mergeCell ref="A153:A154"/>
    <mergeCell ref="B153:B154"/>
    <mergeCell ref="C153:C154"/>
    <mergeCell ref="D153:D154"/>
    <mergeCell ref="E153:G154"/>
    <mergeCell ref="H153:H154"/>
    <mergeCell ref="A151:A152"/>
    <mergeCell ref="B151:B152"/>
    <mergeCell ref="C151:C152"/>
    <mergeCell ref="D151:D152"/>
    <mergeCell ref="E151:G152"/>
    <mergeCell ref="H151:H152"/>
    <mergeCell ref="A149:A150"/>
    <mergeCell ref="B149:B150"/>
    <mergeCell ref="C149:C150"/>
    <mergeCell ref="D149:D150"/>
    <mergeCell ref="E149:G150"/>
    <mergeCell ref="H149:H150"/>
    <mergeCell ref="A147:A148"/>
    <mergeCell ref="B147:B148"/>
    <mergeCell ref="C147:C148"/>
    <mergeCell ref="D147:D148"/>
    <mergeCell ref="E147:G148"/>
    <mergeCell ref="H147:H148"/>
    <mergeCell ref="A145:A146"/>
    <mergeCell ref="B145:B146"/>
    <mergeCell ref="C145:C146"/>
    <mergeCell ref="D145:D146"/>
    <mergeCell ref="E145:G146"/>
    <mergeCell ref="H145:H146"/>
    <mergeCell ref="A143:A144"/>
    <mergeCell ref="B143:B144"/>
    <mergeCell ref="C143:C144"/>
    <mergeCell ref="D143:D144"/>
    <mergeCell ref="E143:G144"/>
    <mergeCell ref="H143:H144"/>
    <mergeCell ref="A141:A142"/>
    <mergeCell ref="B141:B142"/>
    <mergeCell ref="C141:C142"/>
    <mergeCell ref="D141:D142"/>
    <mergeCell ref="E141:G142"/>
    <mergeCell ref="H141:H142"/>
    <mergeCell ref="A139:A140"/>
    <mergeCell ref="B139:B140"/>
    <mergeCell ref="C139:C140"/>
    <mergeCell ref="D139:D140"/>
    <mergeCell ref="E139:G140"/>
    <mergeCell ref="H139:H140"/>
    <mergeCell ref="A137:A138"/>
    <mergeCell ref="B137:B138"/>
    <mergeCell ref="C137:C138"/>
    <mergeCell ref="D137:D138"/>
    <mergeCell ref="E137:G138"/>
    <mergeCell ref="H137:H138"/>
    <mergeCell ref="A135:A136"/>
    <mergeCell ref="B135:B136"/>
    <mergeCell ref="C135:C136"/>
    <mergeCell ref="D135:D136"/>
    <mergeCell ref="E135:G136"/>
    <mergeCell ref="H135:H136"/>
    <mergeCell ref="A133:A134"/>
    <mergeCell ref="B133:B134"/>
    <mergeCell ref="C133:C134"/>
    <mergeCell ref="D133:D134"/>
    <mergeCell ref="E133:G134"/>
    <mergeCell ref="H133:H134"/>
    <mergeCell ref="A131:A132"/>
    <mergeCell ref="B131:B132"/>
    <mergeCell ref="C131:C132"/>
    <mergeCell ref="D131:D132"/>
    <mergeCell ref="E131:G132"/>
    <mergeCell ref="H131:H132"/>
    <mergeCell ref="A129:A130"/>
    <mergeCell ref="B129:B130"/>
    <mergeCell ref="C129:C130"/>
    <mergeCell ref="D129:D130"/>
    <mergeCell ref="E129:G130"/>
    <mergeCell ref="H129:H130"/>
    <mergeCell ref="A127:A128"/>
    <mergeCell ref="B127:B128"/>
    <mergeCell ref="C127:C128"/>
    <mergeCell ref="D127:D128"/>
    <mergeCell ref="E127:G128"/>
    <mergeCell ref="H127:H128"/>
    <mergeCell ref="A125:A126"/>
    <mergeCell ref="B125:B126"/>
    <mergeCell ref="C125:C126"/>
    <mergeCell ref="D125:D126"/>
    <mergeCell ref="E125:G126"/>
    <mergeCell ref="H125:H126"/>
    <mergeCell ref="A123:A124"/>
    <mergeCell ref="B123:B124"/>
    <mergeCell ref="C123:C124"/>
    <mergeCell ref="D123:D124"/>
    <mergeCell ref="E123:G124"/>
    <mergeCell ref="H123:H124"/>
    <mergeCell ref="A121:A122"/>
    <mergeCell ref="B121:B122"/>
    <mergeCell ref="C121:C122"/>
    <mergeCell ref="D121:D122"/>
    <mergeCell ref="E121:G122"/>
    <mergeCell ref="H121:H122"/>
    <mergeCell ref="A119:A120"/>
    <mergeCell ref="B119:B120"/>
    <mergeCell ref="C119:C120"/>
    <mergeCell ref="D119:D120"/>
    <mergeCell ref="E119:G120"/>
    <mergeCell ref="H119:H120"/>
    <mergeCell ref="A117:A118"/>
    <mergeCell ref="B117:B118"/>
    <mergeCell ref="C117:C118"/>
    <mergeCell ref="D117:D118"/>
    <mergeCell ref="E117:G118"/>
    <mergeCell ref="H117:H118"/>
    <mergeCell ref="A115:A116"/>
    <mergeCell ref="B115:B116"/>
    <mergeCell ref="C115:C116"/>
    <mergeCell ref="D115:D116"/>
    <mergeCell ref="E115:G116"/>
    <mergeCell ref="H115:H116"/>
    <mergeCell ref="A113:A114"/>
    <mergeCell ref="B113:B114"/>
    <mergeCell ref="C113:C114"/>
    <mergeCell ref="D113:D114"/>
    <mergeCell ref="E113:G114"/>
    <mergeCell ref="H113:H114"/>
    <mergeCell ref="A111:A112"/>
    <mergeCell ref="B111:B112"/>
    <mergeCell ref="C111:C112"/>
    <mergeCell ref="D111:D112"/>
    <mergeCell ref="E111:G112"/>
    <mergeCell ref="H111:H112"/>
    <mergeCell ref="A109:A110"/>
    <mergeCell ref="B109:B110"/>
    <mergeCell ref="C109:C110"/>
    <mergeCell ref="D109:D110"/>
    <mergeCell ref="E109:G110"/>
    <mergeCell ref="H109:H110"/>
    <mergeCell ref="A107:A108"/>
    <mergeCell ref="B107:B108"/>
    <mergeCell ref="C107:C108"/>
    <mergeCell ref="D107:D108"/>
    <mergeCell ref="E107:G108"/>
    <mergeCell ref="H107:H108"/>
    <mergeCell ref="A105:A106"/>
    <mergeCell ref="B105:B106"/>
    <mergeCell ref="C105:C106"/>
    <mergeCell ref="D105:D106"/>
    <mergeCell ref="E105:G106"/>
    <mergeCell ref="H105:H106"/>
    <mergeCell ref="A103:A104"/>
    <mergeCell ref="B103:B104"/>
    <mergeCell ref="C103:C104"/>
    <mergeCell ref="D103:D104"/>
    <mergeCell ref="E103:G104"/>
    <mergeCell ref="H103:H104"/>
    <mergeCell ref="A101:A102"/>
    <mergeCell ref="B101:B102"/>
    <mergeCell ref="C101:C102"/>
    <mergeCell ref="D101:D102"/>
    <mergeCell ref="E101:G102"/>
    <mergeCell ref="H101:H102"/>
    <mergeCell ref="A99:A100"/>
    <mergeCell ref="B99:B100"/>
    <mergeCell ref="C99:C100"/>
    <mergeCell ref="D99:D100"/>
    <mergeCell ref="E99:G100"/>
    <mergeCell ref="H99:H100"/>
    <mergeCell ref="A97:A98"/>
    <mergeCell ref="B97:B98"/>
    <mergeCell ref="C97:C98"/>
    <mergeCell ref="D97:D98"/>
    <mergeCell ref="E97:G98"/>
    <mergeCell ref="H97:H98"/>
    <mergeCell ref="A95:A96"/>
    <mergeCell ref="B95:B96"/>
    <mergeCell ref="C95:C96"/>
    <mergeCell ref="D95:D96"/>
    <mergeCell ref="E95:G96"/>
    <mergeCell ref="H95:H96"/>
    <mergeCell ref="A93:A94"/>
    <mergeCell ref="B93:B94"/>
    <mergeCell ref="C93:C94"/>
    <mergeCell ref="D93:D94"/>
    <mergeCell ref="E93:G94"/>
    <mergeCell ref="H93:H94"/>
    <mergeCell ref="A91:A92"/>
    <mergeCell ref="B91:B92"/>
    <mergeCell ref="C91:C92"/>
    <mergeCell ref="D91:D92"/>
    <mergeCell ref="E91:G92"/>
    <mergeCell ref="H91:H92"/>
    <mergeCell ref="A89:A90"/>
    <mergeCell ref="B89:B90"/>
    <mergeCell ref="C89:C90"/>
    <mergeCell ref="D89:D90"/>
    <mergeCell ref="E89:G90"/>
    <mergeCell ref="H89:H90"/>
    <mergeCell ref="A87:A88"/>
    <mergeCell ref="B87:B88"/>
    <mergeCell ref="C87:C88"/>
    <mergeCell ref="D87:D88"/>
    <mergeCell ref="E87:G88"/>
    <mergeCell ref="H87:H88"/>
    <mergeCell ref="A85:A86"/>
    <mergeCell ref="B85:B86"/>
    <mergeCell ref="C85:C86"/>
    <mergeCell ref="D85:D86"/>
    <mergeCell ref="E85:G86"/>
    <mergeCell ref="H85:H86"/>
    <mergeCell ref="A83:A84"/>
    <mergeCell ref="B83:B84"/>
    <mergeCell ref="C83:C84"/>
    <mergeCell ref="D83:D84"/>
    <mergeCell ref="E83:G84"/>
    <mergeCell ref="H83:H84"/>
    <mergeCell ref="A81:A82"/>
    <mergeCell ref="B81:B82"/>
    <mergeCell ref="C81:C82"/>
    <mergeCell ref="D81:D82"/>
    <mergeCell ref="E81:G82"/>
    <mergeCell ref="H81:H82"/>
    <mergeCell ref="A79:A80"/>
    <mergeCell ref="B79:B80"/>
    <mergeCell ref="C79:C80"/>
    <mergeCell ref="D79:D80"/>
    <mergeCell ref="E79:G80"/>
    <mergeCell ref="H79:H80"/>
    <mergeCell ref="A77:A78"/>
    <mergeCell ref="B77:B78"/>
    <mergeCell ref="C77:C78"/>
    <mergeCell ref="D77:D78"/>
    <mergeCell ref="E77:G78"/>
    <mergeCell ref="H77:H78"/>
    <mergeCell ref="A75:A76"/>
    <mergeCell ref="B75:B76"/>
    <mergeCell ref="C75:C76"/>
    <mergeCell ref="D75:D76"/>
    <mergeCell ref="E75:G76"/>
    <mergeCell ref="H75:H76"/>
    <mergeCell ref="A73:A74"/>
    <mergeCell ref="B73:B74"/>
    <mergeCell ref="C73:C74"/>
    <mergeCell ref="D73:D74"/>
    <mergeCell ref="E73:G74"/>
    <mergeCell ref="H73:H74"/>
    <mergeCell ref="A71:A72"/>
    <mergeCell ref="B71:B72"/>
    <mergeCell ref="C71:C72"/>
    <mergeCell ref="D71:D72"/>
    <mergeCell ref="E71:G72"/>
    <mergeCell ref="H71:H72"/>
    <mergeCell ref="A69:A70"/>
    <mergeCell ref="B69:B70"/>
    <mergeCell ref="C69:C70"/>
    <mergeCell ref="D69:D70"/>
    <mergeCell ref="E69:G70"/>
    <mergeCell ref="H69:H70"/>
    <mergeCell ref="A67:A68"/>
    <mergeCell ref="B67:B68"/>
    <mergeCell ref="C67:C68"/>
    <mergeCell ref="D67:D68"/>
    <mergeCell ref="E67:G68"/>
    <mergeCell ref="H67:H68"/>
    <mergeCell ref="A65:A66"/>
    <mergeCell ref="B65:B66"/>
    <mergeCell ref="C65:C66"/>
    <mergeCell ref="D65:D66"/>
    <mergeCell ref="E65:G66"/>
    <mergeCell ref="H65:H66"/>
    <mergeCell ref="A63:A64"/>
    <mergeCell ref="B63:B64"/>
    <mergeCell ref="C63:C64"/>
    <mergeCell ref="D63:D64"/>
    <mergeCell ref="E63:G64"/>
    <mergeCell ref="H63:H64"/>
    <mergeCell ref="A61:A62"/>
    <mergeCell ref="B61:B62"/>
    <mergeCell ref="C61:C62"/>
    <mergeCell ref="D61:D62"/>
    <mergeCell ref="E61:G62"/>
    <mergeCell ref="H61:H62"/>
    <mergeCell ref="A59:A60"/>
    <mergeCell ref="B59:B60"/>
    <mergeCell ref="C59:C60"/>
    <mergeCell ref="D59:D60"/>
    <mergeCell ref="E59:G60"/>
    <mergeCell ref="H59:H60"/>
    <mergeCell ref="A57:A58"/>
    <mergeCell ref="B57:B58"/>
    <mergeCell ref="C57:C58"/>
    <mergeCell ref="D57:D58"/>
    <mergeCell ref="E57:G58"/>
    <mergeCell ref="H57:H58"/>
    <mergeCell ref="A55:A56"/>
    <mergeCell ref="B55:B56"/>
    <mergeCell ref="C55:C56"/>
    <mergeCell ref="D55:D56"/>
    <mergeCell ref="E55:G56"/>
    <mergeCell ref="H55:H56"/>
    <mergeCell ref="A53:A54"/>
    <mergeCell ref="B53:B54"/>
    <mergeCell ref="C53:C54"/>
    <mergeCell ref="D53:D54"/>
    <mergeCell ref="E53:G54"/>
    <mergeCell ref="H53:H54"/>
    <mergeCell ref="A51:A52"/>
    <mergeCell ref="B51:B52"/>
    <mergeCell ref="C51:C52"/>
    <mergeCell ref="D51:D52"/>
    <mergeCell ref="E51:G52"/>
    <mergeCell ref="H51:H52"/>
    <mergeCell ref="A49:A50"/>
    <mergeCell ref="B49:B50"/>
    <mergeCell ref="C49:C50"/>
    <mergeCell ref="D49:D50"/>
    <mergeCell ref="E49:G50"/>
    <mergeCell ref="H49:H50"/>
    <mergeCell ref="A47:A48"/>
    <mergeCell ref="B47:B48"/>
    <mergeCell ref="C47:C48"/>
    <mergeCell ref="D47:D48"/>
    <mergeCell ref="E47:G48"/>
    <mergeCell ref="H47:H48"/>
    <mergeCell ref="A45:A46"/>
    <mergeCell ref="B45:B46"/>
    <mergeCell ref="C45:C46"/>
    <mergeCell ref="D45:D46"/>
    <mergeCell ref="E45:G46"/>
    <mergeCell ref="H45:H46"/>
    <mergeCell ref="A43:A44"/>
    <mergeCell ref="B43:B44"/>
    <mergeCell ref="C43:C44"/>
    <mergeCell ref="D43:D44"/>
    <mergeCell ref="E43:G44"/>
    <mergeCell ref="H43:H44"/>
    <mergeCell ref="A41:A42"/>
    <mergeCell ref="B41:B42"/>
    <mergeCell ref="C41:C42"/>
    <mergeCell ref="D41:D42"/>
    <mergeCell ref="E41:G42"/>
    <mergeCell ref="H41:H42"/>
    <mergeCell ref="A39:A40"/>
    <mergeCell ref="B39:B40"/>
    <mergeCell ref="C39:C40"/>
    <mergeCell ref="D39:D40"/>
    <mergeCell ref="E39:G40"/>
    <mergeCell ref="H39:H40"/>
    <mergeCell ref="A37:A38"/>
    <mergeCell ref="B37:B38"/>
    <mergeCell ref="C37:C38"/>
    <mergeCell ref="D37:D38"/>
    <mergeCell ref="E37:G38"/>
    <mergeCell ref="H37:H38"/>
    <mergeCell ref="A35:A36"/>
    <mergeCell ref="B35:B36"/>
    <mergeCell ref="C35:C36"/>
    <mergeCell ref="D35:D36"/>
    <mergeCell ref="E35:G36"/>
    <mergeCell ref="H35:H36"/>
    <mergeCell ref="A33:A34"/>
    <mergeCell ref="B33:B34"/>
    <mergeCell ref="C33:C34"/>
    <mergeCell ref="D33:D34"/>
    <mergeCell ref="E33:G34"/>
    <mergeCell ref="H33:H34"/>
    <mergeCell ref="A31:A32"/>
    <mergeCell ref="B31:B32"/>
    <mergeCell ref="C31:C32"/>
    <mergeCell ref="D31:D32"/>
    <mergeCell ref="E31:G32"/>
    <mergeCell ref="H31:H32"/>
    <mergeCell ref="A29:A30"/>
    <mergeCell ref="B29:B30"/>
    <mergeCell ref="C29:C30"/>
    <mergeCell ref="D29:D30"/>
    <mergeCell ref="E29:G30"/>
    <mergeCell ref="H29:H30"/>
    <mergeCell ref="A27:A28"/>
    <mergeCell ref="B27:B28"/>
    <mergeCell ref="C27:C28"/>
    <mergeCell ref="D27:D28"/>
    <mergeCell ref="E27:G28"/>
    <mergeCell ref="H27:H28"/>
    <mergeCell ref="A25:A26"/>
    <mergeCell ref="B25:B26"/>
    <mergeCell ref="C25:C26"/>
    <mergeCell ref="D25:D26"/>
    <mergeCell ref="E25:G26"/>
    <mergeCell ref="H25:H26"/>
    <mergeCell ref="A23:A24"/>
    <mergeCell ref="B23:B24"/>
    <mergeCell ref="C23:C24"/>
    <mergeCell ref="D23:D24"/>
    <mergeCell ref="E23:G24"/>
    <mergeCell ref="H23:H24"/>
    <mergeCell ref="A21:A22"/>
    <mergeCell ref="B21:B22"/>
    <mergeCell ref="C21:C22"/>
    <mergeCell ref="D21:D22"/>
    <mergeCell ref="E21:G22"/>
    <mergeCell ref="H21:H22"/>
    <mergeCell ref="A19:A20"/>
    <mergeCell ref="B19:B20"/>
    <mergeCell ref="C19:C20"/>
    <mergeCell ref="D19:D20"/>
    <mergeCell ref="E19:G20"/>
    <mergeCell ref="H19:H20"/>
    <mergeCell ref="A17:A18"/>
    <mergeCell ref="B17:B18"/>
    <mergeCell ref="C17:C18"/>
    <mergeCell ref="D17:D18"/>
    <mergeCell ref="E17:G18"/>
    <mergeCell ref="H17:H18"/>
    <mergeCell ref="A15:A16"/>
    <mergeCell ref="B15:B16"/>
    <mergeCell ref="C15:C16"/>
    <mergeCell ref="D15:D16"/>
    <mergeCell ref="E15:G16"/>
    <mergeCell ref="H15:H16"/>
    <mergeCell ref="A13:A14"/>
    <mergeCell ref="B13:B14"/>
    <mergeCell ref="C13:C14"/>
    <mergeCell ref="D13:D14"/>
    <mergeCell ref="E13:G14"/>
    <mergeCell ref="H13:H14"/>
    <mergeCell ref="A11:A12"/>
    <mergeCell ref="B11:B12"/>
    <mergeCell ref="C11:C12"/>
    <mergeCell ref="D11:D12"/>
    <mergeCell ref="E11:G12"/>
    <mergeCell ref="H11:H12"/>
    <mergeCell ref="A9:A10"/>
    <mergeCell ref="B9:B10"/>
    <mergeCell ref="C9:C10"/>
    <mergeCell ref="D9:D10"/>
    <mergeCell ref="E9:G10"/>
    <mergeCell ref="H9:H10"/>
    <mergeCell ref="A7:A8"/>
    <mergeCell ref="B7:B8"/>
    <mergeCell ref="C7:C8"/>
    <mergeCell ref="D7:D8"/>
    <mergeCell ref="E7:G8"/>
    <mergeCell ref="H7:H8"/>
    <mergeCell ref="A5:A6"/>
    <mergeCell ref="B5:B6"/>
    <mergeCell ref="C5:C6"/>
    <mergeCell ref="D5:D6"/>
    <mergeCell ref="E5:G6"/>
    <mergeCell ref="H5:H6"/>
    <mergeCell ref="A3:A4"/>
    <mergeCell ref="B3:B4"/>
    <mergeCell ref="C3:C4"/>
    <mergeCell ref="D3:D4"/>
    <mergeCell ref="E3:G4"/>
    <mergeCell ref="H3:H4"/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</mergeCells>
  <phoneticPr fontId="1" type="noConversion"/>
  <pageMargins left="0" right="0" top="0" bottom="0" header="0" footer="0"/>
  <pageSetup paperSize="9" scale="3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320"/>
  <sheetViews>
    <sheetView showGridLines="0" zoomScale="115" zoomScaleNormal="115" workbookViewId="0">
      <pane xSplit="8" ySplit="2" topLeftCell="I57" activePane="bottomRight" state="frozen"/>
      <selection pane="topRight" activeCell="I1" sqref="I1"/>
      <selection pane="bottomLeft" activeCell="A3" sqref="A3"/>
      <selection pane="bottomRight" activeCell="A109" sqref="A3:A110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9" max="9" width="9.5" bestFit="1" customWidth="1"/>
    <col min="11" max="11" width="9.5" bestFit="1" customWidth="1"/>
    <col min="12" max="12" width="11" bestFit="1" customWidth="1"/>
  </cols>
  <sheetData>
    <row r="1" spans="1:18" ht="35.25" customHeight="1" thickBot="1">
      <c r="A1" s="388" t="s">
        <v>469</v>
      </c>
      <c r="B1" s="389"/>
      <c r="C1" s="402" t="s">
        <v>27</v>
      </c>
      <c r="D1" s="403"/>
      <c r="E1" s="21" t="s">
        <v>26</v>
      </c>
      <c r="F1" s="20">
        <f>H1/30</f>
        <v>599233.33333333337</v>
      </c>
      <c r="G1" s="21" t="s">
        <v>4</v>
      </c>
      <c r="H1" s="22">
        <f>SUM(D3:D320)</f>
        <v>17977000</v>
      </c>
      <c r="I1" s="392"/>
      <c r="J1" s="338"/>
      <c r="K1" s="394"/>
      <c r="L1" s="396"/>
      <c r="M1" s="377"/>
      <c r="N1" s="379"/>
      <c r="O1" s="381"/>
      <c r="P1" s="383"/>
      <c r="Q1" s="377"/>
      <c r="R1" s="376"/>
    </row>
    <row r="2" spans="1:18" ht="17.25" thickBot="1">
      <c r="A2" s="27" t="s">
        <v>0</v>
      </c>
      <c r="B2" s="28" t="s">
        <v>1</v>
      </c>
      <c r="C2" s="28" t="s">
        <v>2</v>
      </c>
      <c r="D2" s="29" t="s">
        <v>3</v>
      </c>
      <c r="E2" s="385" t="s">
        <v>25</v>
      </c>
      <c r="F2" s="386"/>
      <c r="G2" s="387"/>
      <c r="H2" s="25" t="s">
        <v>5</v>
      </c>
      <c r="I2" s="393"/>
      <c r="J2" s="333"/>
      <c r="K2" s="395"/>
      <c r="L2" s="397"/>
      <c r="M2" s="378"/>
      <c r="N2" s="380"/>
      <c r="O2" s="382"/>
      <c r="P2" s="384"/>
      <c r="Q2" s="378"/>
      <c r="R2" s="376"/>
    </row>
    <row r="3" spans="1:18" ht="16.5" customHeight="1">
      <c r="A3" s="322" t="s">
        <v>372</v>
      </c>
      <c r="B3" s="324" t="s">
        <v>373</v>
      </c>
      <c r="C3" s="325" t="s">
        <v>374</v>
      </c>
      <c r="D3" s="326">
        <v>3435000</v>
      </c>
      <c r="E3" s="327"/>
      <c r="F3" s="328"/>
      <c r="G3" s="329"/>
      <c r="H3" s="359" t="s">
        <v>378</v>
      </c>
    </row>
    <row r="4" spans="1:18" ht="16.5" customHeight="1">
      <c r="A4" s="323"/>
      <c r="B4" s="325"/>
      <c r="C4" s="325"/>
      <c r="D4" s="326"/>
      <c r="E4" s="330"/>
      <c r="F4" s="331"/>
      <c r="G4" s="332"/>
      <c r="H4" s="359"/>
    </row>
    <row r="5" spans="1:18" ht="16.5" customHeight="1">
      <c r="A5" s="335" t="s">
        <v>375</v>
      </c>
      <c r="B5" s="341" t="s">
        <v>376</v>
      </c>
      <c r="C5" s="353" t="s">
        <v>377</v>
      </c>
      <c r="D5" s="343">
        <v>225000</v>
      </c>
      <c r="E5" s="327" t="s">
        <v>385</v>
      </c>
      <c r="F5" s="345"/>
      <c r="G5" s="346"/>
      <c r="H5" s="398" t="s">
        <v>378</v>
      </c>
    </row>
    <row r="6" spans="1:18" ht="16.5" customHeight="1">
      <c r="A6" s="336"/>
      <c r="B6" s="342"/>
      <c r="C6" s="352"/>
      <c r="D6" s="344"/>
      <c r="E6" s="347"/>
      <c r="F6" s="348"/>
      <c r="G6" s="349"/>
      <c r="H6" s="399"/>
    </row>
    <row r="7" spans="1:18" ht="16.5" customHeight="1">
      <c r="A7" s="335" t="s">
        <v>379</v>
      </c>
      <c r="B7" s="341" t="s">
        <v>387</v>
      </c>
      <c r="C7" s="353" t="s">
        <v>388</v>
      </c>
      <c r="D7" s="343">
        <v>770000</v>
      </c>
      <c r="E7" s="327" t="s">
        <v>384</v>
      </c>
      <c r="F7" s="345"/>
      <c r="G7" s="346"/>
      <c r="H7" s="398" t="s">
        <v>381</v>
      </c>
    </row>
    <row r="8" spans="1:18" ht="14.25" customHeight="1">
      <c r="A8" s="336"/>
      <c r="B8" s="342"/>
      <c r="C8" s="352"/>
      <c r="D8" s="344"/>
      <c r="E8" s="347"/>
      <c r="F8" s="348"/>
      <c r="G8" s="349"/>
      <c r="H8" s="399"/>
    </row>
    <row r="9" spans="1:18" ht="16.5" customHeight="1">
      <c r="A9" s="335" t="s">
        <v>379</v>
      </c>
      <c r="B9" s="341" t="s">
        <v>386</v>
      </c>
      <c r="C9" s="353" t="s">
        <v>810</v>
      </c>
      <c r="D9" s="343">
        <v>256000</v>
      </c>
      <c r="E9" s="327" t="s">
        <v>382</v>
      </c>
      <c r="F9" s="345"/>
      <c r="G9" s="346"/>
      <c r="H9" s="360" t="s">
        <v>395</v>
      </c>
      <c r="I9">
        <v>17977000</v>
      </c>
    </row>
    <row r="10" spans="1:18" ht="16.5" customHeight="1">
      <c r="A10" s="336"/>
      <c r="B10" s="342"/>
      <c r="C10" s="352"/>
      <c r="D10" s="344"/>
      <c r="E10" s="347"/>
      <c r="F10" s="348"/>
      <c r="G10" s="349"/>
      <c r="H10" s="359"/>
    </row>
    <row r="11" spans="1:18" ht="16.5" customHeight="1">
      <c r="A11" s="322" t="s">
        <v>380</v>
      </c>
      <c r="B11" s="324" t="s">
        <v>389</v>
      </c>
      <c r="C11" s="324"/>
      <c r="D11" s="326">
        <v>150000</v>
      </c>
      <c r="E11" s="327" t="s">
        <v>383</v>
      </c>
      <c r="F11" s="328"/>
      <c r="G11" s="329"/>
      <c r="H11" s="360" t="s">
        <v>394</v>
      </c>
    </row>
    <row r="12" spans="1:18" ht="16.5" customHeight="1">
      <c r="A12" s="323"/>
      <c r="B12" s="325"/>
      <c r="C12" s="325"/>
      <c r="D12" s="326"/>
      <c r="E12" s="330"/>
      <c r="F12" s="331"/>
      <c r="G12" s="332"/>
      <c r="H12" s="359"/>
    </row>
    <row r="13" spans="1:18" ht="16.5" customHeight="1">
      <c r="A13" s="322" t="s">
        <v>390</v>
      </c>
      <c r="B13" s="324" t="s">
        <v>391</v>
      </c>
      <c r="C13" s="324" t="s">
        <v>392</v>
      </c>
      <c r="D13" s="326">
        <v>180000</v>
      </c>
      <c r="E13" s="327" t="s">
        <v>393</v>
      </c>
      <c r="F13" s="328"/>
      <c r="G13" s="329"/>
      <c r="H13" s="360" t="s">
        <v>394</v>
      </c>
    </row>
    <row r="14" spans="1:18" ht="16.5" customHeight="1">
      <c r="A14" s="323"/>
      <c r="B14" s="325"/>
      <c r="C14" s="325"/>
      <c r="D14" s="326"/>
      <c r="E14" s="330"/>
      <c r="F14" s="331"/>
      <c r="G14" s="332"/>
      <c r="H14" s="359"/>
    </row>
    <row r="15" spans="1:18" ht="16.5" customHeight="1">
      <c r="A15" s="322" t="s">
        <v>396</v>
      </c>
      <c r="B15" s="341" t="s">
        <v>397</v>
      </c>
      <c r="C15" s="341" t="s">
        <v>398</v>
      </c>
      <c r="D15" s="343">
        <v>230000</v>
      </c>
      <c r="E15" s="327" t="s">
        <v>399</v>
      </c>
      <c r="F15" s="345"/>
      <c r="G15" s="346"/>
      <c r="H15" s="360" t="s">
        <v>400</v>
      </c>
    </row>
    <row r="16" spans="1:18" ht="16.5" customHeight="1">
      <c r="A16" s="323"/>
      <c r="B16" s="342"/>
      <c r="C16" s="342"/>
      <c r="D16" s="344"/>
      <c r="E16" s="347"/>
      <c r="F16" s="348"/>
      <c r="G16" s="349"/>
      <c r="H16" s="359"/>
    </row>
    <row r="17" spans="1:11" ht="16.5" customHeight="1">
      <c r="A17" s="335" t="s">
        <v>401</v>
      </c>
      <c r="B17" s="341" t="s">
        <v>402</v>
      </c>
      <c r="C17" s="341" t="s">
        <v>403</v>
      </c>
      <c r="D17" s="326">
        <v>470000</v>
      </c>
      <c r="E17" s="327" t="s">
        <v>404</v>
      </c>
      <c r="F17" s="345"/>
      <c r="G17" s="346"/>
      <c r="H17" s="360" t="s">
        <v>400</v>
      </c>
    </row>
    <row r="18" spans="1:11" ht="16.5" customHeight="1">
      <c r="A18" s="336"/>
      <c r="B18" s="342"/>
      <c r="C18" s="342"/>
      <c r="D18" s="326"/>
      <c r="E18" s="347"/>
      <c r="F18" s="348"/>
      <c r="G18" s="349"/>
      <c r="H18" s="359"/>
    </row>
    <row r="19" spans="1:11" ht="16.5" customHeight="1">
      <c r="A19" s="335" t="s">
        <v>405</v>
      </c>
      <c r="B19" s="341" t="s">
        <v>406</v>
      </c>
      <c r="C19" s="341" t="s">
        <v>403</v>
      </c>
      <c r="D19" s="326">
        <v>150000</v>
      </c>
      <c r="E19" s="327"/>
      <c r="F19" s="328"/>
      <c r="G19" s="329"/>
      <c r="H19" s="360" t="s">
        <v>400</v>
      </c>
    </row>
    <row r="20" spans="1:11" ht="16.5" customHeight="1">
      <c r="A20" s="336"/>
      <c r="B20" s="342"/>
      <c r="C20" s="342"/>
      <c r="D20" s="326"/>
      <c r="E20" s="330"/>
      <c r="F20" s="331"/>
      <c r="G20" s="332"/>
      <c r="H20" s="359"/>
    </row>
    <row r="21" spans="1:11" ht="16.5" customHeight="1">
      <c r="A21" s="322" t="s">
        <v>407</v>
      </c>
      <c r="B21" s="341" t="s">
        <v>408</v>
      </c>
      <c r="C21" s="341"/>
      <c r="D21" s="343">
        <v>70000</v>
      </c>
      <c r="E21" s="327" t="s">
        <v>409</v>
      </c>
      <c r="F21" s="345"/>
      <c r="G21" s="346"/>
      <c r="H21" s="360" t="s">
        <v>410</v>
      </c>
    </row>
    <row r="22" spans="1:11" ht="16.5" customHeight="1">
      <c r="A22" s="323"/>
      <c r="B22" s="342"/>
      <c r="C22" s="342"/>
      <c r="D22" s="344"/>
      <c r="E22" s="347"/>
      <c r="F22" s="348"/>
      <c r="G22" s="349"/>
      <c r="H22" s="359"/>
    </row>
    <row r="23" spans="1:11" ht="16.5" customHeight="1">
      <c r="A23" s="335" t="s">
        <v>413</v>
      </c>
      <c r="B23" s="324" t="s">
        <v>354</v>
      </c>
      <c r="C23" s="325" t="s">
        <v>355</v>
      </c>
      <c r="D23" s="326">
        <v>440000</v>
      </c>
      <c r="E23" s="327" t="s">
        <v>411</v>
      </c>
      <c r="F23" s="328"/>
      <c r="G23" s="329"/>
      <c r="H23" s="360" t="s">
        <v>412</v>
      </c>
    </row>
    <row r="24" spans="1:11" ht="16.5" customHeight="1">
      <c r="A24" s="336"/>
      <c r="B24" s="325"/>
      <c r="C24" s="325"/>
      <c r="D24" s="326"/>
      <c r="E24" s="330"/>
      <c r="F24" s="331"/>
      <c r="G24" s="332"/>
      <c r="H24" s="359"/>
    </row>
    <row r="25" spans="1:11" ht="16.5" customHeight="1">
      <c r="A25" s="322" t="s">
        <v>413</v>
      </c>
      <c r="B25" s="324" t="s">
        <v>414</v>
      </c>
      <c r="C25" s="324" t="s">
        <v>415</v>
      </c>
      <c r="D25" s="326">
        <v>135000</v>
      </c>
      <c r="E25" s="327" t="s">
        <v>418</v>
      </c>
      <c r="F25" s="328"/>
      <c r="G25" s="329"/>
      <c r="H25" s="360" t="s">
        <v>420</v>
      </c>
    </row>
    <row r="26" spans="1:11" ht="17.25" customHeight="1">
      <c r="A26" s="323"/>
      <c r="B26" s="325"/>
      <c r="C26" s="325"/>
      <c r="D26" s="326"/>
      <c r="E26" s="330"/>
      <c r="F26" s="331"/>
      <c r="G26" s="332"/>
      <c r="H26" s="359"/>
    </row>
    <row r="27" spans="1:11" ht="16.5" customHeight="1">
      <c r="A27" s="322" t="s">
        <v>413</v>
      </c>
      <c r="B27" s="324" t="s">
        <v>416</v>
      </c>
      <c r="C27" s="325" t="s">
        <v>417</v>
      </c>
      <c r="D27" s="326">
        <v>230000</v>
      </c>
      <c r="E27" s="327" t="s">
        <v>419</v>
      </c>
      <c r="F27" s="328"/>
      <c r="G27" s="329"/>
      <c r="H27" s="360" t="s">
        <v>421</v>
      </c>
    </row>
    <row r="28" spans="1:11" ht="16.5" customHeight="1">
      <c r="A28" s="323"/>
      <c r="B28" s="325"/>
      <c r="C28" s="325"/>
      <c r="D28" s="326"/>
      <c r="E28" s="330"/>
      <c r="F28" s="331"/>
      <c r="G28" s="332"/>
      <c r="H28" s="359"/>
    </row>
    <row r="29" spans="1:11" ht="16.5" customHeight="1">
      <c r="A29" s="322" t="s">
        <v>422</v>
      </c>
      <c r="B29" s="341" t="s">
        <v>423</v>
      </c>
      <c r="C29" s="341"/>
      <c r="D29" s="326">
        <v>100000</v>
      </c>
      <c r="E29" s="327" t="s">
        <v>425</v>
      </c>
      <c r="F29" s="328"/>
      <c r="G29" s="329"/>
      <c r="H29" s="360" t="s">
        <v>424</v>
      </c>
    </row>
    <row r="30" spans="1:11" ht="16.5" customHeight="1">
      <c r="A30" s="323"/>
      <c r="B30" s="342"/>
      <c r="C30" s="342"/>
      <c r="D30" s="326"/>
      <c r="E30" s="330"/>
      <c r="F30" s="331"/>
      <c r="G30" s="332"/>
      <c r="H30" s="359"/>
    </row>
    <row r="31" spans="1:11" ht="16.5" customHeight="1">
      <c r="A31" s="322" t="s">
        <v>426</v>
      </c>
      <c r="B31" s="324" t="s">
        <v>427</v>
      </c>
      <c r="C31" s="324" t="s">
        <v>428</v>
      </c>
      <c r="D31" s="326">
        <v>110000</v>
      </c>
      <c r="E31" s="327" t="s">
        <v>429</v>
      </c>
      <c r="F31" s="328"/>
      <c r="G31" s="329"/>
      <c r="H31" s="359" t="s">
        <v>430</v>
      </c>
    </row>
    <row r="32" spans="1:11" ht="16.5" customHeight="1">
      <c r="A32" s="323"/>
      <c r="B32" s="325"/>
      <c r="C32" s="325"/>
      <c r="D32" s="326"/>
      <c r="E32" s="330"/>
      <c r="F32" s="331"/>
      <c r="G32" s="332"/>
      <c r="H32" s="359"/>
      <c r="K32" s="24"/>
    </row>
    <row r="33" spans="1:11" ht="16.5" customHeight="1">
      <c r="A33" s="339" t="s">
        <v>432</v>
      </c>
      <c r="B33" s="361" t="s">
        <v>433</v>
      </c>
      <c r="C33" s="362"/>
      <c r="D33" s="363">
        <v>200000</v>
      </c>
      <c r="E33" s="364"/>
      <c r="F33" s="365"/>
      <c r="G33" s="366"/>
      <c r="H33" s="360" t="s">
        <v>431</v>
      </c>
    </row>
    <row r="34" spans="1:11" ht="16.5" customHeight="1">
      <c r="A34" s="340"/>
      <c r="B34" s="342"/>
      <c r="C34" s="352"/>
      <c r="D34" s="344"/>
      <c r="E34" s="347"/>
      <c r="F34" s="348"/>
      <c r="G34" s="349"/>
      <c r="H34" s="359"/>
    </row>
    <row r="35" spans="1:11" ht="16.5" customHeight="1">
      <c r="A35" s="322" t="s">
        <v>434</v>
      </c>
      <c r="B35" s="361" t="s">
        <v>435</v>
      </c>
      <c r="C35" s="325" t="s">
        <v>436</v>
      </c>
      <c r="D35" s="326">
        <v>440000</v>
      </c>
      <c r="E35" s="327" t="s">
        <v>437</v>
      </c>
      <c r="F35" s="328"/>
      <c r="G35" s="329"/>
      <c r="H35" s="360" t="s">
        <v>438</v>
      </c>
    </row>
    <row r="36" spans="1:11" ht="16.5" customHeight="1">
      <c r="A36" s="323"/>
      <c r="B36" s="342"/>
      <c r="C36" s="325"/>
      <c r="D36" s="326"/>
      <c r="E36" s="330"/>
      <c r="F36" s="331"/>
      <c r="G36" s="332"/>
      <c r="H36" s="359"/>
      <c r="K36" s="24"/>
    </row>
    <row r="37" spans="1:11" ht="16.5" customHeight="1">
      <c r="A37" s="322" t="s">
        <v>439</v>
      </c>
      <c r="B37" s="361" t="s">
        <v>440</v>
      </c>
      <c r="C37" s="362"/>
      <c r="D37" s="363">
        <v>50000</v>
      </c>
      <c r="E37" s="364"/>
      <c r="F37" s="365"/>
      <c r="G37" s="366"/>
      <c r="H37" s="360" t="s">
        <v>441</v>
      </c>
    </row>
    <row r="38" spans="1:11" ht="16.5" customHeight="1">
      <c r="A38" s="323"/>
      <c r="B38" s="342"/>
      <c r="C38" s="352"/>
      <c r="D38" s="344"/>
      <c r="E38" s="347"/>
      <c r="F38" s="348"/>
      <c r="G38" s="349"/>
      <c r="H38" s="359"/>
      <c r="K38" s="24"/>
    </row>
    <row r="39" spans="1:11" ht="16.5" customHeight="1">
      <c r="A39" s="322" t="s">
        <v>444</v>
      </c>
      <c r="B39" s="324" t="s">
        <v>445</v>
      </c>
      <c r="C39" s="324"/>
      <c r="D39" s="326">
        <v>30000</v>
      </c>
      <c r="E39" s="327" t="s">
        <v>443</v>
      </c>
      <c r="F39" s="328"/>
      <c r="G39" s="329"/>
      <c r="H39" s="360" t="s">
        <v>442</v>
      </c>
    </row>
    <row r="40" spans="1:11" ht="16.5" customHeight="1">
      <c r="A40" s="323"/>
      <c r="B40" s="325"/>
      <c r="C40" s="325"/>
      <c r="D40" s="326"/>
      <c r="E40" s="330"/>
      <c r="F40" s="331"/>
      <c r="G40" s="332"/>
      <c r="H40" s="359"/>
    </row>
    <row r="41" spans="1:11" ht="16.5" customHeight="1">
      <c r="A41" s="322" t="s">
        <v>446</v>
      </c>
      <c r="B41" s="324" t="s">
        <v>447</v>
      </c>
      <c r="C41" s="324" t="s">
        <v>448</v>
      </c>
      <c r="D41" s="326">
        <v>240000</v>
      </c>
      <c r="E41" s="327" t="s">
        <v>449</v>
      </c>
      <c r="F41" s="328"/>
      <c r="G41" s="329"/>
      <c r="H41" s="360" t="s">
        <v>450</v>
      </c>
    </row>
    <row r="42" spans="1:11" ht="16.5" customHeight="1">
      <c r="A42" s="323"/>
      <c r="B42" s="325"/>
      <c r="C42" s="325"/>
      <c r="D42" s="326"/>
      <c r="E42" s="330"/>
      <c r="F42" s="331"/>
      <c r="G42" s="332"/>
      <c r="H42" s="359"/>
    </row>
    <row r="43" spans="1:11" ht="16.5" customHeight="1">
      <c r="A43" s="322" t="s">
        <v>446</v>
      </c>
      <c r="B43" s="341" t="s">
        <v>451</v>
      </c>
      <c r="C43" s="341" t="s">
        <v>452</v>
      </c>
      <c r="D43" s="343">
        <v>325000</v>
      </c>
      <c r="E43" s="327" t="s">
        <v>456</v>
      </c>
      <c r="F43" s="328"/>
      <c r="G43" s="329"/>
      <c r="H43" s="359" t="s">
        <v>455</v>
      </c>
      <c r="K43" s="24"/>
    </row>
    <row r="44" spans="1:11" ht="16.5" customHeight="1">
      <c r="A44" s="323"/>
      <c r="B44" s="342"/>
      <c r="C44" s="342"/>
      <c r="D44" s="344"/>
      <c r="E44" s="330"/>
      <c r="F44" s="331"/>
      <c r="G44" s="332"/>
      <c r="H44" s="359"/>
      <c r="K44" s="24"/>
    </row>
    <row r="45" spans="1:11" ht="16.5" customHeight="1">
      <c r="A45" s="322" t="s">
        <v>446</v>
      </c>
      <c r="B45" s="341" t="s">
        <v>453</v>
      </c>
      <c r="C45" s="341" t="s">
        <v>454</v>
      </c>
      <c r="D45" s="343">
        <v>180000</v>
      </c>
      <c r="E45" s="337" t="s">
        <v>457</v>
      </c>
      <c r="F45" s="326"/>
      <c r="G45" s="326"/>
      <c r="H45" s="359" t="s">
        <v>484</v>
      </c>
      <c r="I45" s="4"/>
    </row>
    <row r="46" spans="1:11" ht="16.5" customHeight="1">
      <c r="A46" s="323"/>
      <c r="B46" s="342"/>
      <c r="C46" s="342"/>
      <c r="D46" s="344"/>
      <c r="E46" s="326"/>
      <c r="F46" s="326"/>
      <c r="G46" s="326"/>
      <c r="H46" s="359"/>
    </row>
    <row r="47" spans="1:11" ht="16.5" customHeight="1">
      <c r="A47" s="322" t="s">
        <v>459</v>
      </c>
      <c r="B47" s="361" t="s">
        <v>460</v>
      </c>
      <c r="C47" s="362" t="s">
        <v>461</v>
      </c>
      <c r="D47" s="363">
        <v>140000</v>
      </c>
      <c r="E47" s="327" t="s">
        <v>462</v>
      </c>
      <c r="F47" s="328"/>
      <c r="G47" s="329"/>
      <c r="H47" s="359" t="s">
        <v>463</v>
      </c>
    </row>
    <row r="48" spans="1:11" ht="16.5" customHeight="1">
      <c r="A48" s="323"/>
      <c r="B48" s="342"/>
      <c r="C48" s="352"/>
      <c r="D48" s="344"/>
      <c r="E48" s="330"/>
      <c r="F48" s="331"/>
      <c r="G48" s="332"/>
      <c r="H48" s="359"/>
    </row>
    <row r="49" spans="1:12" ht="16.5" customHeight="1">
      <c r="A49" s="322" t="s">
        <v>458</v>
      </c>
      <c r="B49" s="361" t="s">
        <v>99</v>
      </c>
      <c r="C49" s="362" t="s">
        <v>100</v>
      </c>
      <c r="D49" s="326">
        <v>380000</v>
      </c>
      <c r="E49" s="327" t="s">
        <v>467</v>
      </c>
      <c r="F49" s="328"/>
      <c r="G49" s="329"/>
      <c r="H49" s="359" t="s">
        <v>473</v>
      </c>
    </row>
    <row r="50" spans="1:12" ht="16.5" customHeight="1">
      <c r="A50" s="323"/>
      <c r="B50" s="342"/>
      <c r="C50" s="352"/>
      <c r="D50" s="326"/>
      <c r="E50" s="330"/>
      <c r="F50" s="331"/>
      <c r="G50" s="332"/>
      <c r="H50" s="359"/>
    </row>
    <row r="51" spans="1:12" ht="16.5" customHeight="1">
      <c r="A51" s="322" t="s">
        <v>464</v>
      </c>
      <c r="B51" s="324" t="s">
        <v>465</v>
      </c>
      <c r="C51" s="325" t="s">
        <v>466</v>
      </c>
      <c r="D51" s="326">
        <v>170000</v>
      </c>
      <c r="E51" s="327" t="s">
        <v>468</v>
      </c>
      <c r="F51" s="328"/>
      <c r="G51" s="329"/>
      <c r="H51" s="359" t="s">
        <v>483</v>
      </c>
    </row>
    <row r="52" spans="1:12" ht="16.5" customHeight="1">
      <c r="A52" s="323"/>
      <c r="B52" s="325"/>
      <c r="C52" s="325"/>
      <c r="D52" s="326"/>
      <c r="E52" s="330"/>
      <c r="F52" s="331"/>
      <c r="G52" s="332"/>
      <c r="H52" s="359"/>
    </row>
    <row r="53" spans="1:12" ht="16.5" customHeight="1">
      <c r="A53" s="322" t="s">
        <v>471</v>
      </c>
      <c r="B53" s="324" t="s">
        <v>470</v>
      </c>
      <c r="C53" s="325"/>
      <c r="D53" s="326">
        <v>220000</v>
      </c>
      <c r="E53" s="327" t="s">
        <v>472</v>
      </c>
      <c r="F53" s="328"/>
      <c r="G53" s="329"/>
      <c r="H53" s="359" t="s">
        <v>473</v>
      </c>
      <c r="L53" s="26"/>
    </row>
    <row r="54" spans="1:12" ht="16.5" customHeight="1">
      <c r="A54" s="323"/>
      <c r="B54" s="325"/>
      <c r="C54" s="325"/>
      <c r="D54" s="326"/>
      <c r="E54" s="330"/>
      <c r="F54" s="331"/>
      <c r="G54" s="332"/>
      <c r="H54" s="359"/>
    </row>
    <row r="55" spans="1:12" ht="16.5" customHeight="1">
      <c r="A55" s="322" t="s">
        <v>477</v>
      </c>
      <c r="B55" s="324" t="s">
        <v>482</v>
      </c>
      <c r="C55" s="326"/>
      <c r="D55" s="326">
        <v>144000</v>
      </c>
      <c r="E55" s="327" t="s">
        <v>490</v>
      </c>
      <c r="F55" s="328"/>
      <c r="G55" s="329"/>
      <c r="H55" s="360" t="s">
        <v>145</v>
      </c>
    </row>
    <row r="56" spans="1:12" ht="16.5" customHeight="1">
      <c r="A56" s="323"/>
      <c r="B56" s="325"/>
      <c r="C56" s="326"/>
      <c r="D56" s="326"/>
      <c r="E56" s="330"/>
      <c r="F56" s="331"/>
      <c r="G56" s="332"/>
      <c r="H56" s="359"/>
    </row>
    <row r="57" spans="1:12" ht="16.5" customHeight="1">
      <c r="A57" s="322" t="s">
        <v>477</v>
      </c>
      <c r="B57" s="324" t="s">
        <v>475</v>
      </c>
      <c r="C57" s="325"/>
      <c r="D57" s="326">
        <v>132000</v>
      </c>
      <c r="E57" s="327"/>
      <c r="F57" s="328"/>
      <c r="G57" s="329"/>
      <c r="H57" s="360" t="s">
        <v>480</v>
      </c>
    </row>
    <row r="58" spans="1:12" ht="16.5" customHeight="1">
      <c r="A58" s="323"/>
      <c r="B58" s="325"/>
      <c r="C58" s="325"/>
      <c r="D58" s="326"/>
      <c r="E58" s="330"/>
      <c r="F58" s="331"/>
      <c r="G58" s="332"/>
      <c r="H58" s="359"/>
    </row>
    <row r="59" spans="1:12" ht="16.5" customHeight="1">
      <c r="A59" s="322" t="s">
        <v>477</v>
      </c>
      <c r="B59" s="341" t="s">
        <v>453</v>
      </c>
      <c r="C59" s="341" t="s">
        <v>454</v>
      </c>
      <c r="D59" s="326">
        <v>175000</v>
      </c>
      <c r="E59" s="327" t="s">
        <v>474</v>
      </c>
      <c r="F59" s="328"/>
      <c r="G59" s="329"/>
      <c r="H59" s="360" t="s">
        <v>480</v>
      </c>
    </row>
    <row r="60" spans="1:12" ht="16.5" customHeight="1">
      <c r="A60" s="323"/>
      <c r="B60" s="342"/>
      <c r="C60" s="342"/>
      <c r="D60" s="326"/>
      <c r="E60" s="330"/>
      <c r="F60" s="331"/>
      <c r="G60" s="332"/>
      <c r="H60" s="359"/>
    </row>
    <row r="61" spans="1:12" ht="16.5" customHeight="1">
      <c r="A61" s="322" t="s">
        <v>477</v>
      </c>
      <c r="B61" s="324" t="s">
        <v>476</v>
      </c>
      <c r="C61" s="324"/>
      <c r="D61" s="343">
        <v>170000</v>
      </c>
      <c r="E61" s="327"/>
      <c r="F61" s="328"/>
      <c r="G61" s="329"/>
      <c r="H61" s="360" t="s">
        <v>480</v>
      </c>
    </row>
    <row r="62" spans="1:12" ht="16.5" customHeight="1">
      <c r="A62" s="323"/>
      <c r="B62" s="325"/>
      <c r="C62" s="325"/>
      <c r="D62" s="344"/>
      <c r="E62" s="330"/>
      <c r="F62" s="331"/>
      <c r="G62" s="332"/>
      <c r="H62" s="359"/>
    </row>
    <row r="63" spans="1:12" ht="16.5" customHeight="1">
      <c r="A63" s="334" t="s">
        <v>478</v>
      </c>
      <c r="B63" s="324" t="s">
        <v>479</v>
      </c>
      <c r="C63" s="324"/>
      <c r="D63" s="343">
        <v>53000</v>
      </c>
      <c r="E63" s="327"/>
      <c r="F63" s="328"/>
      <c r="G63" s="329"/>
      <c r="H63" s="360" t="s">
        <v>481</v>
      </c>
    </row>
    <row r="64" spans="1:12" ht="16.5" customHeight="1">
      <c r="A64" s="323"/>
      <c r="B64" s="325"/>
      <c r="C64" s="325"/>
      <c r="D64" s="344"/>
      <c r="E64" s="330"/>
      <c r="F64" s="331"/>
      <c r="G64" s="332"/>
      <c r="H64" s="359"/>
    </row>
    <row r="65" spans="1:8" ht="16.5" customHeight="1">
      <c r="A65" s="322" t="s">
        <v>493</v>
      </c>
      <c r="B65" s="324" t="s">
        <v>486</v>
      </c>
      <c r="C65" s="324"/>
      <c r="D65" s="343">
        <v>370000</v>
      </c>
      <c r="E65" s="327"/>
      <c r="F65" s="328"/>
      <c r="G65" s="329"/>
      <c r="H65" s="360" t="s">
        <v>485</v>
      </c>
    </row>
    <row r="66" spans="1:8" ht="16.5" customHeight="1">
      <c r="A66" s="323"/>
      <c r="B66" s="325"/>
      <c r="C66" s="325"/>
      <c r="D66" s="344"/>
      <c r="E66" s="330"/>
      <c r="F66" s="331"/>
      <c r="G66" s="332"/>
      <c r="H66" s="359"/>
    </row>
    <row r="67" spans="1:8" ht="16.5" customHeight="1">
      <c r="A67" s="322" t="s">
        <v>494</v>
      </c>
      <c r="B67" s="324" t="s">
        <v>487</v>
      </c>
      <c r="C67" s="324"/>
      <c r="D67" s="326">
        <v>10000</v>
      </c>
      <c r="E67" s="327" t="s">
        <v>492</v>
      </c>
      <c r="F67" s="328"/>
      <c r="G67" s="329"/>
      <c r="H67" s="360" t="s">
        <v>303</v>
      </c>
    </row>
    <row r="68" spans="1:8" ht="16.5" customHeight="1">
      <c r="A68" s="323"/>
      <c r="B68" s="325"/>
      <c r="C68" s="325"/>
      <c r="D68" s="326"/>
      <c r="E68" s="330"/>
      <c r="F68" s="331"/>
      <c r="G68" s="332"/>
      <c r="H68" s="359"/>
    </row>
    <row r="69" spans="1:8" ht="16.5" customHeight="1">
      <c r="A69" s="322" t="s">
        <v>495</v>
      </c>
      <c r="B69" s="324" t="s">
        <v>488</v>
      </c>
      <c r="C69" s="341" t="s">
        <v>183</v>
      </c>
      <c r="D69" s="326">
        <v>210000</v>
      </c>
      <c r="E69" s="327" t="s">
        <v>491</v>
      </c>
      <c r="F69" s="328"/>
      <c r="G69" s="329"/>
      <c r="H69" s="360" t="s">
        <v>489</v>
      </c>
    </row>
    <row r="70" spans="1:8" ht="16.5" customHeight="1">
      <c r="A70" s="323"/>
      <c r="B70" s="325"/>
      <c r="C70" s="342"/>
      <c r="D70" s="326"/>
      <c r="E70" s="330"/>
      <c r="F70" s="331"/>
      <c r="G70" s="332"/>
      <c r="H70" s="359"/>
    </row>
    <row r="71" spans="1:8" ht="16.5" customHeight="1">
      <c r="A71" s="322" t="s">
        <v>496</v>
      </c>
      <c r="B71" s="324" t="s">
        <v>497</v>
      </c>
      <c r="C71" s="324" t="s">
        <v>498</v>
      </c>
      <c r="D71" s="326">
        <v>1650000</v>
      </c>
      <c r="E71" s="327" t="s">
        <v>499</v>
      </c>
      <c r="F71" s="328"/>
      <c r="G71" s="329"/>
      <c r="H71" s="360" t="s">
        <v>500</v>
      </c>
    </row>
    <row r="72" spans="1:8" ht="45" customHeight="1">
      <c r="A72" s="323"/>
      <c r="B72" s="325"/>
      <c r="C72" s="325"/>
      <c r="D72" s="326"/>
      <c r="E72" s="330"/>
      <c r="F72" s="331"/>
      <c r="G72" s="332"/>
      <c r="H72" s="359"/>
    </row>
    <row r="73" spans="1:8" ht="16.5" customHeight="1">
      <c r="A73" s="335" t="s">
        <v>503</v>
      </c>
      <c r="B73" s="324" t="s">
        <v>504</v>
      </c>
      <c r="C73" s="341"/>
      <c r="D73" s="343">
        <v>120000</v>
      </c>
      <c r="E73" s="327" t="s">
        <v>501</v>
      </c>
      <c r="F73" s="345"/>
      <c r="G73" s="346"/>
      <c r="H73" s="360" t="s">
        <v>502</v>
      </c>
    </row>
    <row r="74" spans="1:8" ht="16.5" customHeight="1">
      <c r="A74" s="336"/>
      <c r="B74" s="325"/>
      <c r="C74" s="352"/>
      <c r="D74" s="344"/>
      <c r="E74" s="347"/>
      <c r="F74" s="348"/>
      <c r="G74" s="349"/>
      <c r="H74" s="359"/>
    </row>
    <row r="75" spans="1:8" ht="16.5" customHeight="1">
      <c r="A75" s="322" t="s">
        <v>505</v>
      </c>
      <c r="B75" s="324" t="s">
        <v>506</v>
      </c>
      <c r="C75" s="324"/>
      <c r="D75" s="326">
        <v>40000</v>
      </c>
      <c r="E75" s="327" t="s">
        <v>507</v>
      </c>
      <c r="F75" s="328"/>
      <c r="G75" s="329"/>
      <c r="H75" s="360" t="s">
        <v>508</v>
      </c>
    </row>
    <row r="76" spans="1:8" ht="16.5" customHeight="1">
      <c r="A76" s="323"/>
      <c r="B76" s="325"/>
      <c r="C76" s="325"/>
      <c r="D76" s="326"/>
      <c r="E76" s="330"/>
      <c r="F76" s="331"/>
      <c r="G76" s="332"/>
      <c r="H76" s="359"/>
    </row>
    <row r="77" spans="1:8" ht="16.5" customHeight="1">
      <c r="A77" s="322" t="s">
        <v>505</v>
      </c>
      <c r="B77" s="324" t="s">
        <v>509</v>
      </c>
      <c r="C77" s="324" t="s">
        <v>510</v>
      </c>
      <c r="D77" s="326">
        <v>130000</v>
      </c>
      <c r="E77" s="327" t="s">
        <v>511</v>
      </c>
      <c r="F77" s="328"/>
      <c r="G77" s="329"/>
      <c r="H77" s="359" t="s">
        <v>512</v>
      </c>
    </row>
    <row r="78" spans="1:8" ht="16.5" customHeight="1">
      <c r="A78" s="323"/>
      <c r="B78" s="325"/>
      <c r="C78" s="325"/>
      <c r="D78" s="326"/>
      <c r="E78" s="330"/>
      <c r="F78" s="331"/>
      <c r="G78" s="332"/>
      <c r="H78" s="359"/>
    </row>
    <row r="79" spans="1:8" ht="16.5" customHeight="1">
      <c r="A79" s="322" t="s">
        <v>527</v>
      </c>
      <c r="B79" s="324" t="s">
        <v>513</v>
      </c>
      <c r="C79" s="324"/>
      <c r="D79" s="326">
        <v>490000</v>
      </c>
      <c r="E79" s="327" t="s">
        <v>514</v>
      </c>
      <c r="F79" s="328"/>
      <c r="G79" s="329"/>
      <c r="H79" s="359" t="s">
        <v>362</v>
      </c>
    </row>
    <row r="80" spans="1:8" ht="16.5" customHeight="1">
      <c r="A80" s="323"/>
      <c r="B80" s="325"/>
      <c r="C80" s="325"/>
      <c r="D80" s="326"/>
      <c r="E80" s="330"/>
      <c r="F80" s="331"/>
      <c r="G80" s="332"/>
      <c r="H80" s="359"/>
    </row>
    <row r="81" spans="1:8" ht="16.5" customHeight="1">
      <c r="A81" s="322" t="s">
        <v>528</v>
      </c>
      <c r="B81" s="324" t="s">
        <v>515</v>
      </c>
      <c r="C81" s="324"/>
      <c r="D81" s="326">
        <v>143000</v>
      </c>
      <c r="E81" s="327" t="s">
        <v>517</v>
      </c>
      <c r="F81" s="328"/>
      <c r="G81" s="329"/>
      <c r="H81" s="359" t="s">
        <v>516</v>
      </c>
    </row>
    <row r="82" spans="1:8" ht="16.5" customHeight="1">
      <c r="A82" s="323"/>
      <c r="B82" s="325"/>
      <c r="C82" s="325"/>
      <c r="D82" s="326"/>
      <c r="E82" s="330"/>
      <c r="F82" s="331"/>
      <c r="G82" s="332"/>
      <c r="H82" s="359"/>
    </row>
    <row r="83" spans="1:8" ht="16.5" customHeight="1">
      <c r="A83" s="322" t="s">
        <v>529</v>
      </c>
      <c r="B83" s="341" t="s">
        <v>518</v>
      </c>
      <c r="C83" s="341"/>
      <c r="D83" s="343">
        <v>42000</v>
      </c>
      <c r="E83" s="327"/>
      <c r="F83" s="345"/>
      <c r="G83" s="346"/>
      <c r="H83" s="360" t="s">
        <v>519</v>
      </c>
    </row>
    <row r="84" spans="1:8" ht="16.5" customHeight="1">
      <c r="A84" s="323"/>
      <c r="B84" s="342"/>
      <c r="C84" s="352"/>
      <c r="D84" s="344"/>
      <c r="E84" s="347"/>
      <c r="F84" s="348"/>
      <c r="G84" s="349"/>
      <c r="H84" s="359"/>
    </row>
    <row r="85" spans="1:8" ht="16.5" customHeight="1">
      <c r="A85" s="322" t="s">
        <v>529</v>
      </c>
      <c r="B85" s="324" t="s">
        <v>525</v>
      </c>
      <c r="C85" s="324"/>
      <c r="D85" s="326">
        <v>210000</v>
      </c>
      <c r="E85" s="327" t="s">
        <v>526</v>
      </c>
      <c r="F85" s="328"/>
      <c r="G85" s="329"/>
      <c r="H85" s="398" t="s">
        <v>524</v>
      </c>
    </row>
    <row r="86" spans="1:8" ht="16.5" customHeight="1">
      <c r="A86" s="323"/>
      <c r="B86" s="325"/>
      <c r="C86" s="325"/>
      <c r="D86" s="326"/>
      <c r="E86" s="330"/>
      <c r="F86" s="331"/>
      <c r="G86" s="332"/>
      <c r="H86" s="399"/>
    </row>
    <row r="87" spans="1:8" ht="16.5" customHeight="1">
      <c r="A87" s="335" t="s">
        <v>530</v>
      </c>
      <c r="B87" s="324" t="s">
        <v>520</v>
      </c>
      <c r="C87" s="325" t="s">
        <v>521</v>
      </c>
      <c r="D87" s="326">
        <v>160000</v>
      </c>
      <c r="E87" s="327" t="s">
        <v>522</v>
      </c>
      <c r="F87" s="345"/>
      <c r="G87" s="346"/>
      <c r="H87" s="360" t="s">
        <v>523</v>
      </c>
    </row>
    <row r="88" spans="1:8" ht="16.5" customHeight="1">
      <c r="A88" s="340"/>
      <c r="B88" s="325"/>
      <c r="C88" s="325"/>
      <c r="D88" s="326"/>
      <c r="E88" s="347"/>
      <c r="F88" s="348"/>
      <c r="G88" s="349"/>
      <c r="H88" s="359"/>
    </row>
    <row r="89" spans="1:8" ht="16.5" customHeight="1">
      <c r="A89" s="322" t="s">
        <v>531</v>
      </c>
      <c r="B89" s="324" t="s">
        <v>532</v>
      </c>
      <c r="C89" s="324"/>
      <c r="D89" s="326">
        <v>80000</v>
      </c>
      <c r="E89" s="327"/>
      <c r="F89" s="328"/>
      <c r="G89" s="329"/>
      <c r="H89" s="400" t="s">
        <v>533</v>
      </c>
    </row>
    <row r="90" spans="1:8" ht="16.5" customHeight="1">
      <c r="A90" s="323"/>
      <c r="B90" s="325"/>
      <c r="C90" s="325"/>
      <c r="D90" s="326"/>
      <c r="E90" s="330"/>
      <c r="F90" s="331"/>
      <c r="G90" s="332"/>
      <c r="H90" s="401"/>
    </row>
    <row r="91" spans="1:8" ht="16.5" customHeight="1">
      <c r="A91" s="322" t="s">
        <v>534</v>
      </c>
      <c r="B91" s="324" t="s">
        <v>535</v>
      </c>
      <c r="C91" s="325"/>
      <c r="D91" s="326">
        <v>18000</v>
      </c>
      <c r="E91" s="327" t="s">
        <v>536</v>
      </c>
      <c r="F91" s="328"/>
      <c r="G91" s="329"/>
      <c r="H91" s="400" t="s">
        <v>537</v>
      </c>
    </row>
    <row r="92" spans="1:8" ht="16.5" customHeight="1">
      <c r="A92" s="323"/>
      <c r="B92" s="325"/>
      <c r="C92" s="325"/>
      <c r="D92" s="326"/>
      <c r="E92" s="330"/>
      <c r="F92" s="331"/>
      <c r="G92" s="332"/>
      <c r="H92" s="401"/>
    </row>
    <row r="93" spans="1:8" ht="16.5" customHeight="1">
      <c r="A93" s="322" t="s">
        <v>538</v>
      </c>
      <c r="B93" s="341" t="s">
        <v>539</v>
      </c>
      <c r="C93" s="341" t="s">
        <v>540</v>
      </c>
      <c r="D93" s="343">
        <v>290000</v>
      </c>
      <c r="E93" s="327" t="s">
        <v>541</v>
      </c>
      <c r="F93" s="345"/>
      <c r="G93" s="346"/>
      <c r="H93" s="360" t="s">
        <v>303</v>
      </c>
    </row>
    <row r="94" spans="1:8" ht="16.5" customHeight="1">
      <c r="A94" s="323"/>
      <c r="B94" s="342"/>
      <c r="C94" s="352"/>
      <c r="D94" s="344"/>
      <c r="E94" s="347"/>
      <c r="F94" s="348"/>
      <c r="G94" s="349"/>
      <c r="H94" s="359"/>
    </row>
    <row r="95" spans="1:8" ht="16.5" customHeight="1">
      <c r="A95" s="335" t="s">
        <v>543</v>
      </c>
      <c r="B95" s="324" t="s">
        <v>542</v>
      </c>
      <c r="C95" s="325"/>
      <c r="D95" s="326">
        <v>22000</v>
      </c>
      <c r="E95" s="327" t="s">
        <v>544</v>
      </c>
      <c r="F95" s="328"/>
      <c r="G95" s="329"/>
      <c r="H95" s="359" t="s">
        <v>545</v>
      </c>
    </row>
    <row r="96" spans="1:8" ht="16.5" customHeight="1">
      <c r="A96" s="340"/>
      <c r="B96" s="325"/>
      <c r="C96" s="325"/>
      <c r="D96" s="326"/>
      <c r="E96" s="330"/>
      <c r="F96" s="331"/>
      <c r="G96" s="332"/>
      <c r="H96" s="359"/>
    </row>
    <row r="97" spans="1:12" ht="16.5" customHeight="1">
      <c r="A97" s="322" t="s">
        <v>546</v>
      </c>
      <c r="B97" s="324" t="s">
        <v>539</v>
      </c>
      <c r="C97" s="341" t="s">
        <v>540</v>
      </c>
      <c r="D97" s="326">
        <v>920000</v>
      </c>
      <c r="E97" s="327" t="s">
        <v>548</v>
      </c>
      <c r="F97" s="328"/>
      <c r="G97" s="329"/>
      <c r="H97" s="359" t="s">
        <v>549</v>
      </c>
    </row>
    <row r="98" spans="1:12" ht="16.5" customHeight="1">
      <c r="A98" s="323"/>
      <c r="B98" s="325"/>
      <c r="C98" s="352"/>
      <c r="D98" s="326"/>
      <c r="E98" s="330"/>
      <c r="F98" s="331"/>
      <c r="G98" s="332"/>
      <c r="H98" s="359"/>
    </row>
    <row r="99" spans="1:12" ht="16.5" customHeight="1">
      <c r="A99" s="322" t="s">
        <v>546</v>
      </c>
      <c r="B99" s="341" t="s">
        <v>547</v>
      </c>
      <c r="C99" s="341"/>
      <c r="D99" s="343">
        <v>572000</v>
      </c>
      <c r="E99" s="327" t="s">
        <v>550</v>
      </c>
      <c r="F99" s="345"/>
      <c r="G99" s="346"/>
      <c r="H99" s="359" t="s">
        <v>571</v>
      </c>
      <c r="L99" s="23"/>
    </row>
    <row r="100" spans="1:12" ht="16.5" customHeight="1">
      <c r="A100" s="323"/>
      <c r="B100" s="342"/>
      <c r="C100" s="352"/>
      <c r="D100" s="344"/>
      <c r="E100" s="347"/>
      <c r="F100" s="348"/>
      <c r="G100" s="349"/>
      <c r="H100" s="359"/>
    </row>
    <row r="101" spans="1:12" ht="16.5" customHeight="1">
      <c r="A101" s="322" t="s">
        <v>713</v>
      </c>
      <c r="B101" s="324" t="s">
        <v>551</v>
      </c>
      <c r="C101" s="324" t="s">
        <v>553</v>
      </c>
      <c r="D101" s="326">
        <v>150000</v>
      </c>
      <c r="E101" s="327" t="s">
        <v>552</v>
      </c>
      <c r="F101" s="328"/>
      <c r="G101" s="329"/>
      <c r="H101" s="359" t="s">
        <v>554</v>
      </c>
    </row>
    <row r="102" spans="1:12" ht="16.5" customHeight="1">
      <c r="A102" s="323"/>
      <c r="B102" s="325"/>
      <c r="C102" s="325"/>
      <c r="D102" s="326"/>
      <c r="E102" s="330"/>
      <c r="F102" s="331"/>
      <c r="G102" s="332"/>
      <c r="H102" s="359"/>
    </row>
    <row r="103" spans="1:12" ht="16.5" customHeight="1">
      <c r="A103" s="322" t="s">
        <v>712</v>
      </c>
      <c r="B103" s="341" t="s">
        <v>556</v>
      </c>
      <c r="C103" s="341" t="s">
        <v>557</v>
      </c>
      <c r="D103" s="343">
        <v>1750000</v>
      </c>
      <c r="E103" s="327" t="s">
        <v>558</v>
      </c>
      <c r="F103" s="345"/>
      <c r="G103" s="346"/>
      <c r="H103" s="333" t="s">
        <v>570</v>
      </c>
    </row>
    <row r="104" spans="1:12" ht="16.5" customHeight="1">
      <c r="A104" s="323"/>
      <c r="B104" s="342"/>
      <c r="C104" s="352"/>
      <c r="D104" s="344"/>
      <c r="E104" s="347"/>
      <c r="F104" s="348"/>
      <c r="G104" s="349"/>
      <c r="H104" s="333"/>
    </row>
    <row r="105" spans="1:12" ht="16.5" customHeight="1">
      <c r="A105" s="322" t="s">
        <v>711</v>
      </c>
      <c r="B105" s="324" t="s">
        <v>565</v>
      </c>
      <c r="C105" s="324" t="s">
        <v>566</v>
      </c>
      <c r="D105" s="326">
        <v>380000</v>
      </c>
      <c r="E105" s="327" t="s">
        <v>562</v>
      </c>
      <c r="F105" s="328"/>
      <c r="G105" s="329"/>
      <c r="H105" s="360" t="s">
        <v>559</v>
      </c>
      <c r="L105" s="23"/>
    </row>
    <row r="106" spans="1:12" ht="16.5" customHeight="1">
      <c r="A106" s="323"/>
      <c r="B106" s="325"/>
      <c r="C106" s="325"/>
      <c r="D106" s="326"/>
      <c r="E106" s="330"/>
      <c r="F106" s="331"/>
      <c r="G106" s="332"/>
      <c r="H106" s="359"/>
    </row>
    <row r="107" spans="1:12" ht="16.5" customHeight="1">
      <c r="A107" s="322" t="s">
        <v>712</v>
      </c>
      <c r="B107" s="324" t="s">
        <v>563</v>
      </c>
      <c r="C107" s="325" t="s">
        <v>564</v>
      </c>
      <c r="D107" s="326">
        <v>130000</v>
      </c>
      <c r="E107" s="327" t="s">
        <v>561</v>
      </c>
      <c r="F107" s="328"/>
      <c r="G107" s="329"/>
      <c r="H107" s="360" t="s">
        <v>560</v>
      </c>
    </row>
    <row r="108" spans="1:12" ht="16.5" customHeight="1">
      <c r="A108" s="323"/>
      <c r="B108" s="325"/>
      <c r="C108" s="325"/>
      <c r="D108" s="326"/>
      <c r="E108" s="330"/>
      <c r="F108" s="331"/>
      <c r="G108" s="332"/>
      <c r="H108" s="359"/>
    </row>
    <row r="109" spans="1:12" ht="16.5" customHeight="1">
      <c r="A109" s="322" t="s">
        <v>711</v>
      </c>
      <c r="B109" s="324" t="s">
        <v>567</v>
      </c>
      <c r="C109" s="325"/>
      <c r="D109" s="326">
        <v>90000</v>
      </c>
      <c r="E109" s="327" t="s">
        <v>568</v>
      </c>
      <c r="F109" s="328"/>
      <c r="G109" s="329"/>
      <c r="H109" s="360" t="s">
        <v>569</v>
      </c>
    </row>
    <row r="110" spans="1:12" ht="16.5" customHeight="1">
      <c r="A110" s="323"/>
      <c r="B110" s="325"/>
      <c r="C110" s="325"/>
      <c r="D110" s="326"/>
      <c r="E110" s="330"/>
      <c r="F110" s="331"/>
      <c r="G110" s="332"/>
      <c r="H110" s="359"/>
    </row>
    <row r="111" spans="1:12" ht="16.5" customHeight="1">
      <c r="A111" s="322"/>
      <c r="B111" s="341"/>
      <c r="C111" s="341"/>
      <c r="D111" s="343"/>
      <c r="E111" s="327"/>
      <c r="F111" s="328"/>
      <c r="G111" s="329"/>
      <c r="H111" s="360"/>
    </row>
    <row r="112" spans="1:12" ht="16.5" customHeight="1">
      <c r="A112" s="323"/>
      <c r="B112" s="342"/>
      <c r="C112" s="352"/>
      <c r="D112" s="344"/>
      <c r="E112" s="330"/>
      <c r="F112" s="331"/>
      <c r="G112" s="332"/>
      <c r="H112" s="359"/>
    </row>
    <row r="113" spans="1:8" ht="16.5" customHeight="1">
      <c r="A113" s="322"/>
      <c r="B113" s="341"/>
      <c r="C113" s="341"/>
      <c r="D113" s="343"/>
      <c r="E113" s="327"/>
      <c r="F113" s="345"/>
      <c r="G113" s="346"/>
      <c r="H113" s="400"/>
    </row>
    <row r="114" spans="1:8" ht="16.5" customHeight="1">
      <c r="A114" s="323"/>
      <c r="B114" s="342"/>
      <c r="C114" s="352"/>
      <c r="D114" s="344"/>
      <c r="E114" s="347"/>
      <c r="F114" s="348"/>
      <c r="G114" s="349"/>
      <c r="H114" s="401"/>
    </row>
    <row r="115" spans="1:8" ht="16.5" customHeight="1">
      <c r="A115" s="322"/>
      <c r="B115" s="324"/>
      <c r="C115" s="325"/>
      <c r="D115" s="326"/>
      <c r="E115" s="327"/>
      <c r="F115" s="328"/>
      <c r="G115" s="329"/>
      <c r="H115" s="359"/>
    </row>
    <row r="116" spans="1:8" ht="16.5" customHeight="1">
      <c r="A116" s="323"/>
      <c r="B116" s="325"/>
      <c r="C116" s="325"/>
      <c r="D116" s="326"/>
      <c r="E116" s="330"/>
      <c r="F116" s="331"/>
      <c r="G116" s="332"/>
      <c r="H116" s="399"/>
    </row>
    <row r="117" spans="1:8" ht="16.5" customHeight="1">
      <c r="A117" s="322"/>
      <c r="B117" s="324"/>
      <c r="C117" s="324"/>
      <c r="D117" s="343"/>
      <c r="E117" s="327"/>
      <c r="F117" s="328"/>
      <c r="G117" s="329"/>
      <c r="H117" s="359"/>
    </row>
    <row r="118" spans="1:8" ht="36.75" customHeight="1">
      <c r="A118" s="323"/>
      <c r="B118" s="325"/>
      <c r="C118" s="325"/>
      <c r="D118" s="344"/>
      <c r="E118" s="330"/>
      <c r="F118" s="331"/>
      <c r="G118" s="332"/>
      <c r="H118" s="359"/>
    </row>
    <row r="119" spans="1:8">
      <c r="A119" s="322"/>
      <c r="B119" s="324"/>
      <c r="C119" s="325"/>
      <c r="D119" s="343"/>
      <c r="E119" s="337"/>
      <c r="F119" s="326"/>
      <c r="G119" s="326"/>
      <c r="H119" s="360"/>
    </row>
    <row r="120" spans="1:8">
      <c r="A120" s="323"/>
      <c r="B120" s="325"/>
      <c r="C120" s="325"/>
      <c r="D120" s="344"/>
      <c r="E120" s="326"/>
      <c r="F120" s="326"/>
      <c r="G120" s="326"/>
      <c r="H120" s="359"/>
    </row>
    <row r="121" spans="1:8">
      <c r="A121" s="322"/>
      <c r="B121" s="324"/>
      <c r="C121" s="324"/>
      <c r="D121" s="343"/>
      <c r="E121" s="337"/>
      <c r="F121" s="326"/>
      <c r="G121" s="326"/>
      <c r="H121" s="359"/>
    </row>
    <row r="122" spans="1:8">
      <c r="A122" s="323"/>
      <c r="B122" s="325"/>
      <c r="C122" s="325"/>
      <c r="D122" s="344"/>
      <c r="E122" s="326"/>
      <c r="F122" s="326"/>
      <c r="G122" s="326"/>
      <c r="H122" s="359"/>
    </row>
    <row r="123" spans="1:8">
      <c r="A123" s="322"/>
      <c r="B123" s="324"/>
      <c r="C123" s="325"/>
      <c r="D123" s="343"/>
      <c r="E123" s="337"/>
      <c r="F123" s="326"/>
      <c r="G123" s="326"/>
      <c r="H123" s="333"/>
    </row>
    <row r="124" spans="1:8">
      <c r="A124" s="323"/>
      <c r="B124" s="325"/>
      <c r="C124" s="325"/>
      <c r="D124" s="344"/>
      <c r="E124" s="326"/>
      <c r="F124" s="326"/>
      <c r="G124" s="326"/>
      <c r="H124" s="333"/>
    </row>
    <row r="125" spans="1:8">
      <c r="A125" s="322"/>
      <c r="B125" s="324"/>
      <c r="C125" s="325"/>
      <c r="D125" s="343"/>
      <c r="E125" s="337"/>
      <c r="F125" s="326"/>
      <c r="G125" s="326"/>
      <c r="H125" s="360"/>
    </row>
    <row r="126" spans="1:8">
      <c r="A126" s="323"/>
      <c r="B126" s="325"/>
      <c r="C126" s="325"/>
      <c r="D126" s="344"/>
      <c r="E126" s="326"/>
      <c r="F126" s="326"/>
      <c r="G126" s="326"/>
      <c r="H126" s="359"/>
    </row>
    <row r="127" spans="1:8">
      <c r="A127" s="322"/>
      <c r="B127" s="324"/>
      <c r="C127" s="325"/>
      <c r="D127" s="326"/>
      <c r="E127" s="337"/>
      <c r="F127" s="326"/>
      <c r="G127" s="326"/>
      <c r="H127" s="338"/>
    </row>
    <row r="128" spans="1:8">
      <c r="A128" s="323"/>
      <c r="B128" s="325"/>
      <c r="C128" s="325"/>
      <c r="D128" s="326"/>
      <c r="E128" s="326"/>
      <c r="F128" s="326"/>
      <c r="G128" s="326"/>
      <c r="H128" s="333"/>
    </row>
    <row r="129" spans="1:8">
      <c r="A129" s="322"/>
      <c r="B129" s="324"/>
      <c r="C129" s="324"/>
      <c r="D129" s="326"/>
      <c r="E129" s="327"/>
      <c r="F129" s="328"/>
      <c r="G129" s="329"/>
      <c r="H129" s="338"/>
    </row>
    <row r="130" spans="1:8">
      <c r="A130" s="323"/>
      <c r="B130" s="325"/>
      <c r="C130" s="325"/>
      <c r="D130" s="326"/>
      <c r="E130" s="330"/>
      <c r="F130" s="331"/>
      <c r="G130" s="332"/>
      <c r="H130" s="333"/>
    </row>
    <row r="131" spans="1:8">
      <c r="A131" s="323"/>
      <c r="B131" s="341"/>
      <c r="C131" s="324"/>
      <c r="D131" s="326"/>
      <c r="E131" s="327"/>
      <c r="F131" s="328"/>
      <c r="G131" s="329"/>
      <c r="H131" s="338"/>
    </row>
    <row r="132" spans="1:8">
      <c r="A132" s="323"/>
      <c r="B132" s="352"/>
      <c r="C132" s="325"/>
      <c r="D132" s="326"/>
      <c r="E132" s="330"/>
      <c r="F132" s="331"/>
      <c r="G132" s="332"/>
      <c r="H132" s="333"/>
    </row>
    <row r="133" spans="1:8">
      <c r="A133" s="322"/>
      <c r="B133" s="324"/>
      <c r="C133" s="325"/>
      <c r="D133" s="326"/>
      <c r="E133" s="337"/>
      <c r="F133" s="326"/>
      <c r="G133" s="326"/>
      <c r="H133" s="338"/>
    </row>
    <row r="134" spans="1:8">
      <c r="A134" s="323"/>
      <c r="B134" s="325"/>
      <c r="C134" s="325"/>
      <c r="D134" s="326"/>
      <c r="E134" s="326"/>
      <c r="F134" s="326"/>
      <c r="G134" s="326"/>
      <c r="H134" s="333"/>
    </row>
    <row r="135" spans="1:8">
      <c r="A135" s="322"/>
      <c r="B135" s="341"/>
      <c r="C135" s="353"/>
      <c r="D135" s="343"/>
      <c r="E135" s="327"/>
      <c r="F135" s="345"/>
      <c r="G135" s="346"/>
      <c r="H135" s="333"/>
    </row>
    <row r="136" spans="1:8">
      <c r="A136" s="323"/>
      <c r="B136" s="342"/>
      <c r="C136" s="352"/>
      <c r="D136" s="344"/>
      <c r="E136" s="347"/>
      <c r="F136" s="348"/>
      <c r="G136" s="349"/>
      <c r="H136" s="333"/>
    </row>
    <row r="137" spans="1:8">
      <c r="A137" s="322"/>
      <c r="B137" s="324"/>
      <c r="C137" s="325"/>
      <c r="D137" s="326"/>
      <c r="E137" s="337"/>
      <c r="F137" s="326"/>
      <c r="G137" s="326"/>
      <c r="H137" s="338"/>
    </row>
    <row r="138" spans="1:8">
      <c r="A138" s="323"/>
      <c r="B138" s="325"/>
      <c r="C138" s="325"/>
      <c r="D138" s="326"/>
      <c r="E138" s="326"/>
      <c r="F138" s="326"/>
      <c r="G138" s="326"/>
      <c r="H138" s="333"/>
    </row>
    <row r="139" spans="1:8">
      <c r="A139" s="322"/>
      <c r="B139" s="324"/>
      <c r="C139" s="325"/>
      <c r="D139" s="326"/>
      <c r="E139" s="337"/>
      <c r="F139" s="326"/>
      <c r="G139" s="326"/>
      <c r="H139" s="338"/>
    </row>
    <row r="140" spans="1:8">
      <c r="A140" s="323"/>
      <c r="B140" s="325"/>
      <c r="C140" s="325"/>
      <c r="D140" s="326"/>
      <c r="E140" s="326"/>
      <c r="F140" s="326"/>
      <c r="G140" s="326"/>
      <c r="H140" s="333"/>
    </row>
    <row r="141" spans="1:8">
      <c r="A141" s="322"/>
      <c r="B141" s="324"/>
      <c r="C141" s="325"/>
      <c r="D141" s="326"/>
      <c r="E141" s="337"/>
      <c r="F141" s="326"/>
      <c r="G141" s="326"/>
      <c r="H141" s="338"/>
    </row>
    <row r="142" spans="1:8">
      <c r="A142" s="323"/>
      <c r="B142" s="325"/>
      <c r="C142" s="325"/>
      <c r="D142" s="326"/>
      <c r="E142" s="326"/>
      <c r="F142" s="326"/>
      <c r="G142" s="326"/>
      <c r="H142" s="333"/>
    </row>
    <row r="143" spans="1:8" ht="16.5" customHeight="1">
      <c r="A143" s="322"/>
      <c r="B143" s="341"/>
      <c r="C143" s="324"/>
      <c r="D143" s="326"/>
      <c r="E143" s="327"/>
      <c r="F143" s="328"/>
      <c r="G143" s="329"/>
      <c r="H143" s="333"/>
    </row>
    <row r="144" spans="1:8">
      <c r="A144" s="323"/>
      <c r="B144" s="352"/>
      <c r="C144" s="325"/>
      <c r="D144" s="326"/>
      <c r="E144" s="330"/>
      <c r="F144" s="331"/>
      <c r="G144" s="332"/>
      <c r="H144" s="333"/>
    </row>
    <row r="145" spans="1:8" ht="16.5" customHeight="1">
      <c r="A145" s="322"/>
      <c r="B145" s="341"/>
      <c r="C145" s="353"/>
      <c r="D145" s="343"/>
      <c r="E145" s="327"/>
      <c r="F145" s="345"/>
      <c r="G145" s="346"/>
      <c r="H145" s="338"/>
    </row>
    <row r="146" spans="1:8">
      <c r="A146" s="323"/>
      <c r="B146" s="342"/>
      <c r="C146" s="352"/>
      <c r="D146" s="344"/>
      <c r="E146" s="347"/>
      <c r="F146" s="348"/>
      <c r="G146" s="349"/>
      <c r="H146" s="333"/>
    </row>
    <row r="147" spans="1:8">
      <c r="A147" s="322"/>
      <c r="B147" s="324"/>
      <c r="C147" s="324"/>
      <c r="D147" s="326"/>
      <c r="E147" s="337"/>
      <c r="F147" s="326"/>
      <c r="G147" s="326"/>
      <c r="H147" s="338"/>
    </row>
    <row r="148" spans="1:8">
      <c r="A148" s="323"/>
      <c r="B148" s="325"/>
      <c r="C148" s="325"/>
      <c r="D148" s="326"/>
      <c r="E148" s="326"/>
      <c r="F148" s="326"/>
      <c r="G148" s="326"/>
      <c r="H148" s="333"/>
    </row>
    <row r="149" spans="1:8">
      <c r="A149" s="322"/>
      <c r="B149" s="341"/>
      <c r="C149" s="324"/>
      <c r="D149" s="326"/>
      <c r="E149" s="327"/>
      <c r="F149" s="328"/>
      <c r="G149" s="329"/>
      <c r="H149" s="333"/>
    </row>
    <row r="150" spans="1:8">
      <c r="A150" s="323"/>
      <c r="B150" s="352"/>
      <c r="C150" s="325"/>
      <c r="D150" s="326"/>
      <c r="E150" s="330"/>
      <c r="F150" s="331"/>
      <c r="G150" s="332"/>
      <c r="H150" s="333"/>
    </row>
    <row r="151" spans="1:8">
      <c r="A151" s="322"/>
      <c r="B151" s="324"/>
      <c r="C151" s="324"/>
      <c r="D151" s="326"/>
      <c r="E151" s="327"/>
      <c r="F151" s="328"/>
      <c r="G151" s="329"/>
      <c r="H151" s="333"/>
    </row>
    <row r="152" spans="1:8">
      <c r="A152" s="323"/>
      <c r="B152" s="325"/>
      <c r="C152" s="325"/>
      <c r="D152" s="326"/>
      <c r="E152" s="330"/>
      <c r="F152" s="331"/>
      <c r="G152" s="332"/>
      <c r="H152" s="333"/>
    </row>
    <row r="153" spans="1:8">
      <c r="A153" s="322"/>
      <c r="B153" s="324"/>
      <c r="C153" s="324"/>
      <c r="D153" s="326"/>
      <c r="E153" s="337"/>
      <c r="F153" s="326"/>
      <c r="G153" s="326"/>
      <c r="H153" s="338"/>
    </row>
    <row r="154" spans="1:8">
      <c r="A154" s="323"/>
      <c r="B154" s="325"/>
      <c r="C154" s="325"/>
      <c r="D154" s="326"/>
      <c r="E154" s="326"/>
      <c r="F154" s="326"/>
      <c r="G154" s="326"/>
      <c r="H154" s="333"/>
    </row>
    <row r="155" spans="1:8">
      <c r="A155" s="322"/>
      <c r="B155" s="324"/>
      <c r="C155" s="325"/>
      <c r="D155" s="326"/>
      <c r="E155" s="337"/>
      <c r="F155" s="326"/>
      <c r="G155" s="326"/>
      <c r="H155" s="338"/>
    </row>
    <row r="156" spans="1:8">
      <c r="A156" s="323"/>
      <c r="B156" s="325"/>
      <c r="C156" s="325"/>
      <c r="D156" s="326"/>
      <c r="E156" s="326"/>
      <c r="F156" s="326"/>
      <c r="G156" s="326"/>
      <c r="H156" s="333"/>
    </row>
    <row r="157" spans="1:8">
      <c r="A157" s="322"/>
      <c r="B157" s="324"/>
      <c r="C157" s="324"/>
      <c r="D157" s="326"/>
      <c r="E157" s="327"/>
      <c r="F157" s="328"/>
      <c r="G157" s="329"/>
      <c r="H157" s="333"/>
    </row>
    <row r="158" spans="1:8">
      <c r="A158" s="323"/>
      <c r="B158" s="325"/>
      <c r="C158" s="325"/>
      <c r="D158" s="326"/>
      <c r="E158" s="330"/>
      <c r="F158" s="331"/>
      <c r="G158" s="332"/>
      <c r="H158" s="333"/>
    </row>
    <row r="159" spans="1:8">
      <c r="A159" s="322"/>
      <c r="B159" s="324"/>
      <c r="C159" s="324"/>
      <c r="D159" s="326"/>
      <c r="E159" s="337"/>
      <c r="F159" s="326"/>
      <c r="G159" s="326"/>
      <c r="H159" s="333"/>
    </row>
    <row r="160" spans="1:8">
      <c r="A160" s="323"/>
      <c r="B160" s="325"/>
      <c r="C160" s="325"/>
      <c r="D160" s="326"/>
      <c r="E160" s="326"/>
      <c r="F160" s="326"/>
      <c r="G160" s="326"/>
      <c r="H160" s="333"/>
    </row>
    <row r="161" spans="1:8">
      <c r="A161" s="322"/>
      <c r="B161" s="324"/>
      <c r="C161" s="325"/>
      <c r="D161" s="326"/>
      <c r="E161" s="337"/>
      <c r="F161" s="326"/>
      <c r="G161" s="326"/>
      <c r="H161" s="333"/>
    </row>
    <row r="162" spans="1:8">
      <c r="A162" s="323"/>
      <c r="B162" s="325"/>
      <c r="C162" s="325"/>
      <c r="D162" s="326"/>
      <c r="E162" s="326"/>
      <c r="F162" s="326"/>
      <c r="G162" s="326"/>
      <c r="H162" s="333"/>
    </row>
    <row r="163" spans="1:8">
      <c r="A163" s="322"/>
      <c r="B163" s="324"/>
      <c r="C163" s="325"/>
      <c r="D163" s="326"/>
      <c r="E163" s="337"/>
      <c r="F163" s="326"/>
      <c r="G163" s="326"/>
      <c r="H163" s="338"/>
    </row>
    <row r="164" spans="1:8">
      <c r="A164" s="323"/>
      <c r="B164" s="325"/>
      <c r="C164" s="325"/>
      <c r="D164" s="326"/>
      <c r="E164" s="326"/>
      <c r="F164" s="326"/>
      <c r="G164" s="326"/>
      <c r="H164" s="333"/>
    </row>
    <row r="165" spans="1:8">
      <c r="A165" s="322"/>
      <c r="B165" s="324"/>
      <c r="C165" s="324"/>
      <c r="D165" s="326"/>
      <c r="E165" s="337"/>
      <c r="F165" s="326"/>
      <c r="G165" s="326"/>
      <c r="H165" s="333"/>
    </row>
    <row r="166" spans="1:8">
      <c r="A166" s="323"/>
      <c r="B166" s="325"/>
      <c r="C166" s="325"/>
      <c r="D166" s="326"/>
      <c r="E166" s="326"/>
      <c r="F166" s="326"/>
      <c r="G166" s="326"/>
      <c r="H166" s="333"/>
    </row>
    <row r="167" spans="1:8">
      <c r="A167" s="322"/>
      <c r="B167" s="324"/>
      <c r="C167" s="324"/>
      <c r="D167" s="326"/>
      <c r="E167" s="337"/>
      <c r="F167" s="326"/>
      <c r="G167" s="326"/>
      <c r="H167" s="338"/>
    </row>
    <row r="168" spans="1:8">
      <c r="A168" s="323"/>
      <c r="B168" s="325"/>
      <c r="C168" s="325"/>
      <c r="D168" s="326"/>
      <c r="E168" s="326"/>
      <c r="F168" s="326"/>
      <c r="G168" s="326"/>
      <c r="H168" s="333"/>
    </row>
    <row r="169" spans="1:8">
      <c r="A169" s="322"/>
      <c r="B169" s="324"/>
      <c r="C169" s="325"/>
      <c r="D169" s="326"/>
      <c r="E169" s="337"/>
      <c r="F169" s="326"/>
      <c r="G169" s="326"/>
      <c r="H169" s="338"/>
    </row>
    <row r="170" spans="1:8">
      <c r="A170" s="323"/>
      <c r="B170" s="325"/>
      <c r="C170" s="325"/>
      <c r="D170" s="326"/>
      <c r="E170" s="326"/>
      <c r="F170" s="326"/>
      <c r="G170" s="326"/>
      <c r="H170" s="333"/>
    </row>
    <row r="171" spans="1:8">
      <c r="A171" s="322"/>
      <c r="B171" s="324"/>
      <c r="C171" s="325"/>
      <c r="D171" s="326"/>
      <c r="E171" s="337"/>
      <c r="F171" s="326"/>
      <c r="G171" s="326"/>
      <c r="H171" s="338"/>
    </row>
    <row r="172" spans="1:8">
      <c r="A172" s="323"/>
      <c r="B172" s="325"/>
      <c r="C172" s="325"/>
      <c r="D172" s="326"/>
      <c r="E172" s="326"/>
      <c r="F172" s="326"/>
      <c r="G172" s="326"/>
      <c r="H172" s="333"/>
    </row>
    <row r="173" spans="1:8">
      <c r="A173" s="322"/>
      <c r="B173" s="324"/>
      <c r="C173" s="325"/>
      <c r="D173" s="326"/>
      <c r="E173" s="337"/>
      <c r="F173" s="326"/>
      <c r="G173" s="326"/>
      <c r="H173" s="333"/>
    </row>
    <row r="174" spans="1:8">
      <c r="A174" s="323"/>
      <c r="B174" s="325"/>
      <c r="C174" s="325"/>
      <c r="D174" s="326"/>
      <c r="E174" s="326"/>
      <c r="F174" s="326"/>
      <c r="G174" s="326"/>
      <c r="H174" s="333"/>
    </row>
    <row r="175" spans="1:8" ht="16.5" customHeight="1">
      <c r="A175" s="322"/>
      <c r="B175" s="324"/>
      <c r="C175" s="324"/>
      <c r="D175" s="326"/>
      <c r="E175" s="337"/>
      <c r="F175" s="326"/>
      <c r="G175" s="326"/>
      <c r="H175" s="338"/>
    </row>
    <row r="176" spans="1:8">
      <c r="A176" s="323"/>
      <c r="B176" s="325"/>
      <c r="C176" s="325"/>
      <c r="D176" s="326"/>
      <c r="E176" s="326"/>
      <c r="F176" s="326"/>
      <c r="G176" s="326"/>
      <c r="H176" s="333"/>
    </row>
    <row r="177" spans="1:8">
      <c r="A177" s="322"/>
      <c r="B177" s="324"/>
      <c r="C177" s="325"/>
      <c r="D177" s="326"/>
      <c r="E177" s="337"/>
      <c r="F177" s="326"/>
      <c r="G177" s="326"/>
      <c r="H177" s="333"/>
    </row>
    <row r="178" spans="1:8">
      <c r="A178" s="323"/>
      <c r="B178" s="325"/>
      <c r="C178" s="325"/>
      <c r="D178" s="326"/>
      <c r="E178" s="326"/>
      <c r="F178" s="326"/>
      <c r="G178" s="326"/>
      <c r="H178" s="333"/>
    </row>
    <row r="179" spans="1:8">
      <c r="A179" s="322"/>
      <c r="B179" s="324"/>
      <c r="C179" s="324"/>
      <c r="D179" s="326"/>
      <c r="E179" s="337"/>
      <c r="F179" s="326"/>
      <c r="G179" s="326"/>
      <c r="H179" s="338"/>
    </row>
    <row r="180" spans="1:8">
      <c r="A180" s="323"/>
      <c r="B180" s="325"/>
      <c r="C180" s="325"/>
      <c r="D180" s="326"/>
      <c r="E180" s="326"/>
      <c r="F180" s="326"/>
      <c r="G180" s="326"/>
      <c r="H180" s="333"/>
    </row>
    <row r="181" spans="1:8">
      <c r="A181" s="322"/>
      <c r="B181" s="324"/>
      <c r="C181" s="325"/>
      <c r="D181" s="326"/>
      <c r="E181" s="337"/>
      <c r="F181" s="326"/>
      <c r="G181" s="326"/>
      <c r="H181" s="338"/>
    </row>
    <row r="182" spans="1:8">
      <c r="A182" s="323"/>
      <c r="B182" s="325"/>
      <c r="C182" s="325"/>
      <c r="D182" s="326"/>
      <c r="E182" s="326"/>
      <c r="F182" s="326"/>
      <c r="G182" s="326"/>
      <c r="H182" s="333"/>
    </row>
    <row r="183" spans="1:8">
      <c r="A183" s="323"/>
      <c r="B183" s="324"/>
      <c r="C183" s="325"/>
      <c r="D183" s="326"/>
      <c r="E183" s="337"/>
      <c r="F183" s="326"/>
      <c r="G183" s="326"/>
      <c r="H183" s="333"/>
    </row>
    <row r="184" spans="1:8">
      <c r="A184" s="323"/>
      <c r="B184" s="325"/>
      <c r="C184" s="325"/>
      <c r="D184" s="326"/>
      <c r="E184" s="326"/>
      <c r="F184" s="326"/>
      <c r="G184" s="326"/>
      <c r="H184" s="333"/>
    </row>
    <row r="185" spans="1:8">
      <c r="A185" s="323"/>
      <c r="B185" s="324"/>
      <c r="C185" s="325"/>
      <c r="D185" s="326"/>
      <c r="E185" s="337"/>
      <c r="F185" s="326"/>
      <c r="G185" s="326"/>
      <c r="H185" s="338"/>
    </row>
    <row r="186" spans="1:8">
      <c r="A186" s="323"/>
      <c r="B186" s="325"/>
      <c r="C186" s="325"/>
      <c r="D186" s="326"/>
      <c r="E186" s="326"/>
      <c r="F186" s="326"/>
      <c r="G186" s="326"/>
      <c r="H186" s="333"/>
    </row>
    <row r="187" spans="1:8" ht="16.5" customHeight="1">
      <c r="A187" s="322"/>
      <c r="B187" s="324"/>
      <c r="C187" s="325"/>
      <c r="D187" s="326"/>
      <c r="E187" s="337"/>
      <c r="F187" s="326"/>
      <c r="G187" s="326"/>
      <c r="H187" s="333"/>
    </row>
    <row r="188" spans="1:8">
      <c r="A188" s="323"/>
      <c r="B188" s="325"/>
      <c r="C188" s="325"/>
      <c r="D188" s="326"/>
      <c r="E188" s="326"/>
      <c r="F188" s="326"/>
      <c r="G188" s="326"/>
      <c r="H188" s="333"/>
    </row>
    <row r="189" spans="1:8">
      <c r="A189" s="323"/>
      <c r="B189" s="324"/>
      <c r="C189" s="325"/>
      <c r="D189" s="326"/>
      <c r="E189" s="337"/>
      <c r="F189" s="326"/>
      <c r="G189" s="326"/>
      <c r="H189" s="333"/>
    </row>
    <row r="190" spans="1:8">
      <c r="A190" s="323"/>
      <c r="B190" s="325"/>
      <c r="C190" s="325"/>
      <c r="D190" s="326"/>
      <c r="E190" s="326"/>
      <c r="F190" s="326"/>
      <c r="G190" s="326"/>
      <c r="H190" s="333"/>
    </row>
    <row r="191" spans="1:8">
      <c r="A191" s="323"/>
      <c r="B191" s="325"/>
      <c r="C191" s="325"/>
      <c r="D191" s="326"/>
      <c r="E191" s="337"/>
      <c r="F191" s="326"/>
      <c r="G191" s="326"/>
      <c r="H191" s="333"/>
    </row>
    <row r="192" spans="1:8">
      <c r="A192" s="323"/>
      <c r="B192" s="325"/>
      <c r="C192" s="325"/>
      <c r="D192" s="326"/>
      <c r="E192" s="326"/>
      <c r="F192" s="326"/>
      <c r="G192" s="326"/>
      <c r="H192" s="333"/>
    </row>
    <row r="193" spans="1:8">
      <c r="A193" s="322"/>
      <c r="B193" s="325"/>
      <c r="C193" s="325"/>
      <c r="D193" s="326"/>
      <c r="E193" s="337"/>
      <c r="F193" s="326"/>
      <c r="G193" s="326"/>
      <c r="H193" s="333"/>
    </row>
    <row r="194" spans="1:8">
      <c r="A194" s="323"/>
      <c r="B194" s="325"/>
      <c r="C194" s="325"/>
      <c r="D194" s="326"/>
      <c r="E194" s="326"/>
      <c r="F194" s="326"/>
      <c r="G194" s="326"/>
      <c r="H194" s="333"/>
    </row>
    <row r="195" spans="1:8">
      <c r="A195" s="322"/>
      <c r="B195" s="325"/>
      <c r="C195" s="325"/>
      <c r="D195" s="326"/>
      <c r="E195" s="337"/>
      <c r="F195" s="326"/>
      <c r="G195" s="326"/>
      <c r="H195" s="333"/>
    </row>
    <row r="196" spans="1:8">
      <c r="A196" s="323"/>
      <c r="B196" s="325"/>
      <c r="C196" s="325"/>
      <c r="D196" s="326"/>
      <c r="E196" s="326"/>
      <c r="F196" s="326"/>
      <c r="G196" s="326"/>
      <c r="H196" s="333"/>
    </row>
    <row r="197" spans="1:8">
      <c r="A197" s="322"/>
      <c r="B197" s="324"/>
      <c r="C197" s="325"/>
      <c r="D197" s="326"/>
      <c r="E197" s="337"/>
      <c r="F197" s="326"/>
      <c r="G197" s="326"/>
      <c r="H197" s="333"/>
    </row>
    <row r="198" spans="1:8">
      <c r="A198" s="323"/>
      <c r="B198" s="325"/>
      <c r="C198" s="325"/>
      <c r="D198" s="326"/>
      <c r="E198" s="326"/>
      <c r="F198" s="326"/>
      <c r="G198" s="326"/>
      <c r="H198" s="333"/>
    </row>
    <row r="199" spans="1:8">
      <c r="A199" s="322"/>
      <c r="B199" s="324"/>
      <c r="C199" s="325"/>
      <c r="D199" s="326"/>
      <c r="E199" s="337"/>
      <c r="F199" s="326"/>
      <c r="G199" s="326"/>
      <c r="H199" s="338"/>
    </row>
    <row r="200" spans="1:8" s="30" customFormat="1">
      <c r="A200" s="323"/>
      <c r="B200" s="325"/>
      <c r="C200" s="325"/>
      <c r="D200" s="326"/>
      <c r="E200" s="326"/>
      <c r="F200" s="326"/>
      <c r="G200" s="326"/>
      <c r="H200" s="333"/>
    </row>
    <row r="201" spans="1:8">
      <c r="A201" s="323"/>
      <c r="B201" s="325"/>
      <c r="C201" s="325"/>
      <c r="D201" s="326"/>
      <c r="E201" s="337"/>
      <c r="F201" s="326"/>
      <c r="G201" s="326"/>
      <c r="H201" s="333"/>
    </row>
    <row r="202" spans="1:8">
      <c r="A202" s="323"/>
      <c r="B202" s="325"/>
      <c r="C202" s="325"/>
      <c r="D202" s="326"/>
      <c r="E202" s="326"/>
      <c r="F202" s="326"/>
      <c r="G202" s="326"/>
      <c r="H202" s="333"/>
    </row>
    <row r="203" spans="1:8">
      <c r="A203" s="322"/>
      <c r="B203" s="324"/>
      <c r="C203" s="325"/>
      <c r="D203" s="326"/>
      <c r="E203" s="337"/>
      <c r="F203" s="326"/>
      <c r="G203" s="326"/>
      <c r="H203" s="333"/>
    </row>
    <row r="204" spans="1:8">
      <c r="A204" s="323"/>
      <c r="B204" s="325"/>
      <c r="C204" s="325"/>
      <c r="D204" s="326"/>
      <c r="E204" s="326"/>
      <c r="F204" s="326"/>
      <c r="G204" s="326"/>
      <c r="H204" s="333"/>
    </row>
    <row r="205" spans="1:8">
      <c r="A205" s="323"/>
      <c r="B205" s="324"/>
      <c r="C205" s="325"/>
      <c r="D205" s="326"/>
      <c r="E205" s="337"/>
      <c r="F205" s="326"/>
      <c r="G205" s="326"/>
      <c r="H205" s="338"/>
    </row>
    <row r="206" spans="1:8" s="30" customFormat="1">
      <c r="A206" s="323"/>
      <c r="B206" s="325"/>
      <c r="C206" s="325"/>
      <c r="D206" s="326"/>
      <c r="E206" s="326"/>
      <c r="F206" s="326"/>
      <c r="G206" s="326"/>
      <c r="H206" s="333"/>
    </row>
    <row r="207" spans="1:8">
      <c r="A207" s="323"/>
      <c r="B207" s="324"/>
      <c r="C207" s="325"/>
      <c r="D207" s="326"/>
      <c r="E207" s="337"/>
      <c r="F207" s="326"/>
      <c r="G207" s="326"/>
      <c r="H207" s="338"/>
    </row>
    <row r="208" spans="1:8">
      <c r="A208" s="323"/>
      <c r="B208" s="325"/>
      <c r="C208" s="325"/>
      <c r="D208" s="326"/>
      <c r="E208" s="326"/>
      <c r="F208" s="326"/>
      <c r="G208" s="326"/>
      <c r="H208" s="333"/>
    </row>
    <row r="209" spans="1:8">
      <c r="A209" s="322"/>
      <c r="B209" s="324"/>
      <c r="C209" s="325"/>
      <c r="D209" s="326"/>
      <c r="E209" s="337"/>
      <c r="F209" s="326"/>
      <c r="G209" s="326"/>
      <c r="H209" s="333"/>
    </row>
    <row r="210" spans="1:8">
      <c r="A210" s="323"/>
      <c r="B210" s="325"/>
      <c r="C210" s="325"/>
      <c r="D210" s="326"/>
      <c r="E210" s="326"/>
      <c r="F210" s="326"/>
      <c r="G210" s="326"/>
      <c r="H210" s="333"/>
    </row>
    <row r="211" spans="1:8">
      <c r="A211" s="323"/>
      <c r="B211" s="324"/>
      <c r="C211" s="325"/>
      <c r="D211" s="326"/>
      <c r="E211" s="337"/>
      <c r="F211" s="326"/>
      <c r="G211" s="326"/>
      <c r="H211" s="333"/>
    </row>
    <row r="212" spans="1:8">
      <c r="A212" s="323"/>
      <c r="B212" s="325"/>
      <c r="C212" s="325"/>
      <c r="D212" s="326"/>
      <c r="E212" s="326"/>
      <c r="F212" s="326"/>
      <c r="G212" s="326"/>
      <c r="H212" s="333"/>
    </row>
    <row r="213" spans="1:8">
      <c r="A213" s="322"/>
      <c r="B213" s="324"/>
      <c r="C213" s="325"/>
      <c r="D213" s="326"/>
      <c r="E213" s="326"/>
      <c r="F213" s="326"/>
      <c r="G213" s="326"/>
      <c r="H213" s="333"/>
    </row>
    <row r="214" spans="1:8">
      <c r="A214" s="323"/>
      <c r="B214" s="325"/>
      <c r="C214" s="325"/>
      <c r="D214" s="326"/>
      <c r="E214" s="326"/>
      <c r="F214" s="326"/>
      <c r="G214" s="326"/>
      <c r="H214" s="333"/>
    </row>
    <row r="215" spans="1:8">
      <c r="A215" s="322"/>
      <c r="B215" s="324"/>
      <c r="C215" s="325"/>
      <c r="D215" s="326"/>
      <c r="E215" s="337"/>
      <c r="F215" s="326"/>
      <c r="G215" s="326"/>
      <c r="H215" s="338"/>
    </row>
    <row r="216" spans="1:8" s="30" customFormat="1">
      <c r="A216" s="323"/>
      <c r="B216" s="325"/>
      <c r="C216" s="325"/>
      <c r="D216" s="326"/>
      <c r="E216" s="326"/>
      <c r="F216" s="326"/>
      <c r="G216" s="326"/>
      <c r="H216" s="333"/>
    </row>
    <row r="217" spans="1:8">
      <c r="A217" s="323"/>
      <c r="B217" s="325"/>
      <c r="C217" s="325"/>
      <c r="D217" s="326"/>
      <c r="E217" s="337"/>
      <c r="F217" s="326"/>
      <c r="G217" s="326"/>
      <c r="H217" s="338"/>
    </row>
    <row r="218" spans="1:8">
      <c r="A218" s="323"/>
      <c r="B218" s="325"/>
      <c r="C218" s="325"/>
      <c r="D218" s="326"/>
      <c r="E218" s="326"/>
      <c r="F218" s="326"/>
      <c r="G218" s="326"/>
      <c r="H218" s="333"/>
    </row>
    <row r="219" spans="1:8">
      <c r="A219" s="322"/>
      <c r="B219" s="324"/>
      <c r="C219" s="325"/>
      <c r="D219" s="326"/>
      <c r="E219" s="337"/>
      <c r="F219" s="326"/>
      <c r="G219" s="326"/>
      <c r="H219" s="333"/>
    </row>
    <row r="220" spans="1:8">
      <c r="A220" s="323"/>
      <c r="B220" s="325"/>
      <c r="C220" s="325"/>
      <c r="D220" s="326"/>
      <c r="E220" s="326"/>
      <c r="F220" s="326"/>
      <c r="G220" s="326"/>
      <c r="H220" s="333"/>
    </row>
    <row r="221" spans="1:8">
      <c r="A221" s="322"/>
      <c r="B221" s="324"/>
      <c r="C221" s="325"/>
      <c r="D221" s="326"/>
      <c r="E221" s="337"/>
      <c r="F221" s="326"/>
      <c r="G221" s="326"/>
      <c r="H221" s="338"/>
    </row>
    <row r="222" spans="1:8" s="30" customFormat="1">
      <c r="A222" s="323"/>
      <c r="B222" s="325"/>
      <c r="C222" s="325"/>
      <c r="D222" s="326"/>
      <c r="E222" s="326"/>
      <c r="F222" s="326"/>
      <c r="G222" s="326"/>
      <c r="H222" s="333"/>
    </row>
    <row r="223" spans="1:8">
      <c r="A223" s="323"/>
      <c r="B223" s="324"/>
      <c r="C223" s="325"/>
      <c r="D223" s="326"/>
      <c r="E223" s="337"/>
      <c r="F223" s="326"/>
      <c r="G223" s="326"/>
      <c r="H223" s="338"/>
    </row>
    <row r="224" spans="1:8">
      <c r="A224" s="323"/>
      <c r="B224" s="325"/>
      <c r="C224" s="325"/>
      <c r="D224" s="326"/>
      <c r="E224" s="326"/>
      <c r="F224" s="326"/>
      <c r="G224" s="326"/>
      <c r="H224" s="333"/>
    </row>
    <row r="225" spans="1:8">
      <c r="A225" s="323"/>
      <c r="B225" s="325"/>
      <c r="C225" s="325"/>
      <c r="D225" s="326"/>
      <c r="E225" s="326"/>
      <c r="F225" s="326"/>
      <c r="G225" s="326"/>
      <c r="H225" s="338"/>
    </row>
    <row r="226" spans="1:8">
      <c r="A226" s="323"/>
      <c r="B226" s="325"/>
      <c r="C226" s="325"/>
      <c r="D226" s="326"/>
      <c r="E226" s="326"/>
      <c r="F226" s="326"/>
      <c r="G226" s="326"/>
      <c r="H226" s="333"/>
    </row>
    <row r="227" spans="1:8">
      <c r="A227" s="322"/>
      <c r="B227" s="325"/>
      <c r="C227" s="325"/>
      <c r="D227" s="326"/>
      <c r="E227" s="337"/>
      <c r="F227" s="326"/>
      <c r="G227" s="326"/>
      <c r="H227" s="338"/>
    </row>
    <row r="228" spans="1:8" s="30" customFormat="1">
      <c r="A228" s="323"/>
      <c r="B228" s="325"/>
      <c r="C228" s="325"/>
      <c r="D228" s="326"/>
      <c r="E228" s="326"/>
      <c r="F228" s="326"/>
      <c r="G228" s="326"/>
      <c r="H228" s="333"/>
    </row>
    <row r="229" spans="1:8">
      <c r="A229" s="322"/>
      <c r="B229" s="325"/>
      <c r="C229" s="325"/>
      <c r="D229" s="326"/>
      <c r="E229" s="337"/>
      <c r="F229" s="326"/>
      <c r="G229" s="326"/>
      <c r="H229" s="338"/>
    </row>
    <row r="230" spans="1:8">
      <c r="A230" s="323"/>
      <c r="B230" s="325"/>
      <c r="C230" s="325"/>
      <c r="D230" s="326"/>
      <c r="E230" s="326"/>
      <c r="F230" s="326"/>
      <c r="G230" s="326"/>
      <c r="H230" s="333"/>
    </row>
    <row r="231" spans="1:8">
      <c r="A231" s="323"/>
      <c r="B231" s="324"/>
      <c r="C231" s="325"/>
      <c r="D231" s="326"/>
      <c r="E231" s="337"/>
      <c r="F231" s="326"/>
      <c r="G231" s="326"/>
      <c r="H231" s="338"/>
    </row>
    <row r="232" spans="1:8">
      <c r="A232" s="323"/>
      <c r="B232" s="325"/>
      <c r="C232" s="325"/>
      <c r="D232" s="326"/>
      <c r="E232" s="326"/>
      <c r="F232" s="326"/>
      <c r="G232" s="326"/>
      <c r="H232" s="333"/>
    </row>
    <row r="233" spans="1:8" ht="16.5" customHeight="1">
      <c r="A233" s="322"/>
      <c r="B233" s="324"/>
      <c r="C233" s="324"/>
      <c r="D233" s="326"/>
      <c r="E233" s="327"/>
      <c r="F233" s="328"/>
      <c r="G233" s="329"/>
      <c r="H233" s="338"/>
    </row>
    <row r="234" spans="1:8" ht="16.5" customHeight="1">
      <c r="A234" s="323"/>
      <c r="B234" s="325"/>
      <c r="C234" s="325"/>
      <c r="D234" s="326"/>
      <c r="E234" s="330"/>
      <c r="F234" s="331"/>
      <c r="G234" s="332"/>
      <c r="H234" s="333"/>
    </row>
    <row r="235" spans="1:8" ht="16.5" customHeight="1">
      <c r="A235" s="322"/>
      <c r="B235" s="324"/>
      <c r="C235" s="325"/>
      <c r="D235" s="326"/>
      <c r="E235" s="326"/>
      <c r="F235" s="326"/>
      <c r="G235" s="326"/>
      <c r="H235" s="338"/>
    </row>
    <row r="236" spans="1:8" ht="16.5" customHeight="1">
      <c r="A236" s="323"/>
      <c r="B236" s="325"/>
      <c r="C236" s="325"/>
      <c r="D236" s="326"/>
      <c r="E236" s="326"/>
      <c r="F236" s="326"/>
      <c r="G236" s="326"/>
      <c r="H236" s="333"/>
    </row>
    <row r="237" spans="1:8" ht="16.5" customHeight="1">
      <c r="A237" s="336"/>
      <c r="B237" s="324"/>
      <c r="C237" s="324"/>
      <c r="D237" s="326"/>
      <c r="E237" s="327"/>
      <c r="F237" s="328"/>
      <c r="G237" s="329"/>
      <c r="H237" s="350"/>
    </row>
    <row r="238" spans="1:8" ht="16.5" customHeight="1">
      <c r="A238" s="323"/>
      <c r="B238" s="325"/>
      <c r="C238" s="325"/>
      <c r="D238" s="326"/>
      <c r="E238" s="330"/>
      <c r="F238" s="331"/>
      <c r="G238" s="332"/>
      <c r="H238" s="351"/>
    </row>
    <row r="239" spans="1:8" ht="16.5" customHeight="1">
      <c r="A239" s="322"/>
      <c r="B239" s="324"/>
      <c r="C239" s="325"/>
      <c r="D239" s="326"/>
      <c r="E239" s="337"/>
      <c r="F239" s="326"/>
      <c r="G239" s="326"/>
      <c r="H239" s="338"/>
    </row>
    <row r="240" spans="1:8" ht="16.5" customHeight="1">
      <c r="A240" s="323"/>
      <c r="B240" s="325"/>
      <c r="C240" s="325"/>
      <c r="D240" s="326"/>
      <c r="E240" s="326"/>
      <c r="F240" s="326"/>
      <c r="G240" s="326"/>
      <c r="H240" s="333"/>
    </row>
    <row r="241" spans="1:8" ht="16.5" customHeight="1">
      <c r="A241" s="335"/>
      <c r="B241" s="324"/>
      <c r="C241" s="341"/>
      <c r="D241" s="343"/>
      <c r="E241" s="327"/>
      <c r="F241" s="345"/>
      <c r="G241" s="346"/>
      <c r="H241" s="333"/>
    </row>
    <row r="242" spans="1:8" ht="16.5" customHeight="1">
      <c r="A242" s="336"/>
      <c r="B242" s="325"/>
      <c r="C242" s="342"/>
      <c r="D242" s="344"/>
      <c r="E242" s="347"/>
      <c r="F242" s="348"/>
      <c r="G242" s="349"/>
      <c r="H242" s="333"/>
    </row>
    <row r="243" spans="1:8" ht="16.5" customHeight="1">
      <c r="A243" s="322"/>
      <c r="B243" s="324"/>
      <c r="C243" s="325"/>
      <c r="D243" s="326"/>
      <c r="E243" s="327"/>
      <c r="F243" s="328"/>
      <c r="G243" s="329"/>
      <c r="H243" s="333"/>
    </row>
    <row r="244" spans="1:8" ht="16.5" customHeight="1">
      <c r="A244" s="323"/>
      <c r="B244" s="325"/>
      <c r="C244" s="325"/>
      <c r="D244" s="326"/>
      <c r="E244" s="330"/>
      <c r="F244" s="331"/>
      <c r="G244" s="332"/>
      <c r="H244" s="333"/>
    </row>
    <row r="245" spans="1:8" ht="16.5" customHeight="1">
      <c r="A245" s="322"/>
      <c r="B245" s="324"/>
      <c r="C245" s="324"/>
      <c r="D245" s="326"/>
      <c r="E245" s="327"/>
      <c r="F245" s="328"/>
      <c r="G245" s="329"/>
      <c r="H245" s="333"/>
    </row>
    <row r="246" spans="1:8" ht="16.5" customHeight="1">
      <c r="A246" s="323"/>
      <c r="B246" s="325"/>
      <c r="C246" s="325"/>
      <c r="D246" s="326"/>
      <c r="E246" s="330"/>
      <c r="F246" s="331"/>
      <c r="G246" s="332"/>
      <c r="H246" s="333"/>
    </row>
    <row r="247" spans="1:8" ht="16.5" customHeight="1">
      <c r="A247" s="322"/>
      <c r="B247" s="324"/>
      <c r="C247" s="325"/>
      <c r="D247" s="326"/>
      <c r="E247" s="327"/>
      <c r="F247" s="328"/>
      <c r="G247" s="329"/>
      <c r="H247" s="333"/>
    </row>
    <row r="248" spans="1:8" ht="16.5" customHeight="1">
      <c r="A248" s="323"/>
      <c r="B248" s="325"/>
      <c r="C248" s="325"/>
      <c r="D248" s="326"/>
      <c r="E248" s="330"/>
      <c r="F248" s="331"/>
      <c r="G248" s="332"/>
      <c r="H248" s="333"/>
    </row>
    <row r="249" spans="1:8" ht="16.5" customHeight="1">
      <c r="A249" s="322"/>
      <c r="B249" s="324"/>
      <c r="C249" s="325"/>
      <c r="D249" s="326"/>
      <c r="E249" s="327"/>
      <c r="F249" s="328"/>
      <c r="G249" s="329"/>
      <c r="H249" s="333"/>
    </row>
    <row r="250" spans="1:8" ht="17.25" customHeight="1">
      <c r="A250" s="323"/>
      <c r="B250" s="325"/>
      <c r="C250" s="325"/>
      <c r="D250" s="326"/>
      <c r="E250" s="330"/>
      <c r="F250" s="331"/>
      <c r="G250" s="332"/>
      <c r="H250" s="333"/>
    </row>
    <row r="251" spans="1:8" ht="16.5" customHeight="1">
      <c r="A251" s="322"/>
      <c r="B251" s="324"/>
      <c r="C251" s="325"/>
      <c r="D251" s="326"/>
      <c r="E251" s="327"/>
      <c r="F251" s="328"/>
      <c r="G251" s="329"/>
      <c r="H251" s="333"/>
    </row>
    <row r="252" spans="1:8" ht="16.5" customHeight="1">
      <c r="A252" s="323"/>
      <c r="B252" s="325"/>
      <c r="C252" s="325"/>
      <c r="D252" s="326"/>
      <c r="E252" s="330"/>
      <c r="F252" s="331"/>
      <c r="G252" s="332"/>
      <c r="H252" s="333"/>
    </row>
    <row r="253" spans="1:8" ht="16.5" customHeight="1">
      <c r="A253" s="322"/>
      <c r="B253" s="324"/>
      <c r="C253" s="324"/>
      <c r="D253" s="326"/>
      <c r="E253" s="327"/>
      <c r="F253" s="328"/>
      <c r="G253" s="329"/>
      <c r="H253" s="333"/>
    </row>
    <row r="254" spans="1:8" ht="16.5" customHeight="1">
      <c r="A254" s="323"/>
      <c r="B254" s="325"/>
      <c r="C254" s="325"/>
      <c r="D254" s="326"/>
      <c r="E254" s="330"/>
      <c r="F254" s="331"/>
      <c r="G254" s="332"/>
      <c r="H254" s="333"/>
    </row>
    <row r="255" spans="1:8" ht="16.5" customHeight="1">
      <c r="A255" s="322"/>
      <c r="B255" s="324"/>
      <c r="C255" s="324"/>
      <c r="D255" s="326"/>
      <c r="E255" s="327"/>
      <c r="F255" s="328"/>
      <c r="G255" s="329"/>
      <c r="H255" s="333"/>
    </row>
    <row r="256" spans="1:8" ht="16.5" customHeight="1">
      <c r="A256" s="323"/>
      <c r="B256" s="325"/>
      <c r="C256" s="325"/>
      <c r="D256" s="326"/>
      <c r="E256" s="330"/>
      <c r="F256" s="331"/>
      <c r="G256" s="332"/>
      <c r="H256" s="333"/>
    </row>
    <row r="257" spans="1:11" ht="16.5" customHeight="1">
      <c r="A257" s="322"/>
      <c r="B257" s="324"/>
      <c r="C257" s="325"/>
      <c r="D257" s="326"/>
      <c r="E257" s="337"/>
      <c r="F257" s="326"/>
      <c r="G257" s="326"/>
      <c r="H257" s="333"/>
    </row>
    <row r="258" spans="1:11" ht="16.5" customHeight="1">
      <c r="A258" s="323"/>
      <c r="B258" s="325"/>
      <c r="C258" s="325"/>
      <c r="D258" s="326"/>
      <c r="E258" s="326"/>
      <c r="F258" s="326"/>
      <c r="G258" s="326"/>
      <c r="H258" s="333"/>
    </row>
    <row r="259" spans="1:11" ht="16.5" customHeight="1">
      <c r="A259" s="322"/>
      <c r="B259" s="324"/>
      <c r="C259" s="324"/>
      <c r="D259" s="326"/>
      <c r="E259" s="337"/>
      <c r="F259" s="326"/>
      <c r="G259" s="326"/>
      <c r="H259" s="333"/>
    </row>
    <row r="260" spans="1:11" ht="16.5" customHeight="1">
      <c r="A260" s="323"/>
      <c r="B260" s="325"/>
      <c r="C260" s="325"/>
      <c r="D260" s="326"/>
      <c r="E260" s="326"/>
      <c r="F260" s="326"/>
      <c r="G260" s="326"/>
      <c r="H260" s="333"/>
    </row>
    <row r="261" spans="1:11" ht="16.5" customHeight="1">
      <c r="A261" s="339"/>
      <c r="B261" s="324"/>
      <c r="C261" s="324"/>
      <c r="D261" s="326"/>
      <c r="E261" s="327"/>
      <c r="F261" s="328"/>
      <c r="G261" s="329"/>
      <c r="H261" s="333"/>
    </row>
    <row r="262" spans="1:11" ht="16.5" customHeight="1">
      <c r="A262" s="340"/>
      <c r="B262" s="325"/>
      <c r="C262" s="325"/>
      <c r="D262" s="326"/>
      <c r="E262" s="330"/>
      <c r="F262" s="331"/>
      <c r="G262" s="332"/>
      <c r="H262" s="333"/>
    </row>
    <row r="263" spans="1:11" ht="16.5" customHeight="1">
      <c r="A263" s="322"/>
      <c r="B263" s="324"/>
      <c r="C263" s="324"/>
      <c r="D263" s="326"/>
      <c r="E263" s="327"/>
      <c r="F263" s="328"/>
      <c r="G263" s="329"/>
      <c r="H263" s="333"/>
    </row>
    <row r="264" spans="1:11" ht="16.5" customHeight="1">
      <c r="A264" s="323"/>
      <c r="B264" s="325"/>
      <c r="C264" s="325"/>
      <c r="D264" s="326"/>
      <c r="E264" s="330"/>
      <c r="F264" s="331"/>
      <c r="G264" s="332"/>
      <c r="H264" s="333"/>
      <c r="K264" s="24"/>
    </row>
    <row r="265" spans="1:11" ht="16.5" customHeight="1">
      <c r="A265" s="322"/>
      <c r="B265" s="324"/>
      <c r="C265" s="324"/>
      <c r="D265" s="326"/>
      <c r="E265" s="327"/>
      <c r="F265" s="328"/>
      <c r="G265" s="329"/>
      <c r="H265" s="338"/>
    </row>
    <row r="266" spans="1:11" ht="16.5" customHeight="1">
      <c r="A266" s="323"/>
      <c r="B266" s="325"/>
      <c r="C266" s="325"/>
      <c r="D266" s="326"/>
      <c r="E266" s="330"/>
      <c r="F266" s="331"/>
      <c r="G266" s="332"/>
      <c r="H266" s="333"/>
      <c r="K266" s="24"/>
    </row>
    <row r="267" spans="1:11" ht="16.5" customHeight="1">
      <c r="A267" s="322"/>
      <c r="B267" s="324"/>
      <c r="C267" s="324"/>
      <c r="D267" s="326"/>
      <c r="E267" s="327"/>
      <c r="F267" s="328"/>
      <c r="G267" s="329"/>
      <c r="H267" s="333"/>
      <c r="K267" s="24"/>
    </row>
    <row r="268" spans="1:11" ht="16.5" customHeight="1">
      <c r="A268" s="323"/>
      <c r="B268" s="325"/>
      <c r="C268" s="325"/>
      <c r="D268" s="326"/>
      <c r="E268" s="330"/>
      <c r="F268" s="331"/>
      <c r="G268" s="332"/>
      <c r="H268" s="333"/>
      <c r="K268" s="24"/>
    </row>
    <row r="269" spans="1:11" ht="16.5" customHeight="1">
      <c r="A269" s="322"/>
      <c r="B269" s="324"/>
      <c r="C269" s="325"/>
      <c r="D269" s="326"/>
      <c r="E269" s="337"/>
      <c r="F269" s="326"/>
      <c r="G269" s="326"/>
      <c r="H269" s="333"/>
      <c r="K269" s="24"/>
    </row>
    <row r="270" spans="1:11" ht="16.5" customHeight="1">
      <c r="A270" s="323"/>
      <c r="B270" s="325"/>
      <c r="C270" s="325"/>
      <c r="D270" s="326"/>
      <c r="E270" s="326"/>
      <c r="F270" s="326"/>
      <c r="G270" s="326"/>
      <c r="H270" s="333"/>
      <c r="K270" s="24"/>
    </row>
    <row r="271" spans="1:11" ht="16.5" customHeight="1">
      <c r="A271" s="322"/>
      <c r="B271" s="324"/>
      <c r="C271" s="325"/>
      <c r="D271" s="326"/>
      <c r="E271" s="327"/>
      <c r="F271" s="328"/>
      <c r="G271" s="329"/>
      <c r="H271" s="338"/>
      <c r="I271" s="4"/>
    </row>
    <row r="272" spans="1:11" ht="16.5" customHeight="1">
      <c r="A272" s="323"/>
      <c r="B272" s="325"/>
      <c r="C272" s="325"/>
      <c r="D272" s="326"/>
      <c r="E272" s="330"/>
      <c r="F272" s="331"/>
      <c r="G272" s="332"/>
      <c r="H272" s="333"/>
    </row>
    <row r="273" spans="1:11" ht="16.5" customHeight="1">
      <c r="A273" s="322"/>
      <c r="B273" s="324"/>
      <c r="C273" s="325"/>
      <c r="D273" s="326"/>
      <c r="E273" s="327"/>
      <c r="F273" s="328"/>
      <c r="G273" s="329"/>
      <c r="H273" s="333"/>
    </row>
    <row r="274" spans="1:11" ht="16.5" customHeight="1">
      <c r="A274" s="323"/>
      <c r="B274" s="325"/>
      <c r="C274" s="325"/>
      <c r="D274" s="326"/>
      <c r="E274" s="330"/>
      <c r="F274" s="331"/>
      <c r="G274" s="332"/>
      <c r="H274" s="333"/>
    </row>
    <row r="275" spans="1:11" ht="16.5" customHeight="1">
      <c r="A275" s="322"/>
      <c r="B275" s="324"/>
      <c r="C275" s="325"/>
      <c r="D275" s="326"/>
      <c r="E275" s="327"/>
      <c r="F275" s="328"/>
      <c r="G275" s="329"/>
      <c r="H275" s="333"/>
    </row>
    <row r="276" spans="1:11" ht="16.5" customHeight="1">
      <c r="A276" s="323"/>
      <c r="B276" s="325"/>
      <c r="C276" s="325"/>
      <c r="D276" s="326"/>
      <c r="E276" s="330"/>
      <c r="F276" s="331"/>
      <c r="G276" s="332"/>
      <c r="H276" s="333"/>
    </row>
    <row r="277" spans="1:11" ht="16.5" customHeight="1">
      <c r="A277" s="322"/>
      <c r="B277" s="324"/>
      <c r="C277" s="325"/>
      <c r="D277" s="326"/>
      <c r="E277" s="327"/>
      <c r="F277" s="328"/>
      <c r="G277" s="329"/>
      <c r="H277" s="333"/>
    </row>
    <row r="278" spans="1:11" ht="16.5" customHeight="1">
      <c r="A278" s="323"/>
      <c r="B278" s="325"/>
      <c r="C278" s="325"/>
      <c r="D278" s="326"/>
      <c r="E278" s="330"/>
      <c r="F278" s="331"/>
      <c r="G278" s="332"/>
      <c r="H278" s="333"/>
    </row>
    <row r="279" spans="1:11" ht="16.5" customHeight="1">
      <c r="A279" s="322"/>
      <c r="B279" s="324"/>
      <c r="C279" s="325"/>
      <c r="D279" s="326"/>
      <c r="E279" s="327"/>
      <c r="F279" s="328"/>
      <c r="G279" s="329"/>
      <c r="H279" s="333"/>
    </row>
    <row r="280" spans="1:11" ht="16.5" customHeight="1">
      <c r="A280" s="323"/>
      <c r="B280" s="325"/>
      <c r="C280" s="325"/>
      <c r="D280" s="326"/>
      <c r="E280" s="330"/>
      <c r="F280" s="331"/>
      <c r="G280" s="332"/>
      <c r="H280" s="333"/>
    </row>
    <row r="281" spans="1:11" ht="16.5" customHeight="1">
      <c r="A281" s="322"/>
      <c r="B281" s="324"/>
      <c r="C281" s="326"/>
      <c r="D281" s="326"/>
      <c r="E281" s="327"/>
      <c r="F281" s="328"/>
      <c r="G281" s="329"/>
      <c r="H281" s="333"/>
    </row>
    <row r="282" spans="1:11" ht="16.5" customHeight="1">
      <c r="A282" s="323"/>
      <c r="B282" s="325"/>
      <c r="C282" s="326"/>
      <c r="D282" s="326"/>
      <c r="E282" s="330"/>
      <c r="F282" s="331"/>
      <c r="G282" s="332"/>
      <c r="H282" s="333"/>
    </row>
    <row r="283" spans="1:11" ht="16.5" customHeight="1">
      <c r="A283" s="322"/>
      <c r="B283" s="324"/>
      <c r="C283" s="325"/>
      <c r="D283" s="326"/>
      <c r="E283" s="337"/>
      <c r="F283" s="326"/>
      <c r="G283" s="326"/>
      <c r="H283" s="333"/>
      <c r="I283" s="3"/>
      <c r="K283" s="23"/>
    </row>
    <row r="284" spans="1:11" ht="16.5" customHeight="1">
      <c r="A284" s="323"/>
      <c r="B284" s="325"/>
      <c r="C284" s="325"/>
      <c r="D284" s="326"/>
      <c r="E284" s="326"/>
      <c r="F284" s="326"/>
      <c r="G284" s="326"/>
      <c r="H284" s="333"/>
    </row>
    <row r="285" spans="1:11" ht="16.5" customHeight="1">
      <c r="A285" s="322"/>
      <c r="B285" s="324"/>
      <c r="C285" s="325"/>
      <c r="D285" s="326"/>
      <c r="E285" s="327"/>
      <c r="F285" s="328"/>
      <c r="G285" s="329"/>
      <c r="H285" s="333"/>
    </row>
    <row r="286" spans="1:11" ht="16.5" customHeight="1">
      <c r="A286" s="323"/>
      <c r="B286" s="325"/>
      <c r="C286" s="325"/>
      <c r="D286" s="326"/>
      <c r="E286" s="330"/>
      <c r="F286" s="331"/>
      <c r="G286" s="332"/>
      <c r="H286" s="333"/>
    </row>
    <row r="287" spans="1:11" ht="16.5" customHeight="1">
      <c r="A287" s="322"/>
      <c r="B287" s="324"/>
      <c r="C287" s="324"/>
      <c r="D287" s="326"/>
      <c r="E287" s="327"/>
      <c r="F287" s="328"/>
      <c r="G287" s="329"/>
      <c r="H287" s="333"/>
    </row>
    <row r="288" spans="1:11" ht="16.5" customHeight="1">
      <c r="A288" s="323"/>
      <c r="B288" s="325"/>
      <c r="C288" s="325"/>
      <c r="D288" s="326"/>
      <c r="E288" s="330"/>
      <c r="F288" s="331"/>
      <c r="G288" s="332"/>
      <c r="H288" s="333"/>
    </row>
    <row r="289" spans="1:8" ht="16.5" customHeight="1">
      <c r="A289" s="335"/>
      <c r="B289" s="324"/>
      <c r="C289" s="325"/>
      <c r="D289" s="326"/>
      <c r="E289" s="327"/>
      <c r="F289" s="328"/>
      <c r="G289" s="329"/>
      <c r="H289" s="333"/>
    </row>
    <row r="290" spans="1:8" ht="16.5" customHeight="1">
      <c r="A290" s="336"/>
      <c r="B290" s="325"/>
      <c r="C290" s="325"/>
      <c r="D290" s="326"/>
      <c r="E290" s="330"/>
      <c r="F290" s="331"/>
      <c r="G290" s="332"/>
      <c r="H290" s="333"/>
    </row>
    <row r="291" spans="1:8" ht="16.5" customHeight="1">
      <c r="A291" s="334"/>
      <c r="B291" s="324"/>
      <c r="C291" s="324"/>
      <c r="D291" s="326"/>
      <c r="E291" s="327"/>
      <c r="F291" s="328"/>
      <c r="G291" s="329"/>
      <c r="H291" s="333"/>
    </row>
    <row r="292" spans="1:8" ht="16.5" customHeight="1">
      <c r="A292" s="323"/>
      <c r="B292" s="325"/>
      <c r="C292" s="325"/>
      <c r="D292" s="326"/>
      <c r="E292" s="330"/>
      <c r="F292" s="331"/>
      <c r="G292" s="332"/>
      <c r="H292" s="333"/>
    </row>
    <row r="293" spans="1:8" ht="16.5" customHeight="1">
      <c r="A293" s="322"/>
      <c r="B293" s="324"/>
      <c r="C293" s="325"/>
      <c r="D293" s="326"/>
      <c r="E293" s="327"/>
      <c r="F293" s="328"/>
      <c r="G293" s="329"/>
      <c r="H293" s="333"/>
    </row>
    <row r="294" spans="1:8" ht="16.5" customHeight="1">
      <c r="A294" s="323"/>
      <c r="B294" s="325"/>
      <c r="C294" s="325"/>
      <c r="D294" s="326"/>
      <c r="E294" s="330"/>
      <c r="F294" s="331"/>
      <c r="G294" s="332"/>
      <c r="H294" s="333"/>
    </row>
    <row r="295" spans="1:8" ht="16.5" customHeight="1">
      <c r="A295" s="313"/>
      <c r="B295" s="314"/>
      <c r="C295" s="307"/>
      <c r="D295" s="309"/>
      <c r="E295" s="315"/>
      <c r="F295" s="316"/>
      <c r="G295" s="317"/>
      <c r="H295" s="321"/>
    </row>
    <row r="296" spans="1:8" ht="16.5" customHeight="1">
      <c r="A296" s="305"/>
      <c r="B296" s="307"/>
      <c r="C296" s="307"/>
      <c r="D296" s="309"/>
      <c r="E296" s="318"/>
      <c r="F296" s="319"/>
      <c r="G296" s="320"/>
      <c r="H296" s="311"/>
    </row>
    <row r="297" spans="1:8" ht="16.5" customHeight="1">
      <c r="A297" s="313"/>
      <c r="B297" s="314"/>
      <c r="C297" s="307"/>
      <c r="D297" s="309"/>
      <c r="E297" s="315"/>
      <c r="F297" s="316"/>
      <c r="G297" s="317"/>
      <c r="H297" s="321"/>
    </row>
    <row r="298" spans="1:8" ht="16.5" customHeight="1">
      <c r="A298" s="305"/>
      <c r="B298" s="307"/>
      <c r="C298" s="307"/>
      <c r="D298" s="309"/>
      <c r="E298" s="318"/>
      <c r="F298" s="319"/>
      <c r="G298" s="320"/>
      <c r="H298" s="311"/>
    </row>
    <row r="299" spans="1:8">
      <c r="A299" s="305"/>
      <c r="B299" s="307"/>
      <c r="C299" s="307"/>
      <c r="D299" s="309"/>
      <c r="E299" s="309"/>
      <c r="F299" s="309"/>
      <c r="G299" s="309"/>
      <c r="H299" s="311"/>
    </row>
    <row r="300" spans="1:8">
      <c r="A300" s="305"/>
      <c r="B300" s="307"/>
      <c r="C300" s="307"/>
      <c r="D300" s="309"/>
      <c r="E300" s="309"/>
      <c r="F300" s="309"/>
      <c r="G300" s="309"/>
      <c r="H300" s="311"/>
    </row>
    <row r="301" spans="1:8" ht="16.5" customHeight="1">
      <c r="A301" s="313"/>
      <c r="B301" s="314"/>
      <c r="C301" s="307"/>
      <c r="D301" s="309"/>
      <c r="E301" s="315"/>
      <c r="F301" s="316"/>
      <c r="G301" s="317"/>
      <c r="H301" s="311"/>
    </row>
    <row r="302" spans="1:8" ht="16.5" customHeight="1">
      <c r="A302" s="305"/>
      <c r="B302" s="307"/>
      <c r="C302" s="307"/>
      <c r="D302" s="309"/>
      <c r="E302" s="318"/>
      <c r="F302" s="319"/>
      <c r="G302" s="320"/>
      <c r="H302" s="311"/>
    </row>
    <row r="303" spans="1:8" ht="16.5" customHeight="1">
      <c r="A303" s="313"/>
      <c r="B303" s="314"/>
      <c r="C303" s="307"/>
      <c r="D303" s="309"/>
      <c r="E303" s="315"/>
      <c r="F303" s="316"/>
      <c r="G303" s="317"/>
      <c r="H303" s="311"/>
    </row>
    <row r="304" spans="1:8" ht="16.5" customHeight="1">
      <c r="A304" s="305"/>
      <c r="B304" s="307"/>
      <c r="C304" s="307"/>
      <c r="D304" s="309"/>
      <c r="E304" s="318"/>
      <c r="F304" s="319"/>
      <c r="G304" s="320"/>
      <c r="H304" s="311"/>
    </row>
    <row r="305" spans="1:8" ht="16.5" customHeight="1">
      <c r="A305" s="313"/>
      <c r="B305" s="314"/>
      <c r="C305" s="307"/>
      <c r="D305" s="309"/>
      <c r="E305" s="315"/>
      <c r="F305" s="316"/>
      <c r="G305" s="317"/>
      <c r="H305" s="321"/>
    </row>
    <row r="306" spans="1:8" ht="16.5" customHeight="1">
      <c r="A306" s="305"/>
      <c r="B306" s="307"/>
      <c r="C306" s="307"/>
      <c r="D306" s="309"/>
      <c r="E306" s="318"/>
      <c r="F306" s="319"/>
      <c r="G306" s="320"/>
      <c r="H306" s="311"/>
    </row>
    <row r="307" spans="1:8" ht="16.5" customHeight="1">
      <c r="A307" s="313"/>
      <c r="B307" s="314"/>
      <c r="C307" s="307"/>
      <c r="D307" s="309"/>
      <c r="E307" s="315"/>
      <c r="F307" s="316"/>
      <c r="G307" s="317"/>
      <c r="H307" s="321"/>
    </row>
    <row r="308" spans="1:8" ht="16.5" customHeight="1">
      <c r="A308" s="305"/>
      <c r="B308" s="307"/>
      <c r="C308" s="307"/>
      <c r="D308" s="309"/>
      <c r="E308" s="318"/>
      <c r="F308" s="319"/>
      <c r="G308" s="320"/>
      <c r="H308" s="311"/>
    </row>
    <row r="309" spans="1:8">
      <c r="A309" s="305"/>
      <c r="B309" s="307"/>
      <c r="C309" s="307"/>
      <c r="D309" s="309"/>
      <c r="E309" s="309"/>
      <c r="F309" s="309"/>
      <c r="G309" s="309"/>
      <c r="H309" s="311"/>
    </row>
    <row r="310" spans="1:8">
      <c r="A310" s="305"/>
      <c r="B310" s="307"/>
      <c r="C310" s="307"/>
      <c r="D310" s="309"/>
      <c r="E310" s="309"/>
      <c r="F310" s="309"/>
      <c r="G310" s="309"/>
      <c r="H310" s="311"/>
    </row>
    <row r="311" spans="1:8" ht="16.5" customHeight="1">
      <c r="A311" s="313"/>
      <c r="B311" s="314"/>
      <c r="C311" s="307"/>
      <c r="D311" s="309"/>
      <c r="E311" s="315"/>
      <c r="F311" s="316"/>
      <c r="G311" s="317"/>
      <c r="H311" s="311"/>
    </row>
    <row r="312" spans="1:8" ht="16.5" customHeight="1">
      <c r="A312" s="305"/>
      <c r="B312" s="307"/>
      <c r="C312" s="307"/>
      <c r="D312" s="309"/>
      <c r="E312" s="318"/>
      <c r="F312" s="319"/>
      <c r="G312" s="320"/>
      <c r="H312" s="311"/>
    </row>
    <row r="313" spans="1:8" ht="16.5" customHeight="1">
      <c r="A313" s="313"/>
      <c r="B313" s="314"/>
      <c r="C313" s="307"/>
      <c r="D313" s="309"/>
      <c r="E313" s="315"/>
      <c r="F313" s="316"/>
      <c r="G313" s="317"/>
      <c r="H313" s="321"/>
    </row>
    <row r="314" spans="1:8" ht="16.5" customHeight="1">
      <c r="A314" s="305"/>
      <c r="B314" s="307"/>
      <c r="C314" s="307"/>
      <c r="D314" s="309"/>
      <c r="E314" s="318"/>
      <c r="F314" s="319"/>
      <c r="G314" s="320"/>
      <c r="H314" s="311"/>
    </row>
    <row r="315" spans="1:8" ht="16.5" customHeight="1">
      <c r="A315" s="313"/>
      <c r="B315" s="314"/>
      <c r="C315" s="307"/>
      <c r="D315" s="309"/>
      <c r="E315" s="315"/>
      <c r="F315" s="316"/>
      <c r="G315" s="317"/>
      <c r="H315" s="321"/>
    </row>
    <row r="316" spans="1:8" ht="16.5" customHeight="1">
      <c r="A316" s="305"/>
      <c r="B316" s="307"/>
      <c r="C316" s="307"/>
      <c r="D316" s="309"/>
      <c r="E316" s="318"/>
      <c r="F316" s="319"/>
      <c r="G316" s="320"/>
      <c r="H316" s="311"/>
    </row>
    <row r="317" spans="1:8">
      <c r="A317" s="305"/>
      <c r="B317" s="307"/>
      <c r="C317" s="307"/>
      <c r="D317" s="309"/>
      <c r="E317" s="309"/>
      <c r="F317" s="309"/>
      <c r="G317" s="309"/>
      <c r="H317" s="311"/>
    </row>
    <row r="318" spans="1:8">
      <c r="A318" s="305"/>
      <c r="B318" s="307"/>
      <c r="C318" s="307"/>
      <c r="D318" s="309"/>
      <c r="E318" s="309"/>
      <c r="F318" s="309"/>
      <c r="G318" s="309"/>
      <c r="H318" s="311"/>
    </row>
    <row r="319" spans="1:8">
      <c r="A319" s="305"/>
      <c r="B319" s="307"/>
      <c r="C319" s="307"/>
      <c r="D319" s="309"/>
      <c r="E319" s="309"/>
      <c r="F319" s="309"/>
      <c r="G319" s="309"/>
      <c r="H319" s="311"/>
    </row>
    <row r="320" spans="1:8" ht="17.25" thickBot="1">
      <c r="A320" s="306"/>
      <c r="B320" s="308"/>
      <c r="C320" s="308"/>
      <c r="D320" s="310"/>
      <c r="E320" s="310"/>
      <c r="F320" s="310"/>
      <c r="G320" s="310"/>
      <c r="H320" s="312"/>
    </row>
  </sheetData>
  <mergeCells count="967">
    <mergeCell ref="A319:A320"/>
    <mergeCell ref="B319:B320"/>
    <mergeCell ref="C319:C320"/>
    <mergeCell ref="D319:D320"/>
    <mergeCell ref="E319:G320"/>
    <mergeCell ref="H319:H320"/>
    <mergeCell ref="A317:A318"/>
    <mergeCell ref="B317:B318"/>
    <mergeCell ref="C317:C318"/>
    <mergeCell ref="D317:D318"/>
    <mergeCell ref="E317:G318"/>
    <mergeCell ref="H317:H318"/>
    <mergeCell ref="A315:A316"/>
    <mergeCell ref="B315:B316"/>
    <mergeCell ref="C315:C316"/>
    <mergeCell ref="D315:D316"/>
    <mergeCell ref="E315:G316"/>
    <mergeCell ref="H315:H316"/>
    <mergeCell ref="A313:A314"/>
    <mergeCell ref="B313:B314"/>
    <mergeCell ref="C313:C314"/>
    <mergeCell ref="D313:D314"/>
    <mergeCell ref="E313:G314"/>
    <mergeCell ref="H313:H314"/>
    <mergeCell ref="A311:A312"/>
    <mergeCell ref="B311:B312"/>
    <mergeCell ref="C311:C312"/>
    <mergeCell ref="D311:D312"/>
    <mergeCell ref="E311:G312"/>
    <mergeCell ref="H311:H312"/>
    <mergeCell ref="A309:A310"/>
    <mergeCell ref="B309:B310"/>
    <mergeCell ref="C309:C310"/>
    <mergeCell ref="D309:D310"/>
    <mergeCell ref="E309:G310"/>
    <mergeCell ref="H309:H310"/>
    <mergeCell ref="A307:A308"/>
    <mergeCell ref="B307:B308"/>
    <mergeCell ref="C307:C308"/>
    <mergeCell ref="D307:D308"/>
    <mergeCell ref="E307:G308"/>
    <mergeCell ref="H307:H308"/>
    <mergeCell ref="A305:A306"/>
    <mergeCell ref="B305:B306"/>
    <mergeCell ref="C305:C306"/>
    <mergeCell ref="D305:D306"/>
    <mergeCell ref="E305:G306"/>
    <mergeCell ref="H305:H306"/>
    <mergeCell ref="A303:A304"/>
    <mergeCell ref="B303:B304"/>
    <mergeCell ref="C303:C304"/>
    <mergeCell ref="D303:D304"/>
    <mergeCell ref="E303:G304"/>
    <mergeCell ref="H303:H304"/>
    <mergeCell ref="A301:A302"/>
    <mergeCell ref="B301:B302"/>
    <mergeCell ref="C301:C302"/>
    <mergeCell ref="D301:D302"/>
    <mergeCell ref="E301:G302"/>
    <mergeCell ref="H301:H302"/>
    <mergeCell ref="A299:A300"/>
    <mergeCell ref="B299:B300"/>
    <mergeCell ref="C299:C300"/>
    <mergeCell ref="D299:D300"/>
    <mergeCell ref="E299:G300"/>
    <mergeCell ref="H299:H300"/>
    <mergeCell ref="A297:A298"/>
    <mergeCell ref="B297:B298"/>
    <mergeCell ref="C297:C298"/>
    <mergeCell ref="D297:D298"/>
    <mergeCell ref="E297:G298"/>
    <mergeCell ref="H297:H298"/>
    <mergeCell ref="A295:A296"/>
    <mergeCell ref="B295:B296"/>
    <mergeCell ref="C295:C296"/>
    <mergeCell ref="D295:D296"/>
    <mergeCell ref="E295:G296"/>
    <mergeCell ref="H295:H296"/>
    <mergeCell ref="A293:A294"/>
    <mergeCell ref="B293:B294"/>
    <mergeCell ref="C293:C294"/>
    <mergeCell ref="D293:D294"/>
    <mergeCell ref="E293:G294"/>
    <mergeCell ref="H293:H294"/>
    <mergeCell ref="A291:A292"/>
    <mergeCell ref="B291:B292"/>
    <mergeCell ref="C291:C292"/>
    <mergeCell ref="D291:D292"/>
    <mergeCell ref="E291:G292"/>
    <mergeCell ref="H291:H292"/>
    <mergeCell ref="A289:A290"/>
    <mergeCell ref="B289:B290"/>
    <mergeCell ref="C289:C290"/>
    <mergeCell ref="D289:D290"/>
    <mergeCell ref="E289:G290"/>
    <mergeCell ref="H289:H290"/>
    <mergeCell ref="A287:A288"/>
    <mergeCell ref="B287:B288"/>
    <mergeCell ref="C287:C288"/>
    <mergeCell ref="D287:D288"/>
    <mergeCell ref="E287:G288"/>
    <mergeCell ref="H287:H288"/>
    <mergeCell ref="A285:A286"/>
    <mergeCell ref="B285:B286"/>
    <mergeCell ref="C285:C286"/>
    <mergeCell ref="D285:D286"/>
    <mergeCell ref="E285:G286"/>
    <mergeCell ref="H285:H286"/>
    <mergeCell ref="A283:A284"/>
    <mergeCell ref="B283:B284"/>
    <mergeCell ref="C283:C284"/>
    <mergeCell ref="D283:D284"/>
    <mergeCell ref="E283:G284"/>
    <mergeCell ref="H283:H284"/>
    <mergeCell ref="A281:A282"/>
    <mergeCell ref="B281:B282"/>
    <mergeCell ref="C281:C282"/>
    <mergeCell ref="D281:D282"/>
    <mergeCell ref="E281:G282"/>
    <mergeCell ref="H281:H282"/>
    <mergeCell ref="A279:A280"/>
    <mergeCell ref="B279:B280"/>
    <mergeCell ref="C279:C280"/>
    <mergeCell ref="D279:D280"/>
    <mergeCell ref="E279:G280"/>
    <mergeCell ref="H279:H280"/>
    <mergeCell ref="A277:A278"/>
    <mergeCell ref="B277:B278"/>
    <mergeCell ref="C277:C278"/>
    <mergeCell ref="D277:D278"/>
    <mergeCell ref="E277:G278"/>
    <mergeCell ref="H277:H278"/>
    <mergeCell ref="A275:A276"/>
    <mergeCell ref="B275:B276"/>
    <mergeCell ref="C275:C276"/>
    <mergeCell ref="D275:D276"/>
    <mergeCell ref="E275:G276"/>
    <mergeCell ref="H275:H276"/>
    <mergeCell ref="A273:A274"/>
    <mergeCell ref="B273:B274"/>
    <mergeCell ref="C273:C274"/>
    <mergeCell ref="D273:D274"/>
    <mergeCell ref="E273:G274"/>
    <mergeCell ref="H273:H274"/>
    <mergeCell ref="A271:A272"/>
    <mergeCell ref="B271:B272"/>
    <mergeCell ref="C271:C272"/>
    <mergeCell ref="D271:D272"/>
    <mergeCell ref="E271:G272"/>
    <mergeCell ref="H271:H272"/>
    <mergeCell ref="A269:A270"/>
    <mergeCell ref="B269:B270"/>
    <mergeCell ref="C269:C270"/>
    <mergeCell ref="D269:D270"/>
    <mergeCell ref="E269:G270"/>
    <mergeCell ref="H269:H270"/>
    <mergeCell ref="A267:A268"/>
    <mergeCell ref="B267:B268"/>
    <mergeCell ref="C267:C268"/>
    <mergeCell ref="D267:D268"/>
    <mergeCell ref="E267:G268"/>
    <mergeCell ref="H267:H268"/>
    <mergeCell ref="A265:A266"/>
    <mergeCell ref="B265:B266"/>
    <mergeCell ref="C265:C266"/>
    <mergeCell ref="D265:D266"/>
    <mergeCell ref="E265:G266"/>
    <mergeCell ref="H265:H266"/>
    <mergeCell ref="A263:A264"/>
    <mergeCell ref="B263:B264"/>
    <mergeCell ref="C263:C264"/>
    <mergeCell ref="D263:D264"/>
    <mergeCell ref="E263:G264"/>
    <mergeCell ref="H263:H264"/>
    <mergeCell ref="A261:A262"/>
    <mergeCell ref="B261:B262"/>
    <mergeCell ref="C261:C262"/>
    <mergeCell ref="D261:D262"/>
    <mergeCell ref="E261:G262"/>
    <mergeCell ref="H261:H262"/>
    <mergeCell ref="A259:A260"/>
    <mergeCell ref="B259:B260"/>
    <mergeCell ref="C259:C260"/>
    <mergeCell ref="D259:D260"/>
    <mergeCell ref="E259:G260"/>
    <mergeCell ref="H259:H260"/>
    <mergeCell ref="A257:A258"/>
    <mergeCell ref="B257:B258"/>
    <mergeCell ref="C257:C258"/>
    <mergeCell ref="D257:D258"/>
    <mergeCell ref="E257:G258"/>
    <mergeCell ref="H257:H258"/>
    <mergeCell ref="A255:A256"/>
    <mergeCell ref="B255:B256"/>
    <mergeCell ref="C255:C256"/>
    <mergeCell ref="D255:D256"/>
    <mergeCell ref="E255:G256"/>
    <mergeCell ref="H255:H256"/>
    <mergeCell ref="A253:A254"/>
    <mergeCell ref="B253:B254"/>
    <mergeCell ref="C253:C254"/>
    <mergeCell ref="D253:D254"/>
    <mergeCell ref="E253:G254"/>
    <mergeCell ref="H253:H254"/>
    <mergeCell ref="A251:A252"/>
    <mergeCell ref="B251:B252"/>
    <mergeCell ref="C251:C252"/>
    <mergeCell ref="D251:D252"/>
    <mergeCell ref="E251:G252"/>
    <mergeCell ref="H251:H252"/>
    <mergeCell ref="A249:A250"/>
    <mergeCell ref="B249:B250"/>
    <mergeCell ref="C249:C250"/>
    <mergeCell ref="D249:D250"/>
    <mergeCell ref="E249:G250"/>
    <mergeCell ref="H249:H250"/>
    <mergeCell ref="A247:A248"/>
    <mergeCell ref="B247:B248"/>
    <mergeCell ref="C247:C248"/>
    <mergeCell ref="D247:D248"/>
    <mergeCell ref="E247:G248"/>
    <mergeCell ref="H247:H248"/>
    <mergeCell ref="A245:A246"/>
    <mergeCell ref="B245:B246"/>
    <mergeCell ref="C245:C246"/>
    <mergeCell ref="D245:D246"/>
    <mergeCell ref="E245:G246"/>
    <mergeCell ref="H245:H246"/>
    <mergeCell ref="A243:A244"/>
    <mergeCell ref="B243:B244"/>
    <mergeCell ref="C243:C244"/>
    <mergeCell ref="D243:D244"/>
    <mergeCell ref="E243:G244"/>
    <mergeCell ref="H243:H244"/>
    <mergeCell ref="A241:A242"/>
    <mergeCell ref="B241:B242"/>
    <mergeCell ref="C241:C242"/>
    <mergeCell ref="D241:D242"/>
    <mergeCell ref="E241:G242"/>
    <mergeCell ref="H241:H242"/>
    <mergeCell ref="A239:A240"/>
    <mergeCell ref="B239:B240"/>
    <mergeCell ref="C239:C240"/>
    <mergeCell ref="D239:D240"/>
    <mergeCell ref="E239:G240"/>
    <mergeCell ref="H239:H240"/>
    <mergeCell ref="A237:A238"/>
    <mergeCell ref="B237:B238"/>
    <mergeCell ref="C237:C238"/>
    <mergeCell ref="D237:D238"/>
    <mergeCell ref="E237:G238"/>
    <mergeCell ref="H237:H238"/>
    <mergeCell ref="A235:A236"/>
    <mergeCell ref="B235:B236"/>
    <mergeCell ref="C235:C236"/>
    <mergeCell ref="D235:D236"/>
    <mergeCell ref="E235:G236"/>
    <mergeCell ref="H235:H236"/>
    <mergeCell ref="A233:A234"/>
    <mergeCell ref="B233:B234"/>
    <mergeCell ref="C233:C234"/>
    <mergeCell ref="D233:D234"/>
    <mergeCell ref="E233:G234"/>
    <mergeCell ref="H233:H234"/>
    <mergeCell ref="A231:A232"/>
    <mergeCell ref="B231:B232"/>
    <mergeCell ref="C231:C232"/>
    <mergeCell ref="D231:D232"/>
    <mergeCell ref="E231:G232"/>
    <mergeCell ref="H231:H232"/>
    <mergeCell ref="A229:A230"/>
    <mergeCell ref="B229:B230"/>
    <mergeCell ref="C229:C230"/>
    <mergeCell ref="D229:D230"/>
    <mergeCell ref="E229:G230"/>
    <mergeCell ref="H229:H230"/>
    <mergeCell ref="A227:A228"/>
    <mergeCell ref="B227:B228"/>
    <mergeCell ref="C227:C228"/>
    <mergeCell ref="D227:D228"/>
    <mergeCell ref="E227:G228"/>
    <mergeCell ref="H227:H228"/>
    <mergeCell ref="A225:A226"/>
    <mergeCell ref="B225:B226"/>
    <mergeCell ref="C225:C226"/>
    <mergeCell ref="D225:D226"/>
    <mergeCell ref="E225:G226"/>
    <mergeCell ref="H225:H226"/>
    <mergeCell ref="A223:A224"/>
    <mergeCell ref="B223:B224"/>
    <mergeCell ref="C223:C224"/>
    <mergeCell ref="D223:D224"/>
    <mergeCell ref="E223:G224"/>
    <mergeCell ref="H223:H224"/>
    <mergeCell ref="A221:A222"/>
    <mergeCell ref="B221:B222"/>
    <mergeCell ref="C221:C222"/>
    <mergeCell ref="D221:D222"/>
    <mergeCell ref="E221:G222"/>
    <mergeCell ref="H221:H222"/>
    <mergeCell ref="A219:A220"/>
    <mergeCell ref="B219:B220"/>
    <mergeCell ref="C219:C220"/>
    <mergeCell ref="D219:D220"/>
    <mergeCell ref="E219:G220"/>
    <mergeCell ref="H219:H220"/>
    <mergeCell ref="A217:A218"/>
    <mergeCell ref="B217:B218"/>
    <mergeCell ref="C217:C218"/>
    <mergeCell ref="D217:D218"/>
    <mergeCell ref="E217:G218"/>
    <mergeCell ref="H217:H218"/>
    <mergeCell ref="A215:A216"/>
    <mergeCell ref="B215:B216"/>
    <mergeCell ref="C215:C216"/>
    <mergeCell ref="D215:D216"/>
    <mergeCell ref="E215:G216"/>
    <mergeCell ref="H215:H216"/>
    <mergeCell ref="A213:A214"/>
    <mergeCell ref="B213:B214"/>
    <mergeCell ref="C213:C214"/>
    <mergeCell ref="D213:D214"/>
    <mergeCell ref="E213:G214"/>
    <mergeCell ref="H213:H214"/>
    <mergeCell ref="A211:A212"/>
    <mergeCell ref="B211:B212"/>
    <mergeCell ref="C211:C212"/>
    <mergeCell ref="D211:D212"/>
    <mergeCell ref="E211:G212"/>
    <mergeCell ref="H211:H212"/>
    <mergeCell ref="A209:A210"/>
    <mergeCell ref="B209:B210"/>
    <mergeCell ref="C209:C210"/>
    <mergeCell ref="D209:D210"/>
    <mergeCell ref="E209:G210"/>
    <mergeCell ref="H209:H210"/>
    <mergeCell ref="A207:A208"/>
    <mergeCell ref="B207:B208"/>
    <mergeCell ref="C207:C208"/>
    <mergeCell ref="D207:D208"/>
    <mergeCell ref="E207:G208"/>
    <mergeCell ref="H207:H208"/>
    <mergeCell ref="A205:A206"/>
    <mergeCell ref="B205:B206"/>
    <mergeCell ref="C205:C206"/>
    <mergeCell ref="D205:D206"/>
    <mergeCell ref="E205:G206"/>
    <mergeCell ref="H205:H206"/>
    <mergeCell ref="A203:A204"/>
    <mergeCell ref="B203:B204"/>
    <mergeCell ref="C203:C204"/>
    <mergeCell ref="D203:D204"/>
    <mergeCell ref="E203:G204"/>
    <mergeCell ref="H203:H204"/>
    <mergeCell ref="A201:A202"/>
    <mergeCell ref="B201:B202"/>
    <mergeCell ref="C201:C202"/>
    <mergeCell ref="D201:D202"/>
    <mergeCell ref="E201:G202"/>
    <mergeCell ref="H201:H202"/>
    <mergeCell ref="A199:A200"/>
    <mergeCell ref="B199:B200"/>
    <mergeCell ref="C199:C200"/>
    <mergeCell ref="D199:D200"/>
    <mergeCell ref="E199:G200"/>
    <mergeCell ref="H199:H200"/>
    <mergeCell ref="A197:A198"/>
    <mergeCell ref="B197:B198"/>
    <mergeCell ref="C197:C198"/>
    <mergeCell ref="D197:D198"/>
    <mergeCell ref="E197:G198"/>
    <mergeCell ref="H197:H198"/>
    <mergeCell ref="A195:A196"/>
    <mergeCell ref="B195:B196"/>
    <mergeCell ref="C195:C196"/>
    <mergeCell ref="D195:D196"/>
    <mergeCell ref="E195:G196"/>
    <mergeCell ref="H195:H196"/>
    <mergeCell ref="A193:A194"/>
    <mergeCell ref="B193:B194"/>
    <mergeCell ref="C193:C194"/>
    <mergeCell ref="D193:D194"/>
    <mergeCell ref="E193:G194"/>
    <mergeCell ref="H193:H194"/>
    <mergeCell ref="A191:A192"/>
    <mergeCell ref="B191:B192"/>
    <mergeCell ref="C191:C192"/>
    <mergeCell ref="D191:D192"/>
    <mergeCell ref="E191:G192"/>
    <mergeCell ref="H191:H192"/>
    <mergeCell ref="A189:A190"/>
    <mergeCell ref="B189:B190"/>
    <mergeCell ref="C189:C190"/>
    <mergeCell ref="D189:D190"/>
    <mergeCell ref="E189:G190"/>
    <mergeCell ref="H189:H190"/>
    <mergeCell ref="A187:A188"/>
    <mergeCell ref="B187:B188"/>
    <mergeCell ref="C187:C188"/>
    <mergeCell ref="D187:D188"/>
    <mergeCell ref="E187:G188"/>
    <mergeCell ref="H187:H188"/>
    <mergeCell ref="A185:A186"/>
    <mergeCell ref="B185:B186"/>
    <mergeCell ref="C185:C186"/>
    <mergeCell ref="D185:D186"/>
    <mergeCell ref="E185:G186"/>
    <mergeCell ref="H185:H186"/>
    <mergeCell ref="A183:A184"/>
    <mergeCell ref="B183:B184"/>
    <mergeCell ref="C183:C184"/>
    <mergeCell ref="D183:D184"/>
    <mergeCell ref="E183:G184"/>
    <mergeCell ref="H183:H184"/>
    <mergeCell ref="A181:A182"/>
    <mergeCell ref="B181:B182"/>
    <mergeCell ref="C181:C182"/>
    <mergeCell ref="D181:D182"/>
    <mergeCell ref="E181:G182"/>
    <mergeCell ref="H181:H182"/>
    <mergeCell ref="A179:A180"/>
    <mergeCell ref="B179:B180"/>
    <mergeCell ref="C179:C180"/>
    <mergeCell ref="D179:D180"/>
    <mergeCell ref="E179:G180"/>
    <mergeCell ref="H179:H180"/>
    <mergeCell ref="A177:A178"/>
    <mergeCell ref="B177:B178"/>
    <mergeCell ref="C177:C178"/>
    <mergeCell ref="D177:D178"/>
    <mergeCell ref="E177:G178"/>
    <mergeCell ref="H177:H178"/>
    <mergeCell ref="A175:A176"/>
    <mergeCell ref="B175:B176"/>
    <mergeCell ref="C175:C176"/>
    <mergeCell ref="D175:D176"/>
    <mergeCell ref="E175:G176"/>
    <mergeCell ref="H175:H176"/>
    <mergeCell ref="A173:A174"/>
    <mergeCell ref="B173:B174"/>
    <mergeCell ref="C173:C174"/>
    <mergeCell ref="D173:D174"/>
    <mergeCell ref="E173:G174"/>
    <mergeCell ref="H173:H174"/>
    <mergeCell ref="A171:A172"/>
    <mergeCell ref="B171:B172"/>
    <mergeCell ref="C171:C172"/>
    <mergeCell ref="D171:D172"/>
    <mergeCell ref="E171:G172"/>
    <mergeCell ref="H171:H172"/>
    <mergeCell ref="A169:A170"/>
    <mergeCell ref="B169:B170"/>
    <mergeCell ref="C169:C170"/>
    <mergeCell ref="D169:D170"/>
    <mergeCell ref="E169:G170"/>
    <mergeCell ref="H169:H170"/>
    <mergeCell ref="A167:A168"/>
    <mergeCell ref="B167:B168"/>
    <mergeCell ref="C167:C168"/>
    <mergeCell ref="D167:D168"/>
    <mergeCell ref="E167:G168"/>
    <mergeCell ref="H167:H168"/>
    <mergeCell ref="A165:A166"/>
    <mergeCell ref="B165:B166"/>
    <mergeCell ref="C165:C166"/>
    <mergeCell ref="D165:D166"/>
    <mergeCell ref="E165:G166"/>
    <mergeCell ref="H165:H166"/>
    <mergeCell ref="A163:A164"/>
    <mergeCell ref="B163:B164"/>
    <mergeCell ref="C163:C164"/>
    <mergeCell ref="D163:D164"/>
    <mergeCell ref="E163:G164"/>
    <mergeCell ref="H163:H164"/>
    <mergeCell ref="A161:A162"/>
    <mergeCell ref="B161:B162"/>
    <mergeCell ref="C161:C162"/>
    <mergeCell ref="D161:D162"/>
    <mergeCell ref="E161:G162"/>
    <mergeCell ref="H161:H162"/>
    <mergeCell ref="A159:A160"/>
    <mergeCell ref="B159:B160"/>
    <mergeCell ref="C159:C160"/>
    <mergeCell ref="D159:D160"/>
    <mergeCell ref="E159:G160"/>
    <mergeCell ref="H159:H160"/>
    <mergeCell ref="A157:A158"/>
    <mergeCell ref="B157:B158"/>
    <mergeCell ref="C157:C158"/>
    <mergeCell ref="D157:D158"/>
    <mergeCell ref="E157:G158"/>
    <mergeCell ref="H157:H158"/>
    <mergeCell ref="A155:A156"/>
    <mergeCell ref="B155:B156"/>
    <mergeCell ref="C155:C156"/>
    <mergeCell ref="D155:D156"/>
    <mergeCell ref="E155:G156"/>
    <mergeCell ref="H155:H156"/>
    <mergeCell ref="A153:A154"/>
    <mergeCell ref="B153:B154"/>
    <mergeCell ref="C153:C154"/>
    <mergeCell ref="D153:D154"/>
    <mergeCell ref="E153:G154"/>
    <mergeCell ref="H153:H154"/>
    <mergeCell ref="A151:A152"/>
    <mergeCell ref="B151:B152"/>
    <mergeCell ref="C151:C152"/>
    <mergeCell ref="D151:D152"/>
    <mergeCell ref="E151:G152"/>
    <mergeCell ref="H151:H152"/>
    <mergeCell ref="A149:A150"/>
    <mergeCell ref="B149:B150"/>
    <mergeCell ref="C149:C150"/>
    <mergeCell ref="D149:D150"/>
    <mergeCell ref="E149:G150"/>
    <mergeCell ref="H149:H150"/>
    <mergeCell ref="A147:A148"/>
    <mergeCell ref="B147:B148"/>
    <mergeCell ref="C147:C148"/>
    <mergeCell ref="D147:D148"/>
    <mergeCell ref="E147:G148"/>
    <mergeCell ref="H147:H148"/>
    <mergeCell ref="A145:A146"/>
    <mergeCell ref="B145:B146"/>
    <mergeCell ref="C145:C146"/>
    <mergeCell ref="D145:D146"/>
    <mergeCell ref="E145:G146"/>
    <mergeCell ref="H145:H146"/>
    <mergeCell ref="A143:A144"/>
    <mergeCell ref="B143:B144"/>
    <mergeCell ref="C143:C144"/>
    <mergeCell ref="D143:D144"/>
    <mergeCell ref="E143:G144"/>
    <mergeCell ref="H143:H144"/>
    <mergeCell ref="A141:A142"/>
    <mergeCell ref="B141:B142"/>
    <mergeCell ref="C141:C142"/>
    <mergeCell ref="D141:D142"/>
    <mergeCell ref="E141:G142"/>
    <mergeCell ref="H141:H142"/>
    <mergeCell ref="A139:A140"/>
    <mergeCell ref="B139:B140"/>
    <mergeCell ref="C139:C140"/>
    <mergeCell ref="D139:D140"/>
    <mergeCell ref="E139:G140"/>
    <mergeCell ref="H139:H140"/>
    <mergeCell ref="A137:A138"/>
    <mergeCell ref="B137:B138"/>
    <mergeCell ref="C137:C138"/>
    <mergeCell ref="D137:D138"/>
    <mergeCell ref="E137:G138"/>
    <mergeCell ref="H137:H138"/>
    <mergeCell ref="A135:A136"/>
    <mergeCell ref="B135:B136"/>
    <mergeCell ref="C135:C136"/>
    <mergeCell ref="D135:D136"/>
    <mergeCell ref="E135:G136"/>
    <mergeCell ref="H135:H136"/>
    <mergeCell ref="A133:A134"/>
    <mergeCell ref="B133:B134"/>
    <mergeCell ref="C133:C134"/>
    <mergeCell ref="D133:D134"/>
    <mergeCell ref="E133:G134"/>
    <mergeCell ref="H133:H134"/>
    <mergeCell ref="A131:A132"/>
    <mergeCell ref="B131:B132"/>
    <mergeCell ref="C131:C132"/>
    <mergeCell ref="D131:D132"/>
    <mergeCell ref="E131:G132"/>
    <mergeCell ref="H131:H132"/>
    <mergeCell ref="A129:A130"/>
    <mergeCell ref="B129:B130"/>
    <mergeCell ref="C129:C130"/>
    <mergeCell ref="D129:D130"/>
    <mergeCell ref="E129:G130"/>
    <mergeCell ref="H129:H130"/>
    <mergeCell ref="A127:A128"/>
    <mergeCell ref="B127:B128"/>
    <mergeCell ref="C127:C128"/>
    <mergeCell ref="D127:D128"/>
    <mergeCell ref="E127:G128"/>
    <mergeCell ref="H127:H128"/>
    <mergeCell ref="A125:A126"/>
    <mergeCell ref="B125:B126"/>
    <mergeCell ref="C125:C126"/>
    <mergeCell ref="D125:D126"/>
    <mergeCell ref="E125:G126"/>
    <mergeCell ref="H125:H126"/>
    <mergeCell ref="A123:A124"/>
    <mergeCell ref="B123:B124"/>
    <mergeCell ref="C123:C124"/>
    <mergeCell ref="D123:D124"/>
    <mergeCell ref="E123:G124"/>
    <mergeCell ref="H123:H124"/>
    <mergeCell ref="A121:A122"/>
    <mergeCell ref="B121:B122"/>
    <mergeCell ref="C121:C122"/>
    <mergeCell ref="D121:D122"/>
    <mergeCell ref="E121:G122"/>
    <mergeCell ref="H121:H122"/>
    <mergeCell ref="A119:A120"/>
    <mergeCell ref="B119:B120"/>
    <mergeCell ref="C119:C120"/>
    <mergeCell ref="D119:D120"/>
    <mergeCell ref="E119:G120"/>
    <mergeCell ref="H119:H120"/>
    <mergeCell ref="A117:A118"/>
    <mergeCell ref="B117:B118"/>
    <mergeCell ref="C117:C118"/>
    <mergeCell ref="D117:D118"/>
    <mergeCell ref="E117:G118"/>
    <mergeCell ref="H117:H118"/>
    <mergeCell ref="A115:A116"/>
    <mergeCell ref="B115:B116"/>
    <mergeCell ref="C115:C116"/>
    <mergeCell ref="D115:D116"/>
    <mergeCell ref="E115:G116"/>
    <mergeCell ref="H115:H116"/>
    <mergeCell ref="A113:A114"/>
    <mergeCell ref="B113:B114"/>
    <mergeCell ref="C113:C114"/>
    <mergeCell ref="D113:D114"/>
    <mergeCell ref="E113:G114"/>
    <mergeCell ref="H113:H114"/>
    <mergeCell ref="A111:A112"/>
    <mergeCell ref="B111:B112"/>
    <mergeCell ref="C111:C112"/>
    <mergeCell ref="D111:D112"/>
    <mergeCell ref="E111:G112"/>
    <mergeCell ref="H111:H112"/>
    <mergeCell ref="A109:A110"/>
    <mergeCell ref="B109:B110"/>
    <mergeCell ref="C109:C110"/>
    <mergeCell ref="D109:D110"/>
    <mergeCell ref="E109:G110"/>
    <mergeCell ref="H109:H110"/>
    <mergeCell ref="A107:A108"/>
    <mergeCell ref="B107:B108"/>
    <mergeCell ref="C107:C108"/>
    <mergeCell ref="D107:D108"/>
    <mergeCell ref="E107:G108"/>
    <mergeCell ref="H107:H108"/>
    <mergeCell ref="A105:A106"/>
    <mergeCell ref="B105:B106"/>
    <mergeCell ref="C105:C106"/>
    <mergeCell ref="D105:D106"/>
    <mergeCell ref="E105:G106"/>
    <mergeCell ref="H105:H106"/>
    <mergeCell ref="A103:A104"/>
    <mergeCell ref="B103:B104"/>
    <mergeCell ref="C103:C104"/>
    <mergeCell ref="D103:D104"/>
    <mergeCell ref="E103:G104"/>
    <mergeCell ref="H103:H104"/>
    <mergeCell ref="A101:A102"/>
    <mergeCell ref="B101:B102"/>
    <mergeCell ref="C101:C102"/>
    <mergeCell ref="D101:D102"/>
    <mergeCell ref="E101:G102"/>
    <mergeCell ref="H101:H102"/>
    <mergeCell ref="A99:A100"/>
    <mergeCell ref="B99:B100"/>
    <mergeCell ref="C99:C100"/>
    <mergeCell ref="D99:D100"/>
    <mergeCell ref="E99:G100"/>
    <mergeCell ref="H99:H100"/>
    <mergeCell ref="A97:A98"/>
    <mergeCell ref="B97:B98"/>
    <mergeCell ref="C97:C98"/>
    <mergeCell ref="D97:D98"/>
    <mergeCell ref="E97:G98"/>
    <mergeCell ref="H97:H98"/>
    <mergeCell ref="A95:A96"/>
    <mergeCell ref="B95:B96"/>
    <mergeCell ref="C95:C96"/>
    <mergeCell ref="D95:D96"/>
    <mergeCell ref="E95:G96"/>
    <mergeCell ref="H95:H96"/>
    <mergeCell ref="A93:A94"/>
    <mergeCell ref="B93:B94"/>
    <mergeCell ref="C93:C94"/>
    <mergeCell ref="D93:D94"/>
    <mergeCell ref="E93:G94"/>
    <mergeCell ref="H93:H94"/>
    <mergeCell ref="A91:A92"/>
    <mergeCell ref="B91:B92"/>
    <mergeCell ref="C91:C92"/>
    <mergeCell ref="D91:D92"/>
    <mergeCell ref="E91:G92"/>
    <mergeCell ref="H91:H92"/>
    <mergeCell ref="A89:A90"/>
    <mergeCell ref="B89:B90"/>
    <mergeCell ref="C89:C90"/>
    <mergeCell ref="D89:D90"/>
    <mergeCell ref="E89:G90"/>
    <mergeCell ref="H89:H90"/>
    <mergeCell ref="A87:A88"/>
    <mergeCell ref="B87:B88"/>
    <mergeCell ref="C87:C88"/>
    <mergeCell ref="D87:D88"/>
    <mergeCell ref="E87:G88"/>
    <mergeCell ref="H87:H88"/>
    <mergeCell ref="A85:A86"/>
    <mergeCell ref="B85:B86"/>
    <mergeCell ref="C85:C86"/>
    <mergeCell ref="D85:D86"/>
    <mergeCell ref="E85:G86"/>
    <mergeCell ref="H85:H86"/>
    <mergeCell ref="A83:A84"/>
    <mergeCell ref="B83:B84"/>
    <mergeCell ref="C83:C84"/>
    <mergeCell ref="D83:D84"/>
    <mergeCell ref="E83:G84"/>
    <mergeCell ref="H83:H84"/>
    <mergeCell ref="A81:A82"/>
    <mergeCell ref="B81:B82"/>
    <mergeCell ref="C81:C82"/>
    <mergeCell ref="D81:D82"/>
    <mergeCell ref="E81:G82"/>
    <mergeCell ref="H81:H82"/>
    <mergeCell ref="A79:A80"/>
    <mergeCell ref="B79:B80"/>
    <mergeCell ref="C79:C80"/>
    <mergeCell ref="D79:D80"/>
    <mergeCell ref="E79:G80"/>
    <mergeCell ref="H79:H80"/>
    <mergeCell ref="A77:A78"/>
    <mergeCell ref="B77:B78"/>
    <mergeCell ref="C77:C78"/>
    <mergeCell ref="D77:D78"/>
    <mergeCell ref="E77:G78"/>
    <mergeCell ref="H77:H78"/>
    <mergeCell ref="A75:A76"/>
    <mergeCell ref="B75:B76"/>
    <mergeCell ref="C75:C76"/>
    <mergeCell ref="D75:D76"/>
    <mergeCell ref="E75:G76"/>
    <mergeCell ref="H75:H76"/>
    <mergeCell ref="A73:A74"/>
    <mergeCell ref="B73:B74"/>
    <mergeCell ref="C73:C74"/>
    <mergeCell ref="D73:D74"/>
    <mergeCell ref="E73:G74"/>
    <mergeCell ref="H73:H74"/>
    <mergeCell ref="A71:A72"/>
    <mergeCell ref="B71:B72"/>
    <mergeCell ref="C71:C72"/>
    <mergeCell ref="D71:D72"/>
    <mergeCell ref="E71:G72"/>
    <mergeCell ref="H71:H72"/>
    <mergeCell ref="A69:A70"/>
    <mergeCell ref="B69:B70"/>
    <mergeCell ref="C69:C70"/>
    <mergeCell ref="D69:D70"/>
    <mergeCell ref="E69:G70"/>
    <mergeCell ref="H69:H70"/>
    <mergeCell ref="A67:A68"/>
    <mergeCell ref="B67:B68"/>
    <mergeCell ref="C67:C68"/>
    <mergeCell ref="D67:D68"/>
    <mergeCell ref="E67:G68"/>
    <mergeCell ref="H67:H68"/>
    <mergeCell ref="A65:A66"/>
    <mergeCell ref="B65:B66"/>
    <mergeCell ref="C65:C66"/>
    <mergeCell ref="D65:D66"/>
    <mergeCell ref="E65:G66"/>
    <mergeCell ref="H65:H66"/>
    <mergeCell ref="A63:A64"/>
    <mergeCell ref="B63:B64"/>
    <mergeCell ref="C63:C64"/>
    <mergeCell ref="D63:D64"/>
    <mergeCell ref="E63:G64"/>
    <mergeCell ref="H63:H64"/>
    <mergeCell ref="A61:A62"/>
    <mergeCell ref="B61:B62"/>
    <mergeCell ref="C61:C62"/>
    <mergeCell ref="D61:D62"/>
    <mergeCell ref="E61:G62"/>
    <mergeCell ref="H61:H62"/>
    <mergeCell ref="A59:A60"/>
    <mergeCell ref="B59:B60"/>
    <mergeCell ref="C59:C60"/>
    <mergeCell ref="D59:D60"/>
    <mergeCell ref="E59:G60"/>
    <mergeCell ref="H59:H60"/>
    <mergeCell ref="A57:A58"/>
    <mergeCell ref="B57:B58"/>
    <mergeCell ref="C57:C58"/>
    <mergeCell ref="D57:D58"/>
    <mergeCell ref="E57:G58"/>
    <mergeCell ref="H57:H58"/>
    <mergeCell ref="A55:A56"/>
    <mergeCell ref="B55:B56"/>
    <mergeCell ref="C55:C56"/>
    <mergeCell ref="D55:D56"/>
    <mergeCell ref="E55:G56"/>
    <mergeCell ref="H55:H56"/>
    <mergeCell ref="A53:A54"/>
    <mergeCell ref="B53:B54"/>
    <mergeCell ref="C53:C54"/>
    <mergeCell ref="D53:D54"/>
    <mergeCell ref="E53:G54"/>
    <mergeCell ref="H53:H54"/>
    <mergeCell ref="A51:A52"/>
    <mergeCell ref="B51:B52"/>
    <mergeCell ref="C51:C52"/>
    <mergeCell ref="D51:D52"/>
    <mergeCell ref="E51:G52"/>
    <mergeCell ref="H51:H52"/>
    <mergeCell ref="A49:A50"/>
    <mergeCell ref="B49:B50"/>
    <mergeCell ref="C49:C50"/>
    <mergeCell ref="D49:D50"/>
    <mergeCell ref="E49:G50"/>
    <mergeCell ref="H49:H50"/>
    <mergeCell ref="A47:A48"/>
    <mergeCell ref="B47:B48"/>
    <mergeCell ref="C47:C48"/>
    <mergeCell ref="D47:D48"/>
    <mergeCell ref="E47:G48"/>
    <mergeCell ref="H47:H48"/>
    <mergeCell ref="A45:A46"/>
    <mergeCell ref="B45:B46"/>
    <mergeCell ref="C45:C46"/>
    <mergeCell ref="D45:D46"/>
    <mergeCell ref="E45:G46"/>
    <mergeCell ref="H45:H46"/>
    <mergeCell ref="A43:A44"/>
    <mergeCell ref="B43:B44"/>
    <mergeCell ref="C43:C44"/>
    <mergeCell ref="D43:D44"/>
    <mergeCell ref="E43:G44"/>
    <mergeCell ref="H43:H44"/>
    <mergeCell ref="A41:A42"/>
    <mergeCell ref="B41:B42"/>
    <mergeCell ref="C41:C42"/>
    <mergeCell ref="D41:D42"/>
    <mergeCell ref="E41:G42"/>
    <mergeCell ref="H41:H42"/>
    <mergeCell ref="A39:A40"/>
    <mergeCell ref="B39:B40"/>
    <mergeCell ref="C39:C40"/>
    <mergeCell ref="D39:D40"/>
    <mergeCell ref="E39:G40"/>
    <mergeCell ref="H39:H40"/>
    <mergeCell ref="A37:A38"/>
    <mergeCell ref="B37:B38"/>
    <mergeCell ref="C37:C38"/>
    <mergeCell ref="D37:D38"/>
    <mergeCell ref="E37:G38"/>
    <mergeCell ref="H37:H38"/>
    <mergeCell ref="A35:A36"/>
    <mergeCell ref="B35:B36"/>
    <mergeCell ref="C35:C36"/>
    <mergeCell ref="D35:D36"/>
    <mergeCell ref="E35:G36"/>
    <mergeCell ref="H35:H36"/>
    <mergeCell ref="A33:A34"/>
    <mergeCell ref="B33:B34"/>
    <mergeCell ref="C33:C34"/>
    <mergeCell ref="D33:D34"/>
    <mergeCell ref="E33:G34"/>
    <mergeCell ref="H33:H34"/>
    <mergeCell ref="A31:A32"/>
    <mergeCell ref="B31:B32"/>
    <mergeCell ref="C31:C32"/>
    <mergeCell ref="D31:D32"/>
    <mergeCell ref="E31:G32"/>
    <mergeCell ref="H31:H32"/>
    <mergeCell ref="A29:A30"/>
    <mergeCell ref="B29:B30"/>
    <mergeCell ref="C29:C30"/>
    <mergeCell ref="D29:D30"/>
    <mergeCell ref="E29:G30"/>
    <mergeCell ref="H29:H30"/>
    <mergeCell ref="A27:A28"/>
    <mergeCell ref="B27:B28"/>
    <mergeCell ref="C27:C28"/>
    <mergeCell ref="D27:D28"/>
    <mergeCell ref="E27:G28"/>
    <mergeCell ref="H27:H28"/>
    <mergeCell ref="A25:A26"/>
    <mergeCell ref="B25:B26"/>
    <mergeCell ref="C25:C26"/>
    <mergeCell ref="D25:D26"/>
    <mergeCell ref="E25:G26"/>
    <mergeCell ref="H25:H26"/>
    <mergeCell ref="A23:A24"/>
    <mergeCell ref="B23:B24"/>
    <mergeCell ref="C23:C24"/>
    <mergeCell ref="D23:D24"/>
    <mergeCell ref="E23:G24"/>
    <mergeCell ref="H23:H24"/>
    <mergeCell ref="A21:A22"/>
    <mergeCell ref="B21:B22"/>
    <mergeCell ref="C21:C22"/>
    <mergeCell ref="D21:D22"/>
    <mergeCell ref="E21:G22"/>
    <mergeCell ref="H21:H22"/>
    <mergeCell ref="A19:A20"/>
    <mergeCell ref="B19:B20"/>
    <mergeCell ref="C19:C20"/>
    <mergeCell ref="D19:D20"/>
    <mergeCell ref="E19:G20"/>
    <mergeCell ref="H19:H20"/>
    <mergeCell ref="A17:A18"/>
    <mergeCell ref="B17:B18"/>
    <mergeCell ref="C17:C18"/>
    <mergeCell ref="D17:D18"/>
    <mergeCell ref="E17:G18"/>
    <mergeCell ref="H17:H18"/>
    <mergeCell ref="A11:A12"/>
    <mergeCell ref="B11:B12"/>
    <mergeCell ref="C11:C12"/>
    <mergeCell ref="D11:D12"/>
    <mergeCell ref="E11:G12"/>
    <mergeCell ref="H11:H12"/>
    <mergeCell ref="A15:A16"/>
    <mergeCell ref="B15:B16"/>
    <mergeCell ref="C15:C16"/>
    <mergeCell ref="D15:D16"/>
    <mergeCell ref="E15:G16"/>
    <mergeCell ref="H15:H16"/>
    <mergeCell ref="A13:A14"/>
    <mergeCell ref="B13:B14"/>
    <mergeCell ref="C13:C14"/>
    <mergeCell ref="D13:D14"/>
    <mergeCell ref="E13:G14"/>
    <mergeCell ref="H13:H14"/>
    <mergeCell ref="A9:A10"/>
    <mergeCell ref="B9:B10"/>
    <mergeCell ref="C9:C10"/>
    <mergeCell ref="D9:D10"/>
    <mergeCell ref="E9:G10"/>
    <mergeCell ref="H9:H10"/>
    <mergeCell ref="A7:A8"/>
    <mergeCell ref="B7:B8"/>
    <mergeCell ref="C7:C8"/>
    <mergeCell ref="D7:D8"/>
    <mergeCell ref="E7:G8"/>
    <mergeCell ref="H7:H8"/>
    <mergeCell ref="A5:A6"/>
    <mergeCell ref="B5:B6"/>
    <mergeCell ref="C5:C6"/>
    <mergeCell ref="D5:D6"/>
    <mergeCell ref="E5:G6"/>
    <mergeCell ref="H5:H6"/>
    <mergeCell ref="A3:A4"/>
    <mergeCell ref="B3:B4"/>
    <mergeCell ref="C3:C4"/>
    <mergeCell ref="D3:D4"/>
    <mergeCell ref="E3:G4"/>
    <mergeCell ref="H3:H4"/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</mergeCells>
  <phoneticPr fontId="1" type="noConversion"/>
  <pageMargins left="0" right="0" top="0" bottom="0" header="0" footer="0"/>
  <pageSetup paperSize="9" scale="3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322"/>
  <sheetViews>
    <sheetView showGridLines="0" zoomScale="115" zoomScaleNormal="115" workbookViewId="0">
      <pane xSplit="8" ySplit="2" topLeftCell="I111" activePane="bottomRight" state="frozen"/>
      <selection pane="topRight" activeCell="I1" sqref="I1"/>
      <selection pane="bottomLeft" activeCell="A3" sqref="A3"/>
      <selection pane="bottomRight" activeCell="I100" sqref="I100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9" max="9" width="9.5" bestFit="1" customWidth="1"/>
    <col min="11" max="11" width="9.5" bestFit="1" customWidth="1"/>
    <col min="12" max="12" width="11" bestFit="1" customWidth="1"/>
  </cols>
  <sheetData>
    <row r="1" spans="1:18" ht="35.25" customHeight="1" thickBot="1">
      <c r="A1" s="388" t="s">
        <v>555</v>
      </c>
      <c r="B1" s="389"/>
      <c r="C1" s="402" t="s">
        <v>27</v>
      </c>
      <c r="D1" s="403"/>
      <c r="E1" s="21" t="s">
        <v>26</v>
      </c>
      <c r="F1" s="20">
        <f>H1/26</f>
        <v>546480.76923076925</v>
      </c>
      <c r="G1" s="21" t="s">
        <v>4</v>
      </c>
      <c r="H1" s="22">
        <f>SUM(D4:D322)</f>
        <v>14208500</v>
      </c>
      <c r="I1" s="392"/>
      <c r="J1" s="338"/>
      <c r="K1" s="394"/>
      <c r="L1" s="396"/>
      <c r="M1" s="377"/>
      <c r="N1" s="379"/>
      <c r="O1" s="381"/>
      <c r="P1" s="383"/>
      <c r="Q1" s="377"/>
      <c r="R1" s="376"/>
    </row>
    <row r="2" spans="1:18" ht="17.25" thickBot="1">
      <c r="A2" s="27" t="s">
        <v>0</v>
      </c>
      <c r="B2" s="28" t="s">
        <v>1</v>
      </c>
      <c r="C2" s="28" t="s">
        <v>2</v>
      </c>
      <c r="D2" s="29" t="s">
        <v>3</v>
      </c>
      <c r="E2" s="385" t="s">
        <v>25</v>
      </c>
      <c r="F2" s="386"/>
      <c r="G2" s="387"/>
      <c r="H2" s="25" t="s">
        <v>5</v>
      </c>
      <c r="I2" s="393"/>
      <c r="J2" s="333"/>
      <c r="K2" s="395"/>
      <c r="L2" s="397"/>
      <c r="M2" s="378"/>
      <c r="N2" s="380"/>
      <c r="O2" s="382"/>
      <c r="P2" s="384"/>
      <c r="Q2" s="378"/>
      <c r="R2" s="376"/>
    </row>
    <row r="3" spans="1:18" ht="36" customHeight="1">
      <c r="A3" s="436" t="s">
        <v>758</v>
      </c>
      <c r="B3" s="437"/>
      <c r="C3" s="437"/>
      <c r="D3" s="437"/>
      <c r="E3" s="437"/>
      <c r="F3" s="437"/>
      <c r="G3" s="437"/>
      <c r="H3" s="438"/>
      <c r="I3" s="32"/>
      <c r="J3" s="33"/>
      <c r="K3" s="34"/>
      <c r="L3" s="35"/>
      <c r="M3" s="36"/>
      <c r="N3" s="37"/>
      <c r="O3" s="38"/>
      <c r="P3" s="39"/>
      <c r="Q3" s="36"/>
      <c r="R3" s="40"/>
    </row>
    <row r="4" spans="1:18" ht="16.5" customHeight="1">
      <c r="A4" s="322" t="s">
        <v>573</v>
      </c>
      <c r="B4" s="416" t="s">
        <v>572</v>
      </c>
      <c r="C4" s="325" t="s">
        <v>574</v>
      </c>
      <c r="D4" s="326">
        <v>430000</v>
      </c>
      <c r="E4" s="327" t="s">
        <v>575</v>
      </c>
      <c r="F4" s="328"/>
      <c r="G4" s="329"/>
      <c r="H4" s="398" t="s">
        <v>533</v>
      </c>
    </row>
    <row r="5" spans="1:18" ht="16.5" customHeight="1">
      <c r="A5" s="323"/>
      <c r="B5" s="417"/>
      <c r="C5" s="325"/>
      <c r="D5" s="326"/>
      <c r="E5" s="330"/>
      <c r="F5" s="331"/>
      <c r="G5" s="332"/>
      <c r="H5" s="399"/>
    </row>
    <row r="6" spans="1:18" ht="16.5" customHeight="1">
      <c r="A6" s="335" t="s">
        <v>576</v>
      </c>
      <c r="B6" s="421" t="s">
        <v>577</v>
      </c>
      <c r="C6" s="353" t="s">
        <v>578</v>
      </c>
      <c r="D6" s="343">
        <v>380000</v>
      </c>
      <c r="E6" s="327" t="s">
        <v>579</v>
      </c>
      <c r="F6" s="345"/>
      <c r="G6" s="346"/>
      <c r="H6" s="398" t="s">
        <v>580</v>
      </c>
    </row>
    <row r="7" spans="1:18" ht="16.5" customHeight="1">
      <c r="A7" s="336"/>
      <c r="B7" s="422"/>
      <c r="C7" s="352"/>
      <c r="D7" s="344"/>
      <c r="E7" s="347"/>
      <c r="F7" s="348"/>
      <c r="G7" s="349"/>
      <c r="H7" s="399"/>
    </row>
    <row r="8" spans="1:18" ht="16.5" customHeight="1">
      <c r="A8" s="335"/>
      <c r="B8" s="421" t="s">
        <v>583</v>
      </c>
      <c r="C8" s="353"/>
      <c r="D8" s="343">
        <v>70000</v>
      </c>
      <c r="E8" s="327" t="s">
        <v>581</v>
      </c>
      <c r="F8" s="345"/>
      <c r="G8" s="346"/>
      <c r="H8" s="398" t="s">
        <v>582</v>
      </c>
    </row>
    <row r="9" spans="1:18" ht="14.25" customHeight="1">
      <c r="A9" s="336"/>
      <c r="B9" s="422"/>
      <c r="C9" s="352"/>
      <c r="D9" s="344"/>
      <c r="E9" s="347"/>
      <c r="F9" s="348"/>
      <c r="G9" s="349"/>
      <c r="H9" s="399"/>
    </row>
    <row r="10" spans="1:18" ht="16.5" customHeight="1">
      <c r="A10" s="335" t="s">
        <v>590</v>
      </c>
      <c r="B10" s="421"/>
      <c r="C10" s="353"/>
      <c r="D10" s="343">
        <v>14000</v>
      </c>
      <c r="E10" s="327" t="s">
        <v>584</v>
      </c>
      <c r="F10" s="345"/>
      <c r="G10" s="346"/>
      <c r="H10" s="360" t="s">
        <v>585</v>
      </c>
    </row>
    <row r="11" spans="1:18" ht="16.5" customHeight="1">
      <c r="A11" s="336"/>
      <c r="B11" s="422"/>
      <c r="C11" s="352"/>
      <c r="D11" s="344"/>
      <c r="E11" s="347"/>
      <c r="F11" s="348"/>
      <c r="G11" s="349"/>
      <c r="H11" s="359"/>
    </row>
    <row r="12" spans="1:18" ht="16.5" customHeight="1">
      <c r="A12" s="322"/>
      <c r="B12" s="416" t="s">
        <v>586</v>
      </c>
      <c r="C12" s="324"/>
      <c r="D12" s="326">
        <v>69300</v>
      </c>
      <c r="E12" s="327" t="s">
        <v>587</v>
      </c>
      <c r="F12" s="328"/>
      <c r="G12" s="329"/>
      <c r="H12" s="360" t="s">
        <v>588</v>
      </c>
    </row>
    <row r="13" spans="1:18" ht="16.5" customHeight="1">
      <c r="A13" s="323"/>
      <c r="B13" s="417"/>
      <c r="C13" s="325"/>
      <c r="D13" s="326"/>
      <c r="E13" s="330"/>
      <c r="F13" s="331"/>
      <c r="G13" s="332"/>
      <c r="H13" s="359"/>
    </row>
    <row r="14" spans="1:18" ht="16.5" customHeight="1">
      <c r="A14" s="322" t="s">
        <v>591</v>
      </c>
      <c r="B14" s="416" t="s">
        <v>589</v>
      </c>
      <c r="C14" s="324" t="s">
        <v>593</v>
      </c>
      <c r="D14" s="326">
        <v>230000</v>
      </c>
      <c r="E14" s="327" t="s">
        <v>592</v>
      </c>
      <c r="F14" s="328"/>
      <c r="G14" s="329"/>
      <c r="H14" s="398" t="s">
        <v>533</v>
      </c>
    </row>
    <row r="15" spans="1:18" ht="16.5" customHeight="1">
      <c r="A15" s="323"/>
      <c r="B15" s="417"/>
      <c r="C15" s="325"/>
      <c r="D15" s="326"/>
      <c r="E15" s="330"/>
      <c r="F15" s="331"/>
      <c r="G15" s="332"/>
      <c r="H15" s="399"/>
    </row>
    <row r="16" spans="1:18" ht="42" customHeight="1">
      <c r="A16" s="418" t="s">
        <v>759</v>
      </c>
      <c r="B16" s="419"/>
      <c r="C16" s="419"/>
      <c r="D16" s="419"/>
      <c r="E16" s="419"/>
      <c r="F16" s="419"/>
      <c r="G16" s="419"/>
      <c r="H16" s="420"/>
    </row>
    <row r="17" spans="1:8" ht="16.5" customHeight="1">
      <c r="A17" s="322" t="s">
        <v>596</v>
      </c>
      <c r="B17" s="414" t="s">
        <v>597</v>
      </c>
      <c r="C17" s="341" t="s">
        <v>595</v>
      </c>
      <c r="D17" s="343">
        <v>430000</v>
      </c>
      <c r="E17" s="327" t="s">
        <v>594</v>
      </c>
      <c r="F17" s="345"/>
      <c r="G17" s="346"/>
      <c r="H17" s="398" t="s">
        <v>145</v>
      </c>
    </row>
    <row r="18" spans="1:8" ht="16.5" customHeight="1">
      <c r="A18" s="323"/>
      <c r="B18" s="415"/>
      <c r="C18" s="342"/>
      <c r="D18" s="344"/>
      <c r="E18" s="347"/>
      <c r="F18" s="348"/>
      <c r="G18" s="349"/>
      <c r="H18" s="399"/>
    </row>
    <row r="19" spans="1:8" ht="16.5" customHeight="1">
      <c r="A19" s="335"/>
      <c r="B19" s="414"/>
      <c r="C19" s="341"/>
      <c r="D19" s="326">
        <v>55000</v>
      </c>
      <c r="E19" s="327" t="s">
        <v>598</v>
      </c>
      <c r="F19" s="345"/>
      <c r="G19" s="346"/>
      <c r="H19" s="360" t="s">
        <v>599</v>
      </c>
    </row>
    <row r="20" spans="1:8" ht="16.5" customHeight="1">
      <c r="A20" s="336"/>
      <c r="B20" s="415"/>
      <c r="C20" s="342"/>
      <c r="D20" s="326"/>
      <c r="E20" s="347"/>
      <c r="F20" s="348"/>
      <c r="G20" s="349"/>
      <c r="H20" s="359"/>
    </row>
    <row r="21" spans="1:8" ht="16.5" customHeight="1">
      <c r="A21" s="335" t="s">
        <v>600</v>
      </c>
      <c r="B21" s="414" t="s">
        <v>601</v>
      </c>
      <c r="C21" s="341"/>
      <c r="D21" s="326">
        <v>130000</v>
      </c>
      <c r="E21" s="327" t="s">
        <v>602</v>
      </c>
      <c r="F21" s="328"/>
      <c r="G21" s="329"/>
      <c r="H21" s="360" t="s">
        <v>603</v>
      </c>
    </row>
    <row r="22" spans="1:8" ht="16.5" customHeight="1">
      <c r="A22" s="336"/>
      <c r="B22" s="415"/>
      <c r="C22" s="342"/>
      <c r="D22" s="326"/>
      <c r="E22" s="330"/>
      <c r="F22" s="331"/>
      <c r="G22" s="332"/>
      <c r="H22" s="359"/>
    </row>
    <row r="23" spans="1:8" ht="16.5" customHeight="1">
      <c r="A23" s="322"/>
      <c r="B23" s="414" t="s">
        <v>605</v>
      </c>
      <c r="C23" s="341" t="s">
        <v>607</v>
      </c>
      <c r="D23" s="343">
        <v>335000</v>
      </c>
      <c r="E23" s="327" t="s">
        <v>606</v>
      </c>
      <c r="F23" s="345"/>
      <c r="G23" s="346"/>
      <c r="H23" s="360" t="s">
        <v>612</v>
      </c>
    </row>
    <row r="24" spans="1:8" ht="16.5" customHeight="1">
      <c r="A24" s="323"/>
      <c r="B24" s="415"/>
      <c r="C24" s="342"/>
      <c r="D24" s="344"/>
      <c r="E24" s="347"/>
      <c r="F24" s="348"/>
      <c r="G24" s="349"/>
      <c r="H24" s="359"/>
    </row>
    <row r="25" spans="1:8" ht="16.5" customHeight="1">
      <c r="A25" s="335"/>
      <c r="B25" s="412" t="s">
        <v>601</v>
      </c>
      <c r="C25" s="325"/>
      <c r="D25" s="326">
        <v>26000</v>
      </c>
      <c r="E25" s="327" t="s">
        <v>604</v>
      </c>
      <c r="F25" s="328"/>
      <c r="G25" s="329"/>
      <c r="H25" s="360" t="s">
        <v>608</v>
      </c>
    </row>
    <row r="26" spans="1:8" ht="16.5" customHeight="1">
      <c r="A26" s="336"/>
      <c r="B26" s="413"/>
      <c r="C26" s="325"/>
      <c r="D26" s="326"/>
      <c r="E26" s="330"/>
      <c r="F26" s="331"/>
      <c r="G26" s="332"/>
      <c r="H26" s="359"/>
    </row>
    <row r="27" spans="1:8" ht="16.5" customHeight="1">
      <c r="A27" s="335"/>
      <c r="B27" s="412" t="s">
        <v>609</v>
      </c>
      <c r="C27" s="324"/>
      <c r="D27" s="326">
        <v>73000</v>
      </c>
      <c r="E27" s="327" t="s">
        <v>610</v>
      </c>
      <c r="F27" s="328"/>
      <c r="G27" s="329"/>
      <c r="H27" s="360" t="s">
        <v>611</v>
      </c>
    </row>
    <row r="28" spans="1:8" ht="17.25" customHeight="1">
      <c r="A28" s="336"/>
      <c r="B28" s="413"/>
      <c r="C28" s="325"/>
      <c r="D28" s="326"/>
      <c r="E28" s="330"/>
      <c r="F28" s="331"/>
      <c r="G28" s="332"/>
      <c r="H28" s="359"/>
    </row>
    <row r="29" spans="1:8" ht="16.5" customHeight="1">
      <c r="A29" s="335" t="s">
        <v>613</v>
      </c>
      <c r="B29" s="412" t="s">
        <v>615</v>
      </c>
      <c r="C29" s="325" t="s">
        <v>616</v>
      </c>
      <c r="D29" s="326">
        <v>2150000</v>
      </c>
      <c r="E29" s="327"/>
      <c r="F29" s="328"/>
      <c r="G29" s="329"/>
      <c r="H29" s="360" t="s">
        <v>614</v>
      </c>
    </row>
    <row r="30" spans="1:8" ht="16.5" customHeight="1">
      <c r="A30" s="336"/>
      <c r="B30" s="413"/>
      <c r="C30" s="325"/>
      <c r="D30" s="326"/>
      <c r="E30" s="330"/>
      <c r="F30" s="331"/>
      <c r="G30" s="332"/>
      <c r="H30" s="359"/>
    </row>
    <row r="31" spans="1:8" ht="16.5" customHeight="1">
      <c r="A31" s="335"/>
      <c r="B31" s="414" t="s">
        <v>617</v>
      </c>
      <c r="C31" s="341" t="s">
        <v>618</v>
      </c>
      <c r="D31" s="326">
        <v>90000</v>
      </c>
      <c r="E31" s="327" t="s">
        <v>619</v>
      </c>
      <c r="F31" s="328"/>
      <c r="G31" s="329"/>
      <c r="H31" s="360" t="s">
        <v>611</v>
      </c>
    </row>
    <row r="32" spans="1:8" ht="16.5" customHeight="1">
      <c r="A32" s="336"/>
      <c r="B32" s="415"/>
      <c r="C32" s="342"/>
      <c r="D32" s="326"/>
      <c r="E32" s="330"/>
      <c r="F32" s="331"/>
      <c r="G32" s="332"/>
      <c r="H32" s="359"/>
    </row>
    <row r="33" spans="1:12" ht="16.5" customHeight="1">
      <c r="A33" s="322" t="s">
        <v>620</v>
      </c>
      <c r="B33" s="412" t="s">
        <v>621</v>
      </c>
      <c r="C33" s="324"/>
      <c r="D33" s="326">
        <v>77000</v>
      </c>
      <c r="E33" s="327" t="s">
        <v>624</v>
      </c>
      <c r="F33" s="328"/>
      <c r="G33" s="329"/>
      <c r="H33" s="359" t="s">
        <v>622</v>
      </c>
    </row>
    <row r="34" spans="1:12" ht="16.5" customHeight="1">
      <c r="A34" s="323"/>
      <c r="B34" s="413"/>
      <c r="C34" s="325"/>
      <c r="D34" s="326"/>
      <c r="E34" s="330"/>
      <c r="F34" s="331"/>
      <c r="G34" s="332"/>
      <c r="H34" s="359"/>
      <c r="K34" s="24"/>
    </row>
    <row r="35" spans="1:12" ht="16.5" customHeight="1">
      <c r="A35" s="339"/>
      <c r="B35" s="414" t="s">
        <v>629</v>
      </c>
      <c r="C35" s="341" t="s">
        <v>643</v>
      </c>
      <c r="D35" s="326">
        <v>190000</v>
      </c>
      <c r="E35" s="364" t="s">
        <v>630</v>
      </c>
      <c r="F35" s="365"/>
      <c r="G35" s="366"/>
      <c r="H35" s="360" t="s">
        <v>631</v>
      </c>
    </row>
    <row r="36" spans="1:12" ht="23.25" customHeight="1">
      <c r="A36" s="340"/>
      <c r="B36" s="415"/>
      <c r="C36" s="342"/>
      <c r="D36" s="326"/>
      <c r="E36" s="347"/>
      <c r="F36" s="348"/>
      <c r="G36" s="349"/>
      <c r="H36" s="359"/>
    </row>
    <row r="37" spans="1:12" ht="16.5" customHeight="1">
      <c r="A37" s="339" t="s">
        <v>625</v>
      </c>
      <c r="B37" s="414" t="s">
        <v>331</v>
      </c>
      <c r="C37" s="341" t="s">
        <v>332</v>
      </c>
      <c r="D37" s="326">
        <v>400000</v>
      </c>
      <c r="E37" s="364" t="s">
        <v>627</v>
      </c>
      <c r="F37" s="365"/>
      <c r="G37" s="366"/>
      <c r="H37" s="360" t="s">
        <v>635</v>
      </c>
    </row>
    <row r="38" spans="1:12" ht="22.5" customHeight="1">
      <c r="A38" s="340"/>
      <c r="B38" s="415"/>
      <c r="C38" s="352"/>
      <c r="D38" s="326"/>
      <c r="E38" s="347"/>
      <c r="F38" s="348"/>
      <c r="G38" s="349"/>
      <c r="H38" s="359"/>
      <c r="K38" s="24"/>
    </row>
    <row r="39" spans="1:12" ht="16.5" customHeight="1">
      <c r="A39" s="335"/>
      <c r="B39" s="414" t="s">
        <v>626</v>
      </c>
      <c r="C39" s="353"/>
      <c r="D39" s="343">
        <v>50000</v>
      </c>
      <c r="E39" s="327" t="s">
        <v>628</v>
      </c>
      <c r="F39" s="345"/>
      <c r="G39" s="346"/>
      <c r="H39" s="400" t="s">
        <v>31</v>
      </c>
    </row>
    <row r="40" spans="1:12" ht="16.5" customHeight="1">
      <c r="A40" s="336"/>
      <c r="B40" s="415"/>
      <c r="C40" s="352"/>
      <c r="D40" s="344"/>
      <c r="E40" s="347"/>
      <c r="F40" s="348"/>
      <c r="G40" s="349"/>
      <c r="H40" s="401"/>
    </row>
    <row r="41" spans="1:12" ht="16.5" customHeight="1">
      <c r="A41" s="322"/>
      <c r="B41" s="412" t="s">
        <v>632</v>
      </c>
      <c r="C41" s="324" t="s">
        <v>633</v>
      </c>
      <c r="D41" s="326">
        <v>115000</v>
      </c>
      <c r="E41" s="327" t="s">
        <v>634</v>
      </c>
      <c r="F41" s="328"/>
      <c r="G41" s="329"/>
      <c r="H41" s="360" t="s">
        <v>635</v>
      </c>
    </row>
    <row r="42" spans="1:12" ht="16.5" customHeight="1">
      <c r="A42" s="323"/>
      <c r="B42" s="413"/>
      <c r="C42" s="325"/>
      <c r="D42" s="326"/>
      <c r="E42" s="330"/>
      <c r="F42" s="331"/>
      <c r="G42" s="332"/>
      <c r="H42" s="359"/>
      <c r="L42" t="s">
        <v>841</v>
      </c>
    </row>
    <row r="43" spans="1:12" ht="16.5" customHeight="1">
      <c r="A43" s="322"/>
      <c r="B43" s="414" t="s">
        <v>636</v>
      </c>
      <c r="C43" s="341"/>
      <c r="D43" s="343">
        <v>150000</v>
      </c>
      <c r="E43" s="327" t="s">
        <v>637</v>
      </c>
      <c r="F43" s="328"/>
      <c r="G43" s="329"/>
      <c r="H43" s="359" t="s">
        <v>638</v>
      </c>
      <c r="K43" s="24"/>
      <c r="L43" t="s">
        <v>842</v>
      </c>
    </row>
    <row r="44" spans="1:12" ht="16.5" customHeight="1">
      <c r="A44" s="323"/>
      <c r="B44" s="415"/>
      <c r="C44" s="342"/>
      <c r="D44" s="344"/>
      <c r="E44" s="330"/>
      <c r="F44" s="331"/>
      <c r="G44" s="332"/>
      <c r="H44" s="359"/>
      <c r="K44" s="24"/>
    </row>
    <row r="45" spans="1:12" ht="16.5" customHeight="1">
      <c r="A45" s="322" t="s">
        <v>647</v>
      </c>
      <c r="B45" s="414" t="s">
        <v>642</v>
      </c>
      <c r="C45" s="341" t="s">
        <v>643</v>
      </c>
      <c r="D45" s="343">
        <v>50000</v>
      </c>
      <c r="E45" s="337" t="s">
        <v>644</v>
      </c>
      <c r="F45" s="326"/>
      <c r="G45" s="326"/>
      <c r="H45" s="359" t="s">
        <v>646</v>
      </c>
      <c r="I45" s="4"/>
    </row>
    <row r="46" spans="1:12" ht="16.5" customHeight="1">
      <c r="A46" s="323"/>
      <c r="B46" s="415"/>
      <c r="C46" s="342"/>
      <c r="D46" s="344"/>
      <c r="E46" s="326"/>
      <c r="F46" s="326"/>
      <c r="G46" s="326"/>
      <c r="H46" s="359"/>
    </row>
    <row r="47" spans="1:12" ht="16.5" customHeight="1">
      <c r="A47" s="322"/>
      <c r="B47" s="414" t="s">
        <v>639</v>
      </c>
      <c r="C47" s="341" t="s">
        <v>640</v>
      </c>
      <c r="D47" s="363">
        <v>7000</v>
      </c>
      <c r="E47" s="327" t="s">
        <v>649</v>
      </c>
      <c r="F47" s="328"/>
      <c r="G47" s="329"/>
      <c r="H47" s="359" t="s">
        <v>641</v>
      </c>
    </row>
    <row r="48" spans="1:12" ht="16.5" customHeight="1">
      <c r="A48" s="323"/>
      <c r="B48" s="415"/>
      <c r="C48" s="342"/>
      <c r="D48" s="344"/>
      <c r="E48" s="330"/>
      <c r="F48" s="331"/>
      <c r="G48" s="332"/>
      <c r="H48" s="359"/>
    </row>
    <row r="49" spans="1:12" ht="16.5" customHeight="1">
      <c r="A49" s="322"/>
      <c r="B49" s="414" t="s">
        <v>636</v>
      </c>
      <c r="C49" s="362"/>
      <c r="D49" s="326">
        <v>7000</v>
      </c>
      <c r="E49" s="327" t="s">
        <v>648</v>
      </c>
      <c r="F49" s="328"/>
      <c r="G49" s="329"/>
      <c r="H49" s="359" t="s">
        <v>645</v>
      </c>
    </row>
    <row r="50" spans="1:12" ht="16.5" customHeight="1">
      <c r="A50" s="323"/>
      <c r="B50" s="415"/>
      <c r="C50" s="352"/>
      <c r="D50" s="326"/>
      <c r="E50" s="330"/>
      <c r="F50" s="331"/>
      <c r="G50" s="332"/>
      <c r="H50" s="359"/>
    </row>
    <row r="51" spans="1:12" ht="16.5" customHeight="1">
      <c r="A51" s="322" t="s">
        <v>650</v>
      </c>
      <c r="B51" s="412" t="s">
        <v>652</v>
      </c>
      <c r="C51" s="325" t="s">
        <v>653</v>
      </c>
      <c r="D51" s="326">
        <v>1400000</v>
      </c>
      <c r="E51" s="327"/>
      <c r="F51" s="328"/>
      <c r="G51" s="329"/>
      <c r="H51" s="359" t="s">
        <v>654</v>
      </c>
    </row>
    <row r="52" spans="1:12" ht="16.5" customHeight="1">
      <c r="A52" s="323"/>
      <c r="B52" s="413"/>
      <c r="C52" s="325"/>
      <c r="D52" s="326"/>
      <c r="E52" s="330"/>
      <c r="F52" s="331"/>
      <c r="G52" s="332"/>
      <c r="H52" s="359"/>
    </row>
    <row r="53" spans="1:12" ht="37.5" customHeight="1">
      <c r="A53" s="418" t="s">
        <v>760</v>
      </c>
      <c r="B53" s="419"/>
      <c r="C53" s="419"/>
      <c r="D53" s="419"/>
      <c r="E53" s="419"/>
      <c r="F53" s="419"/>
      <c r="G53" s="419"/>
      <c r="H53" s="420"/>
    </row>
    <row r="54" spans="1:12" ht="16.5" customHeight="1">
      <c r="A54" s="322" t="s">
        <v>651</v>
      </c>
      <c r="B54" s="408" t="s">
        <v>658</v>
      </c>
      <c r="C54" s="325" t="s">
        <v>659</v>
      </c>
      <c r="D54" s="326">
        <v>260000</v>
      </c>
      <c r="E54" s="327" t="s">
        <v>660</v>
      </c>
      <c r="F54" s="328"/>
      <c r="G54" s="329"/>
      <c r="H54" s="359" t="s">
        <v>661</v>
      </c>
      <c r="L54" s="26"/>
    </row>
    <row r="55" spans="1:12" ht="16.5" customHeight="1">
      <c r="A55" s="323"/>
      <c r="B55" s="409"/>
      <c r="C55" s="325"/>
      <c r="D55" s="326"/>
      <c r="E55" s="330"/>
      <c r="F55" s="331"/>
      <c r="G55" s="332"/>
      <c r="H55" s="359"/>
    </row>
    <row r="56" spans="1:12" ht="16.5" customHeight="1">
      <c r="A56" s="322"/>
      <c r="B56" s="408" t="s">
        <v>655</v>
      </c>
      <c r="C56" s="325" t="s">
        <v>656</v>
      </c>
      <c r="D56" s="326">
        <v>144000</v>
      </c>
      <c r="E56" s="327" t="s">
        <v>657</v>
      </c>
      <c r="F56" s="328"/>
      <c r="G56" s="329"/>
      <c r="H56" s="359" t="s">
        <v>661</v>
      </c>
    </row>
    <row r="57" spans="1:12" ht="16.5" customHeight="1">
      <c r="A57" s="323"/>
      <c r="B57" s="409"/>
      <c r="C57" s="325"/>
      <c r="D57" s="326"/>
      <c r="E57" s="330"/>
      <c r="F57" s="331"/>
      <c r="G57" s="332"/>
      <c r="H57" s="359"/>
    </row>
    <row r="58" spans="1:12" ht="16.5" customHeight="1">
      <c r="A58" s="322"/>
      <c r="B58" s="408" t="s">
        <v>662</v>
      </c>
      <c r="C58" s="325" t="s">
        <v>663</v>
      </c>
      <c r="D58" s="326">
        <v>98000</v>
      </c>
      <c r="E58" s="327" t="s">
        <v>664</v>
      </c>
      <c r="F58" s="328"/>
      <c r="G58" s="329"/>
      <c r="H58" s="359" t="s">
        <v>661</v>
      </c>
    </row>
    <row r="59" spans="1:12" ht="16.5" customHeight="1">
      <c r="A59" s="323"/>
      <c r="B59" s="409"/>
      <c r="C59" s="325"/>
      <c r="D59" s="326"/>
      <c r="E59" s="330"/>
      <c r="F59" s="331"/>
      <c r="G59" s="332"/>
      <c r="H59" s="359"/>
    </row>
    <row r="60" spans="1:12" ht="16.5" customHeight="1">
      <c r="A60" s="322" t="s">
        <v>665</v>
      </c>
      <c r="B60" s="410" t="s">
        <v>666</v>
      </c>
      <c r="C60" s="341" t="s">
        <v>667</v>
      </c>
      <c r="D60" s="326">
        <v>620000</v>
      </c>
      <c r="E60" s="327" t="s">
        <v>668</v>
      </c>
      <c r="F60" s="328"/>
      <c r="G60" s="329"/>
      <c r="H60" s="359" t="s">
        <v>145</v>
      </c>
    </row>
    <row r="61" spans="1:12" ht="16.5" customHeight="1">
      <c r="A61" s="323"/>
      <c r="B61" s="411"/>
      <c r="C61" s="342"/>
      <c r="D61" s="326"/>
      <c r="E61" s="330"/>
      <c r="F61" s="331"/>
      <c r="G61" s="332"/>
      <c r="H61" s="359"/>
    </row>
    <row r="62" spans="1:12" ht="16.5" customHeight="1">
      <c r="A62" s="322"/>
      <c r="B62" s="408" t="s">
        <v>669</v>
      </c>
      <c r="C62" s="324"/>
      <c r="D62" s="343">
        <v>40000</v>
      </c>
      <c r="E62" s="327"/>
      <c r="F62" s="328"/>
      <c r="G62" s="329"/>
      <c r="H62" s="360" t="s">
        <v>670</v>
      </c>
    </row>
    <row r="63" spans="1:12" ht="16.5" customHeight="1">
      <c r="A63" s="323"/>
      <c r="B63" s="409"/>
      <c r="C63" s="325"/>
      <c r="D63" s="344"/>
      <c r="E63" s="330"/>
      <c r="F63" s="331"/>
      <c r="G63" s="332"/>
      <c r="H63" s="359"/>
    </row>
    <row r="64" spans="1:12" ht="16.5" customHeight="1">
      <c r="A64" s="334" t="s">
        <v>672</v>
      </c>
      <c r="B64" s="408" t="s">
        <v>673</v>
      </c>
      <c r="C64" s="324" t="s">
        <v>680</v>
      </c>
      <c r="D64" s="343">
        <v>160000</v>
      </c>
      <c r="E64" s="327" t="s">
        <v>674</v>
      </c>
      <c r="F64" s="328"/>
      <c r="G64" s="329"/>
      <c r="H64" s="360" t="s">
        <v>671</v>
      </c>
    </row>
    <row r="65" spans="1:8" ht="16.5" customHeight="1">
      <c r="A65" s="323"/>
      <c r="B65" s="409"/>
      <c r="C65" s="325"/>
      <c r="D65" s="344"/>
      <c r="E65" s="330"/>
      <c r="F65" s="331"/>
      <c r="G65" s="332"/>
      <c r="H65" s="359"/>
    </row>
    <row r="66" spans="1:8" ht="16.5" customHeight="1">
      <c r="A66" s="322" t="s">
        <v>677</v>
      </c>
      <c r="B66" s="408" t="s">
        <v>678</v>
      </c>
      <c r="C66" s="324" t="s">
        <v>679</v>
      </c>
      <c r="D66" s="343">
        <v>250000</v>
      </c>
      <c r="E66" s="327" t="s">
        <v>676</v>
      </c>
      <c r="F66" s="328"/>
      <c r="G66" s="329"/>
      <c r="H66" s="360" t="s">
        <v>675</v>
      </c>
    </row>
    <row r="67" spans="1:8" ht="16.5" customHeight="1">
      <c r="A67" s="323"/>
      <c r="B67" s="409"/>
      <c r="C67" s="325"/>
      <c r="D67" s="344"/>
      <c r="E67" s="330"/>
      <c r="F67" s="331"/>
      <c r="G67" s="332"/>
      <c r="H67" s="359"/>
    </row>
    <row r="68" spans="1:8" ht="16.5" customHeight="1">
      <c r="A68" s="322" t="s">
        <v>681</v>
      </c>
      <c r="B68" s="408" t="s">
        <v>682</v>
      </c>
      <c r="C68" s="324"/>
      <c r="D68" s="326">
        <v>135000</v>
      </c>
      <c r="E68" s="327" t="s">
        <v>685</v>
      </c>
      <c r="F68" s="328"/>
      <c r="G68" s="329"/>
      <c r="H68" s="360" t="s">
        <v>686</v>
      </c>
    </row>
    <row r="69" spans="1:8" ht="16.5" customHeight="1">
      <c r="A69" s="323"/>
      <c r="B69" s="409"/>
      <c r="C69" s="325"/>
      <c r="D69" s="326"/>
      <c r="E69" s="330"/>
      <c r="F69" s="331"/>
      <c r="G69" s="332"/>
      <c r="H69" s="359"/>
    </row>
    <row r="70" spans="1:8" ht="16.5" customHeight="1">
      <c r="A70" s="322"/>
      <c r="B70" s="408" t="s">
        <v>683</v>
      </c>
      <c r="C70" s="341" t="s">
        <v>694</v>
      </c>
      <c r="D70" s="326">
        <v>140000</v>
      </c>
      <c r="E70" s="327" t="s">
        <v>688</v>
      </c>
      <c r="F70" s="328"/>
      <c r="G70" s="329"/>
      <c r="H70" s="360" t="s">
        <v>686</v>
      </c>
    </row>
    <row r="71" spans="1:8" ht="16.5" customHeight="1">
      <c r="A71" s="323"/>
      <c r="B71" s="409"/>
      <c r="C71" s="342"/>
      <c r="D71" s="326"/>
      <c r="E71" s="330"/>
      <c r="F71" s="331"/>
      <c r="G71" s="332"/>
      <c r="H71" s="359"/>
    </row>
    <row r="72" spans="1:8" ht="16.5" customHeight="1">
      <c r="A72" s="322"/>
      <c r="B72" s="408" t="s">
        <v>684</v>
      </c>
      <c r="C72" s="324"/>
      <c r="D72" s="326">
        <v>260000</v>
      </c>
      <c r="E72" s="327" t="s">
        <v>689</v>
      </c>
      <c r="F72" s="328"/>
      <c r="G72" s="329"/>
      <c r="H72" s="360" t="s">
        <v>687</v>
      </c>
    </row>
    <row r="73" spans="1:8" ht="20.25" customHeight="1">
      <c r="A73" s="323"/>
      <c r="B73" s="409"/>
      <c r="C73" s="325"/>
      <c r="D73" s="326"/>
      <c r="E73" s="330"/>
      <c r="F73" s="331"/>
      <c r="G73" s="332"/>
      <c r="H73" s="359"/>
    </row>
    <row r="74" spans="1:8" ht="45.75" customHeight="1">
      <c r="A74" s="429" t="s">
        <v>761</v>
      </c>
      <c r="B74" s="419"/>
      <c r="C74" s="419"/>
      <c r="D74" s="419"/>
      <c r="E74" s="419"/>
      <c r="F74" s="419"/>
      <c r="G74" s="419"/>
      <c r="H74" s="420"/>
    </row>
    <row r="75" spans="1:8" ht="16.5" customHeight="1">
      <c r="A75" s="335" t="s">
        <v>690</v>
      </c>
      <c r="B75" s="404" t="s">
        <v>691</v>
      </c>
      <c r="C75" s="341" t="s">
        <v>693</v>
      </c>
      <c r="D75" s="343">
        <v>330000</v>
      </c>
      <c r="E75" s="327" t="s">
        <v>692</v>
      </c>
      <c r="F75" s="345"/>
      <c r="G75" s="346"/>
      <c r="H75" s="360" t="s">
        <v>686</v>
      </c>
    </row>
    <row r="76" spans="1:8" ht="16.5" customHeight="1">
      <c r="A76" s="336"/>
      <c r="B76" s="405"/>
      <c r="C76" s="352"/>
      <c r="D76" s="344"/>
      <c r="E76" s="347"/>
      <c r="F76" s="348"/>
      <c r="G76" s="349"/>
      <c r="H76" s="359"/>
    </row>
    <row r="77" spans="1:8" ht="16.5" customHeight="1">
      <c r="A77" s="322"/>
      <c r="B77" s="404" t="s">
        <v>697</v>
      </c>
      <c r="C77" s="324" t="s">
        <v>698</v>
      </c>
      <c r="D77" s="326">
        <v>280000</v>
      </c>
      <c r="E77" s="327" t="s">
        <v>695</v>
      </c>
      <c r="F77" s="328"/>
      <c r="G77" s="329"/>
      <c r="H77" s="360" t="s">
        <v>696</v>
      </c>
    </row>
    <row r="78" spans="1:8" ht="16.5" customHeight="1">
      <c r="A78" s="323"/>
      <c r="B78" s="405"/>
      <c r="C78" s="325"/>
      <c r="D78" s="326"/>
      <c r="E78" s="330"/>
      <c r="F78" s="331"/>
      <c r="G78" s="332"/>
      <c r="H78" s="359"/>
    </row>
    <row r="79" spans="1:8" ht="16.5" customHeight="1">
      <c r="A79" s="322" t="s">
        <v>699</v>
      </c>
      <c r="B79" s="404" t="s">
        <v>700</v>
      </c>
      <c r="C79" s="324" t="s">
        <v>708</v>
      </c>
      <c r="D79" s="326">
        <v>180000</v>
      </c>
      <c r="E79" s="327" t="s">
        <v>701</v>
      </c>
      <c r="F79" s="328"/>
      <c r="G79" s="329"/>
      <c r="H79" s="360" t="s">
        <v>145</v>
      </c>
    </row>
    <row r="80" spans="1:8" ht="16.5" customHeight="1">
      <c r="A80" s="323"/>
      <c r="B80" s="405"/>
      <c r="C80" s="325"/>
      <c r="D80" s="326"/>
      <c r="E80" s="330"/>
      <c r="F80" s="331"/>
      <c r="G80" s="332"/>
      <c r="H80" s="359"/>
    </row>
    <row r="81" spans="1:8" ht="16.5" customHeight="1">
      <c r="A81" s="322" t="s">
        <v>702</v>
      </c>
      <c r="B81" s="404" t="s">
        <v>703</v>
      </c>
      <c r="C81" s="324" t="s">
        <v>707</v>
      </c>
      <c r="D81" s="326">
        <v>300000</v>
      </c>
      <c r="E81" s="327" t="s">
        <v>704</v>
      </c>
      <c r="F81" s="328"/>
      <c r="G81" s="329"/>
      <c r="H81" s="359" t="s">
        <v>7</v>
      </c>
    </row>
    <row r="82" spans="1:8" ht="16.5" customHeight="1">
      <c r="A82" s="323"/>
      <c r="B82" s="405"/>
      <c r="C82" s="325"/>
      <c r="D82" s="326"/>
      <c r="E82" s="330"/>
      <c r="F82" s="331"/>
      <c r="G82" s="332"/>
      <c r="H82" s="359"/>
    </row>
    <row r="83" spans="1:8" ht="16.5" customHeight="1">
      <c r="A83" s="322"/>
      <c r="B83" s="404" t="s">
        <v>705</v>
      </c>
      <c r="C83" s="324" t="s">
        <v>706</v>
      </c>
      <c r="D83" s="326">
        <v>140000</v>
      </c>
      <c r="E83" s="327" t="s">
        <v>709</v>
      </c>
      <c r="F83" s="328"/>
      <c r="G83" s="329"/>
      <c r="H83" s="359" t="s">
        <v>710</v>
      </c>
    </row>
    <row r="84" spans="1:8" ht="16.5" customHeight="1">
      <c r="A84" s="323"/>
      <c r="B84" s="405"/>
      <c r="C84" s="325"/>
      <c r="D84" s="326"/>
      <c r="E84" s="330"/>
      <c r="F84" s="331"/>
      <c r="G84" s="332"/>
      <c r="H84" s="359"/>
    </row>
    <row r="85" spans="1:8" ht="16.5" customHeight="1">
      <c r="A85" s="322"/>
      <c r="B85" s="406" t="s">
        <v>714</v>
      </c>
      <c r="C85" s="341"/>
      <c r="D85" s="343">
        <v>45200</v>
      </c>
      <c r="E85" s="327" t="s">
        <v>716</v>
      </c>
      <c r="F85" s="345"/>
      <c r="G85" s="346"/>
      <c r="H85" s="360" t="s">
        <v>715</v>
      </c>
    </row>
    <row r="86" spans="1:8" ht="16.5" customHeight="1">
      <c r="A86" s="323"/>
      <c r="B86" s="407"/>
      <c r="C86" s="352"/>
      <c r="D86" s="344"/>
      <c r="E86" s="347"/>
      <c r="F86" s="348"/>
      <c r="G86" s="349"/>
      <c r="H86" s="359"/>
    </row>
    <row r="87" spans="1:8" ht="16.5" customHeight="1">
      <c r="A87" s="322" t="s">
        <v>717</v>
      </c>
      <c r="B87" s="404" t="s">
        <v>718</v>
      </c>
      <c r="C87" s="324" t="s">
        <v>735</v>
      </c>
      <c r="D87" s="326">
        <v>75000</v>
      </c>
      <c r="E87" s="327" t="s">
        <v>726</v>
      </c>
      <c r="F87" s="328"/>
      <c r="G87" s="329"/>
      <c r="H87" s="360" t="s">
        <v>145</v>
      </c>
    </row>
    <row r="88" spans="1:8" ht="16.5" customHeight="1">
      <c r="A88" s="323"/>
      <c r="B88" s="405"/>
      <c r="C88" s="325"/>
      <c r="D88" s="326"/>
      <c r="E88" s="330"/>
      <c r="F88" s="331"/>
      <c r="G88" s="332"/>
      <c r="H88" s="359"/>
    </row>
    <row r="89" spans="1:8" ht="16.5" customHeight="1">
      <c r="A89" s="322"/>
      <c r="B89" s="404" t="s">
        <v>719</v>
      </c>
      <c r="C89" s="325"/>
      <c r="D89" s="326">
        <v>27000</v>
      </c>
      <c r="E89" s="327" t="s">
        <v>725</v>
      </c>
      <c r="F89" s="345"/>
      <c r="G89" s="346"/>
      <c r="H89" s="359" t="s">
        <v>149</v>
      </c>
    </row>
    <row r="90" spans="1:8" ht="16.5" customHeight="1">
      <c r="A90" s="323"/>
      <c r="B90" s="405"/>
      <c r="C90" s="325"/>
      <c r="D90" s="326"/>
      <c r="E90" s="347"/>
      <c r="F90" s="348"/>
      <c r="G90" s="349"/>
      <c r="H90" s="359"/>
    </row>
    <row r="91" spans="1:8" ht="16.5" customHeight="1">
      <c r="A91" s="322" t="s">
        <v>721</v>
      </c>
      <c r="B91" s="404" t="s">
        <v>720</v>
      </c>
      <c r="C91" s="324"/>
      <c r="D91" s="326">
        <v>200000</v>
      </c>
      <c r="E91" s="327" t="s">
        <v>727</v>
      </c>
      <c r="F91" s="328"/>
      <c r="G91" s="329"/>
      <c r="H91" s="400" t="s">
        <v>722</v>
      </c>
    </row>
    <row r="92" spans="1:8" ht="16.5" customHeight="1">
      <c r="A92" s="323"/>
      <c r="B92" s="405"/>
      <c r="C92" s="325"/>
      <c r="D92" s="326"/>
      <c r="E92" s="330"/>
      <c r="F92" s="331"/>
      <c r="G92" s="332"/>
      <c r="H92" s="401"/>
    </row>
    <row r="93" spans="1:8" ht="16.5" customHeight="1">
      <c r="A93" s="322"/>
      <c r="B93" s="404" t="s">
        <v>720</v>
      </c>
      <c r="C93" s="325"/>
      <c r="D93" s="326">
        <v>10000</v>
      </c>
      <c r="E93" s="327" t="s">
        <v>723</v>
      </c>
      <c r="F93" s="328"/>
      <c r="G93" s="329"/>
      <c r="H93" s="400" t="s">
        <v>724</v>
      </c>
    </row>
    <row r="94" spans="1:8" ht="16.5" customHeight="1">
      <c r="A94" s="323"/>
      <c r="B94" s="405"/>
      <c r="C94" s="325"/>
      <c r="D94" s="326"/>
      <c r="E94" s="330"/>
      <c r="F94" s="331"/>
      <c r="G94" s="332"/>
      <c r="H94" s="401"/>
    </row>
    <row r="95" spans="1:8" ht="16.5" customHeight="1">
      <c r="A95" s="322"/>
      <c r="B95" s="404" t="s">
        <v>720</v>
      </c>
      <c r="C95" s="341" t="s">
        <v>734</v>
      </c>
      <c r="D95" s="343">
        <v>190000</v>
      </c>
      <c r="E95" s="327" t="s">
        <v>728</v>
      </c>
      <c r="F95" s="345"/>
      <c r="G95" s="346"/>
      <c r="H95" s="360" t="s">
        <v>729</v>
      </c>
    </row>
    <row r="96" spans="1:8" ht="16.5" customHeight="1">
      <c r="A96" s="323"/>
      <c r="B96" s="405"/>
      <c r="C96" s="352"/>
      <c r="D96" s="344"/>
      <c r="E96" s="347"/>
      <c r="F96" s="348"/>
      <c r="G96" s="349"/>
      <c r="H96" s="359"/>
    </row>
    <row r="97" spans="1:12" ht="16.5" customHeight="1">
      <c r="A97" s="335" t="s">
        <v>730</v>
      </c>
      <c r="B97" s="404" t="s">
        <v>731</v>
      </c>
      <c r="C97" s="325" t="s">
        <v>732</v>
      </c>
      <c r="D97" s="326">
        <v>250000</v>
      </c>
      <c r="E97" s="327" t="s">
        <v>733</v>
      </c>
      <c r="F97" s="328"/>
      <c r="G97" s="329"/>
      <c r="H97" s="360" t="s">
        <v>145</v>
      </c>
    </row>
    <row r="98" spans="1:12" ht="16.5" customHeight="1">
      <c r="A98" s="340"/>
      <c r="B98" s="405"/>
      <c r="C98" s="325"/>
      <c r="D98" s="326"/>
      <c r="E98" s="330"/>
      <c r="F98" s="331"/>
      <c r="G98" s="332"/>
      <c r="H98" s="359"/>
    </row>
    <row r="99" spans="1:12" ht="16.5" customHeight="1">
      <c r="A99" s="335"/>
      <c r="B99" s="404" t="s">
        <v>736</v>
      </c>
      <c r="C99" s="324" t="s">
        <v>735</v>
      </c>
      <c r="D99" s="326">
        <v>90000</v>
      </c>
      <c r="E99" s="327" t="s">
        <v>737</v>
      </c>
      <c r="F99" s="328"/>
      <c r="G99" s="329"/>
      <c r="H99" s="360" t="s">
        <v>145</v>
      </c>
    </row>
    <row r="100" spans="1:12" ht="16.5" customHeight="1">
      <c r="A100" s="340"/>
      <c r="B100" s="405"/>
      <c r="C100" s="325"/>
      <c r="D100" s="326"/>
      <c r="E100" s="330"/>
      <c r="F100" s="331"/>
      <c r="G100" s="332"/>
      <c r="H100" s="359"/>
      <c r="I100">
        <v>14208500</v>
      </c>
    </row>
    <row r="101" spans="1:12" ht="16.5" customHeight="1">
      <c r="A101" s="430" t="s">
        <v>762</v>
      </c>
      <c r="B101" s="431"/>
      <c r="C101" s="431"/>
      <c r="D101" s="431"/>
      <c r="E101" s="431"/>
      <c r="F101" s="431"/>
      <c r="G101" s="431"/>
      <c r="H101" s="432"/>
      <c r="L101" s="23"/>
    </row>
    <row r="102" spans="1:12" ht="16.5" customHeight="1">
      <c r="A102" s="433"/>
      <c r="B102" s="434"/>
      <c r="C102" s="434"/>
      <c r="D102" s="434"/>
      <c r="E102" s="434"/>
      <c r="F102" s="434"/>
      <c r="G102" s="434"/>
      <c r="H102" s="435"/>
    </row>
    <row r="103" spans="1:12" ht="16.5" customHeight="1">
      <c r="A103" s="322" t="s">
        <v>738</v>
      </c>
      <c r="B103" s="324" t="s">
        <v>739</v>
      </c>
      <c r="C103" s="324" t="s">
        <v>749</v>
      </c>
      <c r="D103" s="326">
        <v>1500000</v>
      </c>
      <c r="E103" s="327" t="s">
        <v>740</v>
      </c>
      <c r="F103" s="328"/>
      <c r="G103" s="329"/>
      <c r="H103" s="360" t="s">
        <v>145</v>
      </c>
    </row>
    <row r="104" spans="1:12" ht="16.5" customHeight="1">
      <c r="A104" s="323"/>
      <c r="B104" s="325"/>
      <c r="C104" s="325"/>
      <c r="D104" s="326"/>
      <c r="E104" s="330"/>
      <c r="F104" s="331"/>
      <c r="G104" s="332"/>
      <c r="H104" s="359"/>
    </row>
    <row r="105" spans="1:12" ht="16.5" customHeight="1">
      <c r="A105" s="322"/>
      <c r="B105" s="341" t="s">
        <v>745</v>
      </c>
      <c r="C105" s="341" t="s">
        <v>744</v>
      </c>
      <c r="D105" s="343">
        <v>700000</v>
      </c>
      <c r="E105" s="327" t="s">
        <v>746</v>
      </c>
      <c r="F105" s="345"/>
      <c r="G105" s="346"/>
      <c r="H105" s="360" t="s">
        <v>145</v>
      </c>
    </row>
    <row r="106" spans="1:12" ht="16.5" customHeight="1">
      <c r="A106" s="323"/>
      <c r="B106" s="342"/>
      <c r="C106" s="352"/>
      <c r="D106" s="344"/>
      <c r="E106" s="347"/>
      <c r="F106" s="348"/>
      <c r="G106" s="349"/>
      <c r="H106" s="359"/>
    </row>
    <row r="107" spans="1:12" ht="16.5" customHeight="1">
      <c r="A107" s="322" t="s">
        <v>741</v>
      </c>
      <c r="B107" s="324" t="s">
        <v>742</v>
      </c>
      <c r="C107" s="324" t="s">
        <v>743</v>
      </c>
      <c r="D107" s="326">
        <v>110000</v>
      </c>
      <c r="E107" s="327" t="s">
        <v>750</v>
      </c>
      <c r="F107" s="328"/>
      <c r="G107" s="329"/>
      <c r="H107" s="360" t="s">
        <v>145</v>
      </c>
      <c r="L107" s="23"/>
    </row>
    <row r="108" spans="1:12" ht="16.5" customHeight="1">
      <c r="A108" s="323"/>
      <c r="B108" s="325"/>
      <c r="C108" s="325"/>
      <c r="D108" s="326"/>
      <c r="E108" s="330"/>
      <c r="F108" s="331"/>
      <c r="G108" s="332"/>
      <c r="H108" s="359"/>
    </row>
    <row r="109" spans="1:12" ht="16.5" customHeight="1">
      <c r="A109" s="322"/>
      <c r="B109" s="324" t="s">
        <v>748</v>
      </c>
      <c r="C109" s="325"/>
      <c r="D109" s="326">
        <v>520000</v>
      </c>
      <c r="E109" s="327" t="s">
        <v>747</v>
      </c>
      <c r="F109" s="328"/>
      <c r="G109" s="329"/>
      <c r="H109" s="360" t="s">
        <v>145</v>
      </c>
    </row>
    <row r="110" spans="1:12" ht="16.5" customHeight="1">
      <c r="A110" s="323"/>
      <c r="B110" s="325"/>
      <c r="C110" s="325"/>
      <c r="D110" s="326"/>
      <c r="E110" s="330"/>
      <c r="F110" s="331"/>
      <c r="G110" s="332"/>
      <c r="H110" s="359"/>
    </row>
    <row r="111" spans="1:12" ht="16.5" customHeight="1">
      <c r="A111" s="322"/>
      <c r="B111" s="324" t="s">
        <v>751</v>
      </c>
      <c r="C111" s="325"/>
      <c r="D111" s="326">
        <v>36000</v>
      </c>
      <c r="E111" s="327" t="s">
        <v>755</v>
      </c>
      <c r="F111" s="328"/>
      <c r="G111" s="329"/>
      <c r="H111" s="360" t="s">
        <v>754</v>
      </c>
    </row>
    <row r="112" spans="1:12" ht="16.5" customHeight="1">
      <c r="A112" s="323"/>
      <c r="B112" s="325"/>
      <c r="C112" s="325"/>
      <c r="D112" s="326"/>
      <c r="E112" s="330"/>
      <c r="F112" s="331"/>
      <c r="G112" s="332"/>
      <c r="H112" s="359"/>
    </row>
    <row r="113" spans="1:8" ht="16.5" customHeight="1">
      <c r="A113" s="322"/>
      <c r="B113" s="324" t="s">
        <v>751</v>
      </c>
      <c r="C113" s="341"/>
      <c r="D113" s="343">
        <v>110000</v>
      </c>
      <c r="E113" s="327" t="s">
        <v>752</v>
      </c>
      <c r="F113" s="328"/>
      <c r="G113" s="329"/>
      <c r="H113" s="360" t="s">
        <v>753</v>
      </c>
    </row>
    <row r="114" spans="1:8" ht="16.5" customHeight="1">
      <c r="A114" s="323"/>
      <c r="B114" s="325"/>
      <c r="C114" s="352"/>
      <c r="D114" s="344"/>
      <c r="E114" s="330"/>
      <c r="F114" s="331"/>
      <c r="G114" s="332"/>
      <c r="H114" s="359"/>
    </row>
    <row r="115" spans="1:8" ht="16.5" customHeight="1">
      <c r="A115" s="322"/>
      <c r="B115" s="341" t="s">
        <v>757</v>
      </c>
      <c r="C115" s="341"/>
      <c r="D115" s="343">
        <v>80000</v>
      </c>
      <c r="E115" s="327"/>
      <c r="F115" s="345"/>
      <c r="G115" s="346"/>
      <c r="H115" s="400" t="s">
        <v>756</v>
      </c>
    </row>
    <row r="116" spans="1:8" ht="16.5" customHeight="1">
      <c r="A116" s="323"/>
      <c r="B116" s="342"/>
      <c r="C116" s="352"/>
      <c r="D116" s="344"/>
      <c r="E116" s="347"/>
      <c r="F116" s="348"/>
      <c r="G116" s="349"/>
      <c r="H116" s="401"/>
    </row>
    <row r="117" spans="1:8" ht="16.5" customHeight="1">
      <c r="A117" s="322"/>
      <c r="B117" s="324"/>
      <c r="C117" s="325"/>
      <c r="D117" s="326"/>
      <c r="E117" s="327"/>
      <c r="F117" s="328"/>
      <c r="G117" s="329"/>
      <c r="H117" s="359"/>
    </row>
    <row r="118" spans="1:8" ht="16.5" customHeight="1">
      <c r="A118" s="323"/>
      <c r="B118" s="325"/>
      <c r="C118" s="325"/>
      <c r="D118" s="326"/>
      <c r="E118" s="330"/>
      <c r="F118" s="331"/>
      <c r="G118" s="332"/>
      <c r="H118" s="399"/>
    </row>
    <row r="119" spans="1:8" ht="16.5" customHeight="1">
      <c r="A119" s="423" t="s">
        <v>763</v>
      </c>
      <c r="B119" s="424"/>
      <c r="C119" s="424"/>
      <c r="D119" s="424"/>
      <c r="E119" s="424"/>
      <c r="F119" s="424"/>
      <c r="G119" s="424"/>
      <c r="H119" s="425"/>
    </row>
    <row r="120" spans="1:8" ht="36.75" customHeight="1">
      <c r="A120" s="426"/>
      <c r="B120" s="427"/>
      <c r="C120" s="427"/>
      <c r="D120" s="427"/>
      <c r="E120" s="427"/>
      <c r="F120" s="427"/>
      <c r="G120" s="427"/>
      <c r="H120" s="428"/>
    </row>
    <row r="121" spans="1:8">
      <c r="A121" s="322"/>
      <c r="B121" s="324"/>
      <c r="C121" s="325"/>
      <c r="D121" s="343"/>
      <c r="E121" s="337"/>
      <c r="F121" s="326"/>
      <c r="G121" s="326"/>
      <c r="H121" s="360"/>
    </row>
    <row r="122" spans="1:8">
      <c r="A122" s="323"/>
      <c r="B122" s="325"/>
      <c r="C122" s="325"/>
      <c r="D122" s="344"/>
      <c r="E122" s="326"/>
      <c r="F122" s="326"/>
      <c r="G122" s="326"/>
      <c r="H122" s="359"/>
    </row>
    <row r="123" spans="1:8">
      <c r="A123" s="322"/>
      <c r="B123" s="324"/>
      <c r="C123" s="324"/>
      <c r="D123" s="343"/>
      <c r="E123" s="337"/>
      <c r="F123" s="326"/>
      <c r="G123" s="326"/>
      <c r="H123" s="359"/>
    </row>
    <row r="124" spans="1:8">
      <c r="A124" s="323"/>
      <c r="B124" s="325"/>
      <c r="C124" s="325"/>
      <c r="D124" s="344"/>
      <c r="E124" s="326"/>
      <c r="F124" s="326"/>
      <c r="G124" s="326"/>
      <c r="H124" s="359"/>
    </row>
    <row r="125" spans="1:8">
      <c r="A125" s="322"/>
      <c r="B125" s="324"/>
      <c r="C125" s="325"/>
      <c r="D125" s="343"/>
      <c r="E125" s="337"/>
      <c r="F125" s="326"/>
      <c r="G125" s="326"/>
      <c r="H125" s="333"/>
    </row>
    <row r="126" spans="1:8">
      <c r="A126" s="323"/>
      <c r="B126" s="325"/>
      <c r="C126" s="325"/>
      <c r="D126" s="344"/>
      <c r="E126" s="326"/>
      <c r="F126" s="326"/>
      <c r="G126" s="326"/>
      <c r="H126" s="333"/>
    </row>
    <row r="127" spans="1:8">
      <c r="A127" s="322"/>
      <c r="B127" s="324"/>
      <c r="C127" s="325"/>
      <c r="D127" s="343"/>
      <c r="E127" s="337"/>
      <c r="F127" s="326"/>
      <c r="G127" s="326"/>
      <c r="H127" s="360"/>
    </row>
    <row r="128" spans="1:8">
      <c r="A128" s="323"/>
      <c r="B128" s="325"/>
      <c r="C128" s="325"/>
      <c r="D128" s="344"/>
      <c r="E128" s="326"/>
      <c r="F128" s="326"/>
      <c r="G128" s="326"/>
      <c r="H128" s="359"/>
    </row>
    <row r="129" spans="1:8">
      <c r="A129" s="322"/>
      <c r="B129" s="324"/>
      <c r="C129" s="325"/>
      <c r="D129" s="326"/>
      <c r="E129" s="337"/>
      <c r="F129" s="326"/>
      <c r="G129" s="326"/>
      <c r="H129" s="338"/>
    </row>
    <row r="130" spans="1:8">
      <c r="A130" s="323"/>
      <c r="B130" s="325"/>
      <c r="C130" s="325"/>
      <c r="D130" s="326"/>
      <c r="E130" s="326"/>
      <c r="F130" s="326"/>
      <c r="G130" s="326"/>
      <c r="H130" s="333"/>
    </row>
    <row r="131" spans="1:8">
      <c r="A131" s="322"/>
      <c r="B131" s="324"/>
      <c r="C131" s="324"/>
      <c r="D131" s="326"/>
      <c r="E131" s="327"/>
      <c r="F131" s="328"/>
      <c r="G131" s="329"/>
      <c r="H131" s="338"/>
    </row>
    <row r="132" spans="1:8">
      <c r="A132" s="323"/>
      <c r="B132" s="325"/>
      <c r="C132" s="325"/>
      <c r="D132" s="326"/>
      <c r="E132" s="330"/>
      <c r="F132" s="331"/>
      <c r="G132" s="332"/>
      <c r="H132" s="333"/>
    </row>
    <row r="133" spans="1:8">
      <c r="A133" s="323"/>
      <c r="B133" s="341"/>
      <c r="C133" s="324"/>
      <c r="D133" s="326"/>
      <c r="E133" s="327"/>
      <c r="F133" s="328"/>
      <c r="G133" s="329"/>
      <c r="H133" s="338"/>
    </row>
    <row r="134" spans="1:8">
      <c r="A134" s="323"/>
      <c r="B134" s="352"/>
      <c r="C134" s="325"/>
      <c r="D134" s="326"/>
      <c r="E134" s="330"/>
      <c r="F134" s="331"/>
      <c r="G134" s="332"/>
      <c r="H134" s="333"/>
    </row>
    <row r="135" spans="1:8">
      <c r="A135" s="322"/>
      <c r="B135" s="324"/>
      <c r="C135" s="325"/>
      <c r="D135" s="326"/>
      <c r="E135" s="337"/>
      <c r="F135" s="326"/>
      <c r="G135" s="326"/>
      <c r="H135" s="338"/>
    </row>
    <row r="136" spans="1:8">
      <c r="A136" s="323"/>
      <c r="B136" s="325"/>
      <c r="C136" s="325"/>
      <c r="D136" s="326"/>
      <c r="E136" s="326"/>
      <c r="F136" s="326"/>
      <c r="G136" s="326"/>
      <c r="H136" s="333"/>
    </row>
    <row r="137" spans="1:8">
      <c r="A137" s="322"/>
      <c r="B137" s="341"/>
      <c r="C137" s="353"/>
      <c r="D137" s="343"/>
      <c r="E137" s="327"/>
      <c r="F137" s="345"/>
      <c r="G137" s="346"/>
      <c r="H137" s="333"/>
    </row>
    <row r="138" spans="1:8">
      <c r="A138" s="323"/>
      <c r="B138" s="342"/>
      <c r="C138" s="352"/>
      <c r="D138" s="344"/>
      <c r="E138" s="347"/>
      <c r="F138" s="348"/>
      <c r="G138" s="349"/>
      <c r="H138" s="333"/>
    </row>
    <row r="139" spans="1:8">
      <c r="A139" s="322"/>
      <c r="B139" s="324"/>
      <c r="C139" s="325"/>
      <c r="D139" s="326"/>
      <c r="E139" s="337"/>
      <c r="F139" s="326"/>
      <c r="G139" s="326"/>
      <c r="H139" s="338"/>
    </row>
    <row r="140" spans="1:8">
      <c r="A140" s="323"/>
      <c r="B140" s="325"/>
      <c r="C140" s="325"/>
      <c r="D140" s="326"/>
      <c r="E140" s="326"/>
      <c r="F140" s="326"/>
      <c r="G140" s="326"/>
      <c r="H140" s="333"/>
    </row>
    <row r="141" spans="1:8">
      <c r="A141" s="322"/>
      <c r="B141" s="324"/>
      <c r="C141" s="325"/>
      <c r="D141" s="326"/>
      <c r="E141" s="337"/>
      <c r="F141" s="326"/>
      <c r="G141" s="326"/>
      <c r="H141" s="338"/>
    </row>
    <row r="142" spans="1:8">
      <c r="A142" s="323"/>
      <c r="B142" s="325"/>
      <c r="C142" s="325"/>
      <c r="D142" s="326"/>
      <c r="E142" s="326"/>
      <c r="F142" s="326"/>
      <c r="G142" s="326"/>
      <c r="H142" s="333"/>
    </row>
    <row r="143" spans="1:8">
      <c r="A143" s="322"/>
      <c r="B143" s="324"/>
      <c r="C143" s="325"/>
      <c r="D143" s="326"/>
      <c r="E143" s="337"/>
      <c r="F143" s="326"/>
      <c r="G143" s="326"/>
      <c r="H143" s="338"/>
    </row>
    <row r="144" spans="1:8">
      <c r="A144" s="323"/>
      <c r="B144" s="325"/>
      <c r="C144" s="325"/>
      <c r="D144" s="326"/>
      <c r="E144" s="326"/>
      <c r="F144" s="326"/>
      <c r="G144" s="326"/>
      <c r="H144" s="333"/>
    </row>
    <row r="145" spans="1:8" ht="16.5" customHeight="1">
      <c r="A145" s="322"/>
      <c r="B145" s="341"/>
      <c r="C145" s="324"/>
      <c r="D145" s="326"/>
      <c r="E145" s="327"/>
      <c r="F145" s="328"/>
      <c r="G145" s="329"/>
      <c r="H145" s="333"/>
    </row>
    <row r="146" spans="1:8">
      <c r="A146" s="323"/>
      <c r="B146" s="352"/>
      <c r="C146" s="325"/>
      <c r="D146" s="326"/>
      <c r="E146" s="330"/>
      <c r="F146" s="331"/>
      <c r="G146" s="332"/>
      <c r="H146" s="333"/>
    </row>
    <row r="147" spans="1:8" ht="16.5" customHeight="1">
      <c r="A147" s="322"/>
      <c r="B147" s="341"/>
      <c r="C147" s="353"/>
      <c r="D147" s="343"/>
      <c r="E147" s="327"/>
      <c r="F147" s="345"/>
      <c r="G147" s="346"/>
      <c r="H147" s="338"/>
    </row>
    <row r="148" spans="1:8">
      <c r="A148" s="323"/>
      <c r="B148" s="342"/>
      <c r="C148" s="352"/>
      <c r="D148" s="344"/>
      <c r="E148" s="347"/>
      <c r="F148" s="348"/>
      <c r="G148" s="349"/>
      <c r="H148" s="333"/>
    </row>
    <row r="149" spans="1:8">
      <c r="A149" s="322"/>
      <c r="B149" s="324"/>
      <c r="C149" s="324"/>
      <c r="D149" s="326"/>
      <c r="E149" s="337"/>
      <c r="F149" s="326"/>
      <c r="G149" s="326"/>
      <c r="H149" s="338"/>
    </row>
    <row r="150" spans="1:8">
      <c r="A150" s="323"/>
      <c r="B150" s="325"/>
      <c r="C150" s="325"/>
      <c r="D150" s="326"/>
      <c r="E150" s="326"/>
      <c r="F150" s="326"/>
      <c r="G150" s="326"/>
      <c r="H150" s="333"/>
    </row>
    <row r="151" spans="1:8">
      <c r="A151" s="322"/>
      <c r="B151" s="341"/>
      <c r="C151" s="324"/>
      <c r="D151" s="326"/>
      <c r="E151" s="327"/>
      <c r="F151" s="328"/>
      <c r="G151" s="329"/>
      <c r="H151" s="333"/>
    </row>
    <row r="152" spans="1:8">
      <c r="A152" s="323"/>
      <c r="B152" s="352"/>
      <c r="C152" s="325"/>
      <c r="D152" s="326"/>
      <c r="E152" s="330"/>
      <c r="F152" s="331"/>
      <c r="G152" s="332"/>
      <c r="H152" s="333"/>
    </row>
    <row r="153" spans="1:8">
      <c r="A153" s="322"/>
      <c r="B153" s="324"/>
      <c r="C153" s="324"/>
      <c r="D153" s="326"/>
      <c r="E153" s="327"/>
      <c r="F153" s="328"/>
      <c r="G153" s="329"/>
      <c r="H153" s="333"/>
    </row>
    <row r="154" spans="1:8">
      <c r="A154" s="323"/>
      <c r="B154" s="325"/>
      <c r="C154" s="325"/>
      <c r="D154" s="326"/>
      <c r="E154" s="330"/>
      <c r="F154" s="331"/>
      <c r="G154" s="332"/>
      <c r="H154" s="333"/>
    </row>
    <row r="155" spans="1:8">
      <c r="A155" s="322"/>
      <c r="B155" s="324"/>
      <c r="C155" s="324"/>
      <c r="D155" s="326"/>
      <c r="E155" s="337"/>
      <c r="F155" s="326"/>
      <c r="G155" s="326"/>
      <c r="H155" s="338"/>
    </row>
    <row r="156" spans="1:8">
      <c r="A156" s="323"/>
      <c r="B156" s="325"/>
      <c r="C156" s="325"/>
      <c r="D156" s="326"/>
      <c r="E156" s="326"/>
      <c r="F156" s="326"/>
      <c r="G156" s="326"/>
      <c r="H156" s="333"/>
    </row>
    <row r="157" spans="1:8">
      <c r="A157" s="322"/>
      <c r="B157" s="324"/>
      <c r="C157" s="325"/>
      <c r="D157" s="326"/>
      <c r="E157" s="337"/>
      <c r="F157" s="326"/>
      <c r="G157" s="326"/>
      <c r="H157" s="338"/>
    </row>
    <row r="158" spans="1:8">
      <c r="A158" s="323"/>
      <c r="B158" s="325"/>
      <c r="C158" s="325"/>
      <c r="D158" s="326"/>
      <c r="E158" s="326"/>
      <c r="F158" s="326"/>
      <c r="G158" s="326"/>
      <c r="H158" s="333"/>
    </row>
    <row r="159" spans="1:8">
      <c r="A159" s="322"/>
      <c r="B159" s="324"/>
      <c r="C159" s="324"/>
      <c r="D159" s="326"/>
      <c r="E159" s="327"/>
      <c r="F159" s="328"/>
      <c r="G159" s="329"/>
      <c r="H159" s="333"/>
    </row>
    <row r="160" spans="1:8">
      <c r="A160" s="323"/>
      <c r="B160" s="325"/>
      <c r="C160" s="325"/>
      <c r="D160" s="326"/>
      <c r="E160" s="330"/>
      <c r="F160" s="331"/>
      <c r="G160" s="332"/>
      <c r="H160" s="333"/>
    </row>
    <row r="161" spans="1:8">
      <c r="A161" s="322"/>
      <c r="B161" s="324"/>
      <c r="C161" s="324"/>
      <c r="D161" s="326"/>
      <c r="E161" s="337"/>
      <c r="F161" s="326"/>
      <c r="G161" s="326"/>
      <c r="H161" s="333"/>
    </row>
    <row r="162" spans="1:8">
      <c r="A162" s="323"/>
      <c r="B162" s="325"/>
      <c r="C162" s="325"/>
      <c r="D162" s="326"/>
      <c r="E162" s="326"/>
      <c r="F162" s="326"/>
      <c r="G162" s="326"/>
      <c r="H162" s="333"/>
    </row>
    <row r="163" spans="1:8">
      <c r="A163" s="322"/>
      <c r="B163" s="324"/>
      <c r="C163" s="325"/>
      <c r="D163" s="326"/>
      <c r="E163" s="337"/>
      <c r="F163" s="326"/>
      <c r="G163" s="326"/>
      <c r="H163" s="333"/>
    </row>
    <row r="164" spans="1:8">
      <c r="A164" s="323"/>
      <c r="B164" s="325"/>
      <c r="C164" s="325"/>
      <c r="D164" s="326"/>
      <c r="E164" s="326"/>
      <c r="F164" s="326"/>
      <c r="G164" s="326"/>
      <c r="H164" s="333"/>
    </row>
    <row r="165" spans="1:8">
      <c r="A165" s="322"/>
      <c r="B165" s="324"/>
      <c r="C165" s="325"/>
      <c r="D165" s="326"/>
      <c r="E165" s="337"/>
      <c r="F165" s="326"/>
      <c r="G165" s="326"/>
      <c r="H165" s="338"/>
    </row>
    <row r="166" spans="1:8">
      <c r="A166" s="323"/>
      <c r="B166" s="325"/>
      <c r="C166" s="325"/>
      <c r="D166" s="326"/>
      <c r="E166" s="326"/>
      <c r="F166" s="326"/>
      <c r="G166" s="326"/>
      <c r="H166" s="333"/>
    </row>
    <row r="167" spans="1:8">
      <c r="A167" s="322"/>
      <c r="B167" s="324"/>
      <c r="C167" s="324"/>
      <c r="D167" s="326"/>
      <c r="E167" s="337"/>
      <c r="F167" s="326"/>
      <c r="G167" s="326"/>
      <c r="H167" s="333"/>
    </row>
    <row r="168" spans="1:8">
      <c r="A168" s="323"/>
      <c r="B168" s="325"/>
      <c r="C168" s="325"/>
      <c r="D168" s="326"/>
      <c r="E168" s="326"/>
      <c r="F168" s="326"/>
      <c r="G168" s="326"/>
      <c r="H168" s="333"/>
    </row>
    <row r="169" spans="1:8">
      <c r="A169" s="322"/>
      <c r="B169" s="324"/>
      <c r="C169" s="324"/>
      <c r="D169" s="326"/>
      <c r="E169" s="337"/>
      <c r="F169" s="326"/>
      <c r="G169" s="326"/>
      <c r="H169" s="338"/>
    </row>
    <row r="170" spans="1:8">
      <c r="A170" s="323"/>
      <c r="B170" s="325"/>
      <c r="C170" s="325"/>
      <c r="D170" s="326"/>
      <c r="E170" s="326"/>
      <c r="F170" s="326"/>
      <c r="G170" s="326"/>
      <c r="H170" s="333"/>
    </row>
    <row r="171" spans="1:8">
      <c r="A171" s="322"/>
      <c r="B171" s="324"/>
      <c r="C171" s="325"/>
      <c r="D171" s="326"/>
      <c r="E171" s="337"/>
      <c r="F171" s="326"/>
      <c r="G171" s="326"/>
      <c r="H171" s="338"/>
    </row>
    <row r="172" spans="1:8">
      <c r="A172" s="323"/>
      <c r="B172" s="325"/>
      <c r="C172" s="325"/>
      <c r="D172" s="326"/>
      <c r="E172" s="326"/>
      <c r="F172" s="326"/>
      <c r="G172" s="326"/>
      <c r="H172" s="333"/>
    </row>
    <row r="173" spans="1:8">
      <c r="A173" s="322"/>
      <c r="B173" s="324"/>
      <c r="C173" s="325"/>
      <c r="D173" s="326"/>
      <c r="E173" s="337"/>
      <c r="F173" s="326"/>
      <c r="G173" s="326"/>
      <c r="H173" s="338"/>
    </row>
    <row r="174" spans="1:8">
      <c r="A174" s="323"/>
      <c r="B174" s="325"/>
      <c r="C174" s="325"/>
      <c r="D174" s="326"/>
      <c r="E174" s="326"/>
      <c r="F174" s="326"/>
      <c r="G174" s="326"/>
      <c r="H174" s="333"/>
    </row>
    <row r="175" spans="1:8">
      <c r="A175" s="322"/>
      <c r="B175" s="324"/>
      <c r="C175" s="325"/>
      <c r="D175" s="326"/>
      <c r="E175" s="337"/>
      <c r="F175" s="326"/>
      <c r="G175" s="326"/>
      <c r="H175" s="333"/>
    </row>
    <row r="176" spans="1:8">
      <c r="A176" s="323"/>
      <c r="B176" s="325"/>
      <c r="C176" s="325"/>
      <c r="D176" s="326"/>
      <c r="E176" s="326"/>
      <c r="F176" s="326"/>
      <c r="G176" s="326"/>
      <c r="H176" s="333"/>
    </row>
    <row r="177" spans="1:8" ht="16.5" customHeight="1">
      <c r="A177" s="322"/>
      <c r="B177" s="324"/>
      <c r="C177" s="324"/>
      <c r="D177" s="326"/>
      <c r="E177" s="337"/>
      <c r="F177" s="326"/>
      <c r="G177" s="326"/>
      <c r="H177" s="338"/>
    </row>
    <row r="178" spans="1:8">
      <c r="A178" s="323"/>
      <c r="B178" s="325"/>
      <c r="C178" s="325"/>
      <c r="D178" s="326"/>
      <c r="E178" s="326"/>
      <c r="F178" s="326"/>
      <c r="G178" s="326"/>
      <c r="H178" s="333"/>
    </row>
    <row r="179" spans="1:8">
      <c r="A179" s="322"/>
      <c r="B179" s="324"/>
      <c r="C179" s="325"/>
      <c r="D179" s="326"/>
      <c r="E179" s="337"/>
      <c r="F179" s="326"/>
      <c r="G179" s="326"/>
      <c r="H179" s="333"/>
    </row>
    <row r="180" spans="1:8">
      <c r="A180" s="323"/>
      <c r="B180" s="325"/>
      <c r="C180" s="325"/>
      <c r="D180" s="326"/>
      <c r="E180" s="326"/>
      <c r="F180" s="326"/>
      <c r="G180" s="326"/>
      <c r="H180" s="333"/>
    </row>
    <row r="181" spans="1:8">
      <c r="A181" s="322"/>
      <c r="B181" s="324"/>
      <c r="C181" s="324"/>
      <c r="D181" s="326"/>
      <c r="E181" s="337"/>
      <c r="F181" s="326"/>
      <c r="G181" s="326"/>
      <c r="H181" s="338"/>
    </row>
    <row r="182" spans="1:8">
      <c r="A182" s="323"/>
      <c r="B182" s="325"/>
      <c r="C182" s="325"/>
      <c r="D182" s="326"/>
      <c r="E182" s="326"/>
      <c r="F182" s="326"/>
      <c r="G182" s="326"/>
      <c r="H182" s="333"/>
    </row>
    <row r="183" spans="1:8">
      <c r="A183" s="322"/>
      <c r="B183" s="324"/>
      <c r="C183" s="325"/>
      <c r="D183" s="326"/>
      <c r="E183" s="337"/>
      <c r="F183" s="326"/>
      <c r="G183" s="326"/>
      <c r="H183" s="338"/>
    </row>
    <row r="184" spans="1:8">
      <c r="A184" s="323"/>
      <c r="B184" s="325"/>
      <c r="C184" s="325"/>
      <c r="D184" s="326"/>
      <c r="E184" s="326"/>
      <c r="F184" s="326"/>
      <c r="G184" s="326"/>
      <c r="H184" s="333"/>
    </row>
    <row r="185" spans="1:8">
      <c r="A185" s="323"/>
      <c r="B185" s="324"/>
      <c r="C185" s="325"/>
      <c r="D185" s="326"/>
      <c r="E185" s="337"/>
      <c r="F185" s="326"/>
      <c r="G185" s="326"/>
      <c r="H185" s="333"/>
    </row>
    <row r="186" spans="1:8">
      <c r="A186" s="323"/>
      <c r="B186" s="325"/>
      <c r="C186" s="325"/>
      <c r="D186" s="326"/>
      <c r="E186" s="326"/>
      <c r="F186" s="326"/>
      <c r="G186" s="326"/>
      <c r="H186" s="333"/>
    </row>
    <row r="187" spans="1:8">
      <c r="A187" s="323"/>
      <c r="B187" s="324"/>
      <c r="C187" s="325"/>
      <c r="D187" s="326"/>
      <c r="E187" s="337"/>
      <c r="F187" s="326"/>
      <c r="G187" s="326"/>
      <c r="H187" s="338"/>
    </row>
    <row r="188" spans="1:8">
      <c r="A188" s="323"/>
      <c r="B188" s="325"/>
      <c r="C188" s="325"/>
      <c r="D188" s="326"/>
      <c r="E188" s="326"/>
      <c r="F188" s="326"/>
      <c r="G188" s="326"/>
      <c r="H188" s="333"/>
    </row>
    <row r="189" spans="1:8" ht="16.5" customHeight="1">
      <c r="A189" s="322"/>
      <c r="B189" s="324"/>
      <c r="C189" s="325"/>
      <c r="D189" s="326"/>
      <c r="E189" s="337"/>
      <c r="F189" s="326"/>
      <c r="G189" s="326"/>
      <c r="H189" s="333"/>
    </row>
    <row r="190" spans="1:8">
      <c r="A190" s="323"/>
      <c r="B190" s="325"/>
      <c r="C190" s="325"/>
      <c r="D190" s="326"/>
      <c r="E190" s="326"/>
      <c r="F190" s="326"/>
      <c r="G190" s="326"/>
      <c r="H190" s="333"/>
    </row>
    <row r="191" spans="1:8">
      <c r="A191" s="323"/>
      <c r="B191" s="324"/>
      <c r="C191" s="325"/>
      <c r="D191" s="326"/>
      <c r="E191" s="337"/>
      <c r="F191" s="326"/>
      <c r="G191" s="326"/>
      <c r="H191" s="333"/>
    </row>
    <row r="192" spans="1:8">
      <c r="A192" s="323"/>
      <c r="B192" s="325"/>
      <c r="C192" s="325"/>
      <c r="D192" s="326"/>
      <c r="E192" s="326"/>
      <c r="F192" s="326"/>
      <c r="G192" s="326"/>
      <c r="H192" s="333"/>
    </row>
    <row r="193" spans="1:8">
      <c r="A193" s="323"/>
      <c r="B193" s="325"/>
      <c r="C193" s="325"/>
      <c r="D193" s="326"/>
      <c r="E193" s="337"/>
      <c r="F193" s="326"/>
      <c r="G193" s="326"/>
      <c r="H193" s="333"/>
    </row>
    <row r="194" spans="1:8">
      <c r="A194" s="323"/>
      <c r="B194" s="325"/>
      <c r="C194" s="325"/>
      <c r="D194" s="326"/>
      <c r="E194" s="326"/>
      <c r="F194" s="326"/>
      <c r="G194" s="326"/>
      <c r="H194" s="333"/>
    </row>
    <row r="195" spans="1:8">
      <c r="A195" s="322"/>
      <c r="B195" s="325"/>
      <c r="C195" s="325"/>
      <c r="D195" s="326"/>
      <c r="E195" s="337"/>
      <c r="F195" s="326"/>
      <c r="G195" s="326"/>
      <c r="H195" s="333"/>
    </row>
    <row r="196" spans="1:8">
      <c r="A196" s="323"/>
      <c r="B196" s="325"/>
      <c r="C196" s="325"/>
      <c r="D196" s="326"/>
      <c r="E196" s="326"/>
      <c r="F196" s="326"/>
      <c r="G196" s="326"/>
      <c r="H196" s="333"/>
    </row>
    <row r="197" spans="1:8">
      <c r="A197" s="322"/>
      <c r="B197" s="325"/>
      <c r="C197" s="325"/>
      <c r="D197" s="326"/>
      <c r="E197" s="337"/>
      <c r="F197" s="326"/>
      <c r="G197" s="326"/>
      <c r="H197" s="333"/>
    </row>
    <row r="198" spans="1:8">
      <c r="A198" s="323"/>
      <c r="B198" s="325"/>
      <c r="C198" s="325"/>
      <c r="D198" s="326"/>
      <c r="E198" s="326"/>
      <c r="F198" s="326"/>
      <c r="G198" s="326"/>
      <c r="H198" s="333"/>
    </row>
    <row r="199" spans="1:8">
      <c r="A199" s="322"/>
      <c r="B199" s="324"/>
      <c r="C199" s="325"/>
      <c r="D199" s="326"/>
      <c r="E199" s="337"/>
      <c r="F199" s="326"/>
      <c r="G199" s="326"/>
      <c r="H199" s="333"/>
    </row>
    <row r="200" spans="1:8">
      <c r="A200" s="323"/>
      <c r="B200" s="325"/>
      <c r="C200" s="325"/>
      <c r="D200" s="326"/>
      <c r="E200" s="326"/>
      <c r="F200" s="326"/>
      <c r="G200" s="326"/>
      <c r="H200" s="333"/>
    </row>
    <row r="201" spans="1:8">
      <c r="A201" s="322"/>
      <c r="B201" s="324"/>
      <c r="C201" s="325"/>
      <c r="D201" s="326"/>
      <c r="E201" s="337"/>
      <c r="F201" s="326"/>
      <c r="G201" s="326"/>
      <c r="H201" s="338"/>
    </row>
    <row r="202" spans="1:8" s="30" customFormat="1">
      <c r="A202" s="323"/>
      <c r="B202" s="325"/>
      <c r="C202" s="325"/>
      <c r="D202" s="326"/>
      <c r="E202" s="326"/>
      <c r="F202" s="326"/>
      <c r="G202" s="326"/>
      <c r="H202" s="333"/>
    </row>
    <row r="203" spans="1:8">
      <c r="A203" s="323"/>
      <c r="B203" s="325"/>
      <c r="C203" s="325"/>
      <c r="D203" s="326"/>
      <c r="E203" s="337"/>
      <c r="F203" s="326"/>
      <c r="G203" s="326"/>
      <c r="H203" s="333"/>
    </row>
    <row r="204" spans="1:8">
      <c r="A204" s="323"/>
      <c r="B204" s="325"/>
      <c r="C204" s="325"/>
      <c r="D204" s="326"/>
      <c r="E204" s="326"/>
      <c r="F204" s="326"/>
      <c r="G204" s="326"/>
      <c r="H204" s="333"/>
    </row>
    <row r="205" spans="1:8">
      <c r="A205" s="322"/>
      <c r="B205" s="324"/>
      <c r="C205" s="325"/>
      <c r="D205" s="326"/>
      <c r="E205" s="337"/>
      <c r="F205" s="326"/>
      <c r="G205" s="326"/>
      <c r="H205" s="333"/>
    </row>
    <row r="206" spans="1:8">
      <c r="A206" s="323"/>
      <c r="B206" s="325"/>
      <c r="C206" s="325"/>
      <c r="D206" s="326"/>
      <c r="E206" s="326"/>
      <c r="F206" s="326"/>
      <c r="G206" s="326"/>
      <c r="H206" s="333"/>
    </row>
    <row r="207" spans="1:8">
      <c r="A207" s="323"/>
      <c r="B207" s="324"/>
      <c r="C207" s="325"/>
      <c r="D207" s="326"/>
      <c r="E207" s="337"/>
      <c r="F207" s="326"/>
      <c r="G207" s="326"/>
      <c r="H207" s="338"/>
    </row>
    <row r="208" spans="1:8" s="30" customFormat="1">
      <c r="A208" s="323"/>
      <c r="B208" s="325"/>
      <c r="C208" s="325"/>
      <c r="D208" s="326"/>
      <c r="E208" s="326"/>
      <c r="F208" s="326"/>
      <c r="G208" s="326"/>
      <c r="H208" s="333"/>
    </row>
    <row r="209" spans="1:8">
      <c r="A209" s="323"/>
      <c r="B209" s="324"/>
      <c r="C209" s="325"/>
      <c r="D209" s="326"/>
      <c r="E209" s="337"/>
      <c r="F209" s="326"/>
      <c r="G209" s="326"/>
      <c r="H209" s="338"/>
    </row>
    <row r="210" spans="1:8">
      <c r="A210" s="323"/>
      <c r="B210" s="325"/>
      <c r="C210" s="325"/>
      <c r="D210" s="326"/>
      <c r="E210" s="326"/>
      <c r="F210" s="326"/>
      <c r="G210" s="326"/>
      <c r="H210" s="333"/>
    </row>
    <row r="211" spans="1:8">
      <c r="A211" s="322"/>
      <c r="B211" s="324"/>
      <c r="C211" s="325"/>
      <c r="D211" s="326"/>
      <c r="E211" s="337"/>
      <c r="F211" s="326"/>
      <c r="G211" s="326"/>
      <c r="H211" s="333"/>
    </row>
    <row r="212" spans="1:8">
      <c r="A212" s="323"/>
      <c r="B212" s="325"/>
      <c r="C212" s="325"/>
      <c r="D212" s="326"/>
      <c r="E212" s="326"/>
      <c r="F212" s="326"/>
      <c r="G212" s="326"/>
      <c r="H212" s="333"/>
    </row>
    <row r="213" spans="1:8">
      <c r="A213" s="323"/>
      <c r="B213" s="324"/>
      <c r="C213" s="325"/>
      <c r="D213" s="326"/>
      <c r="E213" s="337"/>
      <c r="F213" s="326"/>
      <c r="G213" s="326"/>
      <c r="H213" s="333"/>
    </row>
    <row r="214" spans="1:8">
      <c r="A214" s="323"/>
      <c r="B214" s="325"/>
      <c r="C214" s="325"/>
      <c r="D214" s="326"/>
      <c r="E214" s="326"/>
      <c r="F214" s="326"/>
      <c r="G214" s="326"/>
      <c r="H214" s="333"/>
    </row>
    <row r="215" spans="1:8">
      <c r="A215" s="322"/>
      <c r="B215" s="324"/>
      <c r="C215" s="325"/>
      <c r="D215" s="326"/>
      <c r="E215" s="326"/>
      <c r="F215" s="326"/>
      <c r="G215" s="326"/>
      <c r="H215" s="333"/>
    </row>
    <row r="216" spans="1:8">
      <c r="A216" s="323"/>
      <c r="B216" s="325"/>
      <c r="C216" s="325"/>
      <c r="D216" s="326"/>
      <c r="E216" s="326"/>
      <c r="F216" s="326"/>
      <c r="G216" s="326"/>
      <c r="H216" s="333"/>
    </row>
    <row r="217" spans="1:8">
      <c r="A217" s="322"/>
      <c r="B217" s="324"/>
      <c r="C217" s="325"/>
      <c r="D217" s="326"/>
      <c r="E217" s="337"/>
      <c r="F217" s="326"/>
      <c r="G217" s="326"/>
      <c r="H217" s="338"/>
    </row>
    <row r="218" spans="1:8" s="30" customFormat="1">
      <c r="A218" s="323"/>
      <c r="B218" s="325"/>
      <c r="C218" s="325"/>
      <c r="D218" s="326"/>
      <c r="E218" s="326"/>
      <c r="F218" s="326"/>
      <c r="G218" s="326"/>
      <c r="H218" s="333"/>
    </row>
    <row r="219" spans="1:8">
      <c r="A219" s="323"/>
      <c r="B219" s="325"/>
      <c r="C219" s="325"/>
      <c r="D219" s="326"/>
      <c r="E219" s="337"/>
      <c r="F219" s="326"/>
      <c r="G219" s="326"/>
      <c r="H219" s="338"/>
    </row>
    <row r="220" spans="1:8">
      <c r="A220" s="323"/>
      <c r="B220" s="325"/>
      <c r="C220" s="325"/>
      <c r="D220" s="326"/>
      <c r="E220" s="326"/>
      <c r="F220" s="326"/>
      <c r="G220" s="326"/>
      <c r="H220" s="333"/>
    </row>
    <row r="221" spans="1:8">
      <c r="A221" s="322"/>
      <c r="B221" s="324"/>
      <c r="C221" s="325"/>
      <c r="D221" s="326"/>
      <c r="E221" s="337"/>
      <c r="F221" s="326"/>
      <c r="G221" s="326"/>
      <c r="H221" s="333"/>
    </row>
    <row r="222" spans="1:8">
      <c r="A222" s="323"/>
      <c r="B222" s="325"/>
      <c r="C222" s="325"/>
      <c r="D222" s="326"/>
      <c r="E222" s="326"/>
      <c r="F222" s="326"/>
      <c r="G222" s="326"/>
      <c r="H222" s="333"/>
    </row>
    <row r="223" spans="1:8">
      <c r="A223" s="322"/>
      <c r="B223" s="324"/>
      <c r="C223" s="325"/>
      <c r="D223" s="326"/>
      <c r="E223" s="337"/>
      <c r="F223" s="326"/>
      <c r="G223" s="326"/>
      <c r="H223" s="338"/>
    </row>
    <row r="224" spans="1:8" s="30" customFormat="1">
      <c r="A224" s="323"/>
      <c r="B224" s="325"/>
      <c r="C224" s="325"/>
      <c r="D224" s="326"/>
      <c r="E224" s="326"/>
      <c r="F224" s="326"/>
      <c r="G224" s="326"/>
      <c r="H224" s="333"/>
    </row>
    <row r="225" spans="1:8">
      <c r="A225" s="323"/>
      <c r="B225" s="324"/>
      <c r="C225" s="325"/>
      <c r="D225" s="326"/>
      <c r="E225" s="337"/>
      <c r="F225" s="326"/>
      <c r="G225" s="326"/>
      <c r="H225" s="338"/>
    </row>
    <row r="226" spans="1:8">
      <c r="A226" s="323"/>
      <c r="B226" s="325"/>
      <c r="C226" s="325"/>
      <c r="D226" s="326"/>
      <c r="E226" s="326"/>
      <c r="F226" s="326"/>
      <c r="G226" s="326"/>
      <c r="H226" s="333"/>
    </row>
    <row r="227" spans="1:8">
      <c r="A227" s="323"/>
      <c r="B227" s="325"/>
      <c r="C227" s="325"/>
      <c r="D227" s="326"/>
      <c r="E227" s="326"/>
      <c r="F227" s="326"/>
      <c r="G227" s="326"/>
      <c r="H227" s="338"/>
    </row>
    <row r="228" spans="1:8">
      <c r="A228" s="323"/>
      <c r="B228" s="325"/>
      <c r="C228" s="325"/>
      <c r="D228" s="326"/>
      <c r="E228" s="326"/>
      <c r="F228" s="326"/>
      <c r="G228" s="326"/>
      <c r="H228" s="333"/>
    </row>
    <row r="229" spans="1:8">
      <c r="A229" s="322"/>
      <c r="B229" s="325"/>
      <c r="C229" s="325"/>
      <c r="D229" s="326"/>
      <c r="E229" s="337"/>
      <c r="F229" s="326"/>
      <c r="G229" s="326"/>
      <c r="H229" s="338"/>
    </row>
    <row r="230" spans="1:8" s="30" customFormat="1">
      <c r="A230" s="323"/>
      <c r="B230" s="325"/>
      <c r="C230" s="325"/>
      <c r="D230" s="326"/>
      <c r="E230" s="326"/>
      <c r="F230" s="326"/>
      <c r="G230" s="326"/>
      <c r="H230" s="333"/>
    </row>
    <row r="231" spans="1:8">
      <c r="A231" s="322"/>
      <c r="B231" s="325"/>
      <c r="C231" s="325"/>
      <c r="D231" s="326"/>
      <c r="E231" s="337"/>
      <c r="F231" s="326"/>
      <c r="G231" s="326"/>
      <c r="H231" s="338"/>
    </row>
    <row r="232" spans="1:8">
      <c r="A232" s="323"/>
      <c r="B232" s="325"/>
      <c r="C232" s="325"/>
      <c r="D232" s="326"/>
      <c r="E232" s="326"/>
      <c r="F232" s="326"/>
      <c r="G232" s="326"/>
      <c r="H232" s="333"/>
    </row>
    <row r="233" spans="1:8">
      <c r="A233" s="323"/>
      <c r="B233" s="324"/>
      <c r="C233" s="325"/>
      <c r="D233" s="326"/>
      <c r="E233" s="337"/>
      <c r="F233" s="326"/>
      <c r="G233" s="326"/>
      <c r="H233" s="338"/>
    </row>
    <row r="234" spans="1:8">
      <c r="A234" s="323"/>
      <c r="B234" s="325"/>
      <c r="C234" s="325"/>
      <c r="D234" s="326"/>
      <c r="E234" s="326"/>
      <c r="F234" s="326"/>
      <c r="G234" s="326"/>
      <c r="H234" s="333"/>
    </row>
    <row r="235" spans="1:8" ht="16.5" customHeight="1">
      <c r="A235" s="322"/>
      <c r="B235" s="324"/>
      <c r="C235" s="324"/>
      <c r="D235" s="326"/>
      <c r="E235" s="327"/>
      <c r="F235" s="328"/>
      <c r="G235" s="329"/>
      <c r="H235" s="338"/>
    </row>
    <row r="236" spans="1:8" ht="16.5" customHeight="1">
      <c r="A236" s="323"/>
      <c r="B236" s="325"/>
      <c r="C236" s="325"/>
      <c r="D236" s="326"/>
      <c r="E236" s="330"/>
      <c r="F236" s="331"/>
      <c r="G236" s="332"/>
      <c r="H236" s="333"/>
    </row>
    <row r="237" spans="1:8" ht="16.5" customHeight="1">
      <c r="A237" s="322"/>
      <c r="B237" s="324"/>
      <c r="C237" s="325"/>
      <c r="D237" s="326"/>
      <c r="E237" s="326"/>
      <c r="F237" s="326"/>
      <c r="G237" s="326"/>
      <c r="H237" s="338"/>
    </row>
    <row r="238" spans="1:8" ht="16.5" customHeight="1">
      <c r="A238" s="323"/>
      <c r="B238" s="325"/>
      <c r="C238" s="325"/>
      <c r="D238" s="326"/>
      <c r="E238" s="326"/>
      <c r="F238" s="326"/>
      <c r="G238" s="326"/>
      <c r="H238" s="333"/>
    </row>
    <row r="239" spans="1:8" ht="16.5" customHeight="1">
      <c r="A239" s="336"/>
      <c r="B239" s="324"/>
      <c r="C239" s="324"/>
      <c r="D239" s="326"/>
      <c r="E239" s="327"/>
      <c r="F239" s="328"/>
      <c r="G239" s="329"/>
      <c r="H239" s="350"/>
    </row>
    <row r="240" spans="1:8" ht="16.5" customHeight="1">
      <c r="A240" s="323"/>
      <c r="B240" s="325"/>
      <c r="C240" s="325"/>
      <c r="D240" s="326"/>
      <c r="E240" s="330"/>
      <c r="F240" s="331"/>
      <c r="G240" s="332"/>
      <c r="H240" s="351"/>
    </row>
    <row r="241" spans="1:8" ht="16.5" customHeight="1">
      <c r="A241" s="322"/>
      <c r="B241" s="324"/>
      <c r="C241" s="325"/>
      <c r="D241" s="326"/>
      <c r="E241" s="337"/>
      <c r="F241" s="326"/>
      <c r="G241" s="326"/>
      <c r="H241" s="338"/>
    </row>
    <row r="242" spans="1:8" ht="16.5" customHeight="1">
      <c r="A242" s="323"/>
      <c r="B242" s="325"/>
      <c r="C242" s="325"/>
      <c r="D242" s="326"/>
      <c r="E242" s="326"/>
      <c r="F242" s="326"/>
      <c r="G242" s="326"/>
      <c r="H242" s="333"/>
    </row>
    <row r="243" spans="1:8" ht="16.5" customHeight="1">
      <c r="A243" s="335"/>
      <c r="B243" s="324"/>
      <c r="C243" s="341"/>
      <c r="D243" s="343"/>
      <c r="E243" s="327"/>
      <c r="F243" s="345"/>
      <c r="G243" s="346"/>
      <c r="H243" s="333"/>
    </row>
    <row r="244" spans="1:8" ht="16.5" customHeight="1">
      <c r="A244" s="336"/>
      <c r="B244" s="325"/>
      <c r="C244" s="342"/>
      <c r="D244" s="344"/>
      <c r="E244" s="347"/>
      <c r="F244" s="348"/>
      <c r="G244" s="349"/>
      <c r="H244" s="333"/>
    </row>
    <row r="245" spans="1:8" ht="16.5" customHeight="1">
      <c r="A245" s="322"/>
      <c r="B245" s="324"/>
      <c r="C245" s="325"/>
      <c r="D245" s="326"/>
      <c r="E245" s="327"/>
      <c r="F245" s="328"/>
      <c r="G245" s="329"/>
      <c r="H245" s="333"/>
    </row>
    <row r="246" spans="1:8" ht="16.5" customHeight="1">
      <c r="A246" s="323"/>
      <c r="B246" s="325"/>
      <c r="C246" s="325"/>
      <c r="D246" s="326"/>
      <c r="E246" s="330"/>
      <c r="F246" s="331"/>
      <c r="G246" s="332"/>
      <c r="H246" s="333"/>
    </row>
    <row r="247" spans="1:8" ht="16.5" customHeight="1">
      <c r="A247" s="322"/>
      <c r="B247" s="324"/>
      <c r="C247" s="324"/>
      <c r="D247" s="326"/>
      <c r="E247" s="327"/>
      <c r="F247" s="328"/>
      <c r="G247" s="329"/>
      <c r="H247" s="333"/>
    </row>
    <row r="248" spans="1:8" ht="16.5" customHeight="1">
      <c r="A248" s="323"/>
      <c r="B248" s="325"/>
      <c r="C248" s="325"/>
      <c r="D248" s="326"/>
      <c r="E248" s="330"/>
      <c r="F248" s="331"/>
      <c r="G248" s="332"/>
      <c r="H248" s="333"/>
    </row>
    <row r="249" spans="1:8" ht="16.5" customHeight="1">
      <c r="A249" s="322"/>
      <c r="B249" s="324"/>
      <c r="C249" s="325"/>
      <c r="D249" s="326"/>
      <c r="E249" s="327"/>
      <c r="F249" s="328"/>
      <c r="G249" s="329"/>
      <c r="H249" s="333"/>
    </row>
    <row r="250" spans="1:8" ht="16.5" customHeight="1">
      <c r="A250" s="323"/>
      <c r="B250" s="325"/>
      <c r="C250" s="325"/>
      <c r="D250" s="326"/>
      <c r="E250" s="330"/>
      <c r="F250" s="331"/>
      <c r="G250" s="332"/>
      <c r="H250" s="333"/>
    </row>
    <row r="251" spans="1:8" ht="16.5" customHeight="1">
      <c r="A251" s="322"/>
      <c r="B251" s="324"/>
      <c r="C251" s="325"/>
      <c r="D251" s="326"/>
      <c r="E251" s="327"/>
      <c r="F251" s="328"/>
      <c r="G251" s="329"/>
      <c r="H251" s="333"/>
    </row>
    <row r="252" spans="1:8" ht="17.25" customHeight="1">
      <c r="A252" s="323"/>
      <c r="B252" s="325"/>
      <c r="C252" s="325"/>
      <c r="D252" s="326"/>
      <c r="E252" s="330"/>
      <c r="F252" s="331"/>
      <c r="G252" s="332"/>
      <c r="H252" s="333"/>
    </row>
    <row r="253" spans="1:8" ht="16.5" customHeight="1">
      <c r="A253" s="322"/>
      <c r="B253" s="324"/>
      <c r="C253" s="325"/>
      <c r="D253" s="326"/>
      <c r="E253" s="327"/>
      <c r="F253" s="328"/>
      <c r="G253" s="329"/>
      <c r="H253" s="333"/>
    </row>
    <row r="254" spans="1:8" ht="16.5" customHeight="1">
      <c r="A254" s="323"/>
      <c r="B254" s="325"/>
      <c r="C254" s="325"/>
      <c r="D254" s="326"/>
      <c r="E254" s="330"/>
      <c r="F254" s="331"/>
      <c r="G254" s="332"/>
      <c r="H254" s="333"/>
    </row>
    <row r="255" spans="1:8" ht="16.5" customHeight="1">
      <c r="A255" s="322"/>
      <c r="B255" s="324"/>
      <c r="C255" s="324"/>
      <c r="D255" s="326"/>
      <c r="E255" s="327"/>
      <c r="F255" s="328"/>
      <c r="G255" s="329"/>
      <c r="H255" s="333"/>
    </row>
    <row r="256" spans="1:8" ht="16.5" customHeight="1">
      <c r="A256" s="323"/>
      <c r="B256" s="325"/>
      <c r="C256" s="325"/>
      <c r="D256" s="326"/>
      <c r="E256" s="330"/>
      <c r="F256" s="331"/>
      <c r="G256" s="332"/>
      <c r="H256" s="333"/>
    </row>
    <row r="257" spans="1:11" ht="16.5" customHeight="1">
      <c r="A257" s="322"/>
      <c r="B257" s="324"/>
      <c r="C257" s="324"/>
      <c r="D257" s="326"/>
      <c r="E257" s="327"/>
      <c r="F257" s="328"/>
      <c r="G257" s="329"/>
      <c r="H257" s="333"/>
    </row>
    <row r="258" spans="1:11" ht="16.5" customHeight="1">
      <c r="A258" s="323"/>
      <c r="B258" s="325"/>
      <c r="C258" s="325"/>
      <c r="D258" s="326"/>
      <c r="E258" s="330"/>
      <c r="F258" s="331"/>
      <c r="G258" s="332"/>
      <c r="H258" s="333"/>
    </row>
    <row r="259" spans="1:11" ht="16.5" customHeight="1">
      <c r="A259" s="322"/>
      <c r="B259" s="324"/>
      <c r="C259" s="325"/>
      <c r="D259" s="326"/>
      <c r="E259" s="337"/>
      <c r="F259" s="326"/>
      <c r="G259" s="326"/>
      <c r="H259" s="333"/>
    </row>
    <row r="260" spans="1:11" ht="16.5" customHeight="1">
      <c r="A260" s="323"/>
      <c r="B260" s="325"/>
      <c r="C260" s="325"/>
      <c r="D260" s="326"/>
      <c r="E260" s="326"/>
      <c r="F260" s="326"/>
      <c r="G260" s="326"/>
      <c r="H260" s="333"/>
    </row>
    <row r="261" spans="1:11" ht="16.5" customHeight="1">
      <c r="A261" s="322"/>
      <c r="B261" s="324"/>
      <c r="C261" s="324"/>
      <c r="D261" s="326"/>
      <c r="E261" s="337"/>
      <c r="F261" s="326"/>
      <c r="G261" s="326"/>
      <c r="H261" s="333"/>
    </row>
    <row r="262" spans="1:11" ht="16.5" customHeight="1">
      <c r="A262" s="323"/>
      <c r="B262" s="325"/>
      <c r="C262" s="325"/>
      <c r="D262" s="326"/>
      <c r="E262" s="326"/>
      <c r="F262" s="326"/>
      <c r="G262" s="326"/>
      <c r="H262" s="333"/>
    </row>
    <row r="263" spans="1:11" ht="16.5" customHeight="1">
      <c r="A263" s="339"/>
      <c r="B263" s="324"/>
      <c r="C263" s="324"/>
      <c r="D263" s="326"/>
      <c r="E263" s="327"/>
      <c r="F263" s="328"/>
      <c r="G263" s="329"/>
      <c r="H263" s="333"/>
    </row>
    <row r="264" spans="1:11" ht="16.5" customHeight="1">
      <c r="A264" s="340"/>
      <c r="B264" s="325"/>
      <c r="C264" s="325"/>
      <c r="D264" s="326"/>
      <c r="E264" s="330"/>
      <c r="F264" s="331"/>
      <c r="G264" s="332"/>
      <c r="H264" s="333"/>
    </row>
    <row r="265" spans="1:11" ht="16.5" customHeight="1">
      <c r="A265" s="322"/>
      <c r="B265" s="324"/>
      <c r="C265" s="324"/>
      <c r="D265" s="326"/>
      <c r="E265" s="327"/>
      <c r="F265" s="328"/>
      <c r="G265" s="329"/>
      <c r="H265" s="333"/>
    </row>
    <row r="266" spans="1:11" ht="16.5" customHeight="1">
      <c r="A266" s="323"/>
      <c r="B266" s="325"/>
      <c r="C266" s="325"/>
      <c r="D266" s="326"/>
      <c r="E266" s="330"/>
      <c r="F266" s="331"/>
      <c r="G266" s="332"/>
      <c r="H266" s="333"/>
      <c r="K266" s="24"/>
    </row>
    <row r="267" spans="1:11" ht="16.5" customHeight="1">
      <c r="A267" s="322"/>
      <c r="B267" s="324"/>
      <c r="C267" s="324"/>
      <c r="D267" s="326"/>
      <c r="E267" s="327"/>
      <c r="F267" s="328"/>
      <c r="G267" s="329"/>
      <c r="H267" s="338"/>
    </row>
    <row r="268" spans="1:11" ht="16.5" customHeight="1">
      <c r="A268" s="323"/>
      <c r="B268" s="325"/>
      <c r="C268" s="325"/>
      <c r="D268" s="326"/>
      <c r="E268" s="330"/>
      <c r="F268" s="331"/>
      <c r="G268" s="332"/>
      <c r="H268" s="333"/>
      <c r="K268" s="24"/>
    </row>
    <row r="269" spans="1:11" ht="16.5" customHeight="1">
      <c r="A269" s="322"/>
      <c r="B269" s="324"/>
      <c r="C269" s="324"/>
      <c r="D269" s="326"/>
      <c r="E269" s="327"/>
      <c r="F269" s="328"/>
      <c r="G269" s="329"/>
      <c r="H269" s="333"/>
      <c r="K269" s="24"/>
    </row>
    <row r="270" spans="1:11" ht="16.5" customHeight="1">
      <c r="A270" s="323"/>
      <c r="B270" s="325"/>
      <c r="C270" s="325"/>
      <c r="D270" s="326"/>
      <c r="E270" s="330"/>
      <c r="F270" s="331"/>
      <c r="G270" s="332"/>
      <c r="H270" s="333"/>
      <c r="K270" s="24"/>
    </row>
    <row r="271" spans="1:11" ht="16.5" customHeight="1">
      <c r="A271" s="322"/>
      <c r="B271" s="324"/>
      <c r="C271" s="325"/>
      <c r="D271" s="326"/>
      <c r="E271" s="337"/>
      <c r="F271" s="326"/>
      <c r="G271" s="326"/>
      <c r="H271" s="333"/>
      <c r="K271" s="24"/>
    </row>
    <row r="272" spans="1:11" ht="16.5" customHeight="1">
      <c r="A272" s="323"/>
      <c r="B272" s="325"/>
      <c r="C272" s="325"/>
      <c r="D272" s="326"/>
      <c r="E272" s="326"/>
      <c r="F272" s="326"/>
      <c r="G272" s="326"/>
      <c r="H272" s="333"/>
      <c r="K272" s="24"/>
    </row>
    <row r="273" spans="1:11" ht="16.5" customHeight="1">
      <c r="A273" s="322"/>
      <c r="B273" s="324"/>
      <c r="C273" s="325"/>
      <c r="D273" s="326"/>
      <c r="E273" s="327"/>
      <c r="F273" s="328"/>
      <c r="G273" s="329"/>
      <c r="H273" s="338"/>
      <c r="I273" s="4"/>
    </row>
    <row r="274" spans="1:11" ht="16.5" customHeight="1">
      <c r="A274" s="323"/>
      <c r="B274" s="325"/>
      <c r="C274" s="325"/>
      <c r="D274" s="326"/>
      <c r="E274" s="330"/>
      <c r="F274" s="331"/>
      <c r="G274" s="332"/>
      <c r="H274" s="333"/>
    </row>
    <row r="275" spans="1:11" ht="16.5" customHeight="1">
      <c r="A275" s="322"/>
      <c r="B275" s="324"/>
      <c r="C275" s="325"/>
      <c r="D275" s="326"/>
      <c r="E275" s="327"/>
      <c r="F275" s="328"/>
      <c r="G275" s="329"/>
      <c r="H275" s="333"/>
    </row>
    <row r="276" spans="1:11" ht="16.5" customHeight="1">
      <c r="A276" s="323"/>
      <c r="B276" s="325"/>
      <c r="C276" s="325"/>
      <c r="D276" s="326"/>
      <c r="E276" s="330"/>
      <c r="F276" s="331"/>
      <c r="G276" s="332"/>
      <c r="H276" s="333"/>
    </row>
    <row r="277" spans="1:11" ht="16.5" customHeight="1">
      <c r="A277" s="322"/>
      <c r="B277" s="324"/>
      <c r="C277" s="325"/>
      <c r="D277" s="326"/>
      <c r="E277" s="327"/>
      <c r="F277" s="328"/>
      <c r="G277" s="329"/>
      <c r="H277" s="333"/>
    </row>
    <row r="278" spans="1:11" ht="16.5" customHeight="1">
      <c r="A278" s="323"/>
      <c r="B278" s="325"/>
      <c r="C278" s="325"/>
      <c r="D278" s="326"/>
      <c r="E278" s="330"/>
      <c r="F278" s="331"/>
      <c r="G278" s="332"/>
      <c r="H278" s="333"/>
    </row>
    <row r="279" spans="1:11" ht="16.5" customHeight="1">
      <c r="A279" s="322"/>
      <c r="B279" s="324"/>
      <c r="C279" s="325"/>
      <c r="D279" s="326"/>
      <c r="E279" s="327"/>
      <c r="F279" s="328"/>
      <c r="G279" s="329"/>
      <c r="H279" s="333"/>
    </row>
    <row r="280" spans="1:11" ht="16.5" customHeight="1">
      <c r="A280" s="323"/>
      <c r="B280" s="325"/>
      <c r="C280" s="325"/>
      <c r="D280" s="326"/>
      <c r="E280" s="330"/>
      <c r="F280" s="331"/>
      <c r="G280" s="332"/>
      <c r="H280" s="333"/>
    </row>
    <row r="281" spans="1:11" ht="16.5" customHeight="1">
      <c r="A281" s="322"/>
      <c r="B281" s="324"/>
      <c r="C281" s="325"/>
      <c r="D281" s="326"/>
      <c r="E281" s="327"/>
      <c r="F281" s="328"/>
      <c r="G281" s="329"/>
      <c r="H281" s="333"/>
    </row>
    <row r="282" spans="1:11" ht="16.5" customHeight="1">
      <c r="A282" s="323"/>
      <c r="B282" s="325"/>
      <c r="C282" s="325"/>
      <c r="D282" s="326"/>
      <c r="E282" s="330"/>
      <c r="F282" s="331"/>
      <c r="G282" s="332"/>
      <c r="H282" s="333"/>
    </row>
    <row r="283" spans="1:11" ht="16.5" customHeight="1">
      <c r="A283" s="322"/>
      <c r="B283" s="324"/>
      <c r="C283" s="326"/>
      <c r="D283" s="326"/>
      <c r="E283" s="327"/>
      <c r="F283" s="328"/>
      <c r="G283" s="329"/>
      <c r="H283" s="333"/>
    </row>
    <row r="284" spans="1:11" ht="16.5" customHeight="1">
      <c r="A284" s="323"/>
      <c r="B284" s="325"/>
      <c r="C284" s="326"/>
      <c r="D284" s="326"/>
      <c r="E284" s="330"/>
      <c r="F284" s="331"/>
      <c r="G284" s="332"/>
      <c r="H284" s="333"/>
    </row>
    <row r="285" spans="1:11" ht="16.5" customHeight="1">
      <c r="A285" s="322"/>
      <c r="B285" s="324"/>
      <c r="C285" s="325"/>
      <c r="D285" s="326"/>
      <c r="E285" s="337"/>
      <c r="F285" s="326"/>
      <c r="G285" s="326"/>
      <c r="H285" s="333"/>
      <c r="I285" s="3"/>
      <c r="K285" s="23"/>
    </row>
    <row r="286" spans="1:11" ht="16.5" customHeight="1">
      <c r="A286" s="323"/>
      <c r="B286" s="325"/>
      <c r="C286" s="325"/>
      <c r="D286" s="326"/>
      <c r="E286" s="326"/>
      <c r="F286" s="326"/>
      <c r="G286" s="326"/>
      <c r="H286" s="333"/>
    </row>
    <row r="287" spans="1:11" ht="16.5" customHeight="1">
      <c r="A287" s="322"/>
      <c r="B287" s="324"/>
      <c r="C287" s="325"/>
      <c r="D287" s="326"/>
      <c r="E287" s="327"/>
      <c r="F287" s="328"/>
      <c r="G287" s="329"/>
      <c r="H287" s="333"/>
    </row>
    <row r="288" spans="1:11" ht="16.5" customHeight="1">
      <c r="A288" s="323"/>
      <c r="B288" s="325"/>
      <c r="C288" s="325"/>
      <c r="D288" s="326"/>
      <c r="E288" s="330"/>
      <c r="F288" s="331"/>
      <c r="G288" s="332"/>
      <c r="H288" s="333"/>
    </row>
    <row r="289" spans="1:8" ht="16.5" customHeight="1">
      <c r="A289" s="322"/>
      <c r="B289" s="324"/>
      <c r="C289" s="324"/>
      <c r="D289" s="326"/>
      <c r="E289" s="327"/>
      <c r="F289" s="328"/>
      <c r="G289" s="329"/>
      <c r="H289" s="333"/>
    </row>
    <row r="290" spans="1:8" ht="16.5" customHeight="1">
      <c r="A290" s="323"/>
      <c r="B290" s="325"/>
      <c r="C290" s="325"/>
      <c r="D290" s="326"/>
      <c r="E290" s="330"/>
      <c r="F290" s="331"/>
      <c r="G290" s="332"/>
      <c r="H290" s="333"/>
    </row>
    <row r="291" spans="1:8" ht="16.5" customHeight="1">
      <c r="A291" s="335"/>
      <c r="B291" s="324"/>
      <c r="C291" s="325"/>
      <c r="D291" s="326"/>
      <c r="E291" s="327"/>
      <c r="F291" s="328"/>
      <c r="G291" s="329"/>
      <c r="H291" s="333"/>
    </row>
    <row r="292" spans="1:8" ht="16.5" customHeight="1">
      <c r="A292" s="336"/>
      <c r="B292" s="325"/>
      <c r="C292" s="325"/>
      <c r="D292" s="326"/>
      <c r="E292" s="330"/>
      <c r="F292" s="331"/>
      <c r="G292" s="332"/>
      <c r="H292" s="333"/>
    </row>
    <row r="293" spans="1:8" ht="16.5" customHeight="1">
      <c r="A293" s="334"/>
      <c r="B293" s="324"/>
      <c r="C293" s="324"/>
      <c r="D293" s="326"/>
      <c r="E293" s="327"/>
      <c r="F293" s="328"/>
      <c r="G293" s="329"/>
      <c r="H293" s="333"/>
    </row>
    <row r="294" spans="1:8" ht="16.5" customHeight="1">
      <c r="A294" s="323"/>
      <c r="B294" s="325"/>
      <c r="C294" s="325"/>
      <c r="D294" s="326"/>
      <c r="E294" s="330"/>
      <c r="F294" s="331"/>
      <c r="G294" s="332"/>
      <c r="H294" s="333"/>
    </row>
    <row r="295" spans="1:8" ht="16.5" customHeight="1">
      <c r="A295" s="322"/>
      <c r="B295" s="324"/>
      <c r="C295" s="325"/>
      <c r="D295" s="326"/>
      <c r="E295" s="327"/>
      <c r="F295" s="328"/>
      <c r="G295" s="329"/>
      <c r="H295" s="333"/>
    </row>
    <row r="296" spans="1:8" ht="16.5" customHeight="1">
      <c r="A296" s="323"/>
      <c r="B296" s="325"/>
      <c r="C296" s="325"/>
      <c r="D296" s="326"/>
      <c r="E296" s="330"/>
      <c r="F296" s="331"/>
      <c r="G296" s="332"/>
      <c r="H296" s="333"/>
    </row>
    <row r="297" spans="1:8" ht="16.5" customHeight="1">
      <c r="A297" s="313"/>
      <c r="B297" s="314"/>
      <c r="C297" s="307"/>
      <c r="D297" s="309"/>
      <c r="E297" s="315"/>
      <c r="F297" s="316"/>
      <c r="G297" s="317"/>
      <c r="H297" s="321"/>
    </row>
    <row r="298" spans="1:8" ht="16.5" customHeight="1">
      <c r="A298" s="305"/>
      <c r="B298" s="307"/>
      <c r="C298" s="307"/>
      <c r="D298" s="309"/>
      <c r="E298" s="318"/>
      <c r="F298" s="319"/>
      <c r="G298" s="320"/>
      <c r="H298" s="311"/>
    </row>
    <row r="299" spans="1:8" ht="16.5" customHeight="1">
      <c r="A299" s="313"/>
      <c r="B299" s="314"/>
      <c r="C299" s="307"/>
      <c r="D299" s="309"/>
      <c r="E299" s="315"/>
      <c r="F299" s="316"/>
      <c r="G299" s="317"/>
      <c r="H299" s="321"/>
    </row>
    <row r="300" spans="1:8" ht="16.5" customHeight="1">
      <c r="A300" s="305"/>
      <c r="B300" s="307"/>
      <c r="C300" s="307"/>
      <c r="D300" s="309"/>
      <c r="E300" s="318"/>
      <c r="F300" s="319"/>
      <c r="G300" s="320"/>
      <c r="H300" s="311"/>
    </row>
    <row r="301" spans="1:8">
      <c r="A301" s="305"/>
      <c r="B301" s="307"/>
      <c r="C301" s="307"/>
      <c r="D301" s="309"/>
      <c r="E301" s="309"/>
      <c r="F301" s="309"/>
      <c r="G301" s="309"/>
      <c r="H301" s="311"/>
    </row>
    <row r="302" spans="1:8">
      <c r="A302" s="305"/>
      <c r="B302" s="307"/>
      <c r="C302" s="307"/>
      <c r="D302" s="309"/>
      <c r="E302" s="309"/>
      <c r="F302" s="309"/>
      <c r="G302" s="309"/>
      <c r="H302" s="311"/>
    </row>
    <row r="303" spans="1:8" ht="16.5" customHeight="1">
      <c r="A303" s="313"/>
      <c r="B303" s="314"/>
      <c r="C303" s="307"/>
      <c r="D303" s="309"/>
      <c r="E303" s="315"/>
      <c r="F303" s="316"/>
      <c r="G303" s="317"/>
      <c r="H303" s="311"/>
    </row>
    <row r="304" spans="1:8" ht="16.5" customHeight="1">
      <c r="A304" s="305"/>
      <c r="B304" s="307"/>
      <c r="C304" s="307"/>
      <c r="D304" s="309"/>
      <c r="E304" s="318"/>
      <c r="F304" s="319"/>
      <c r="G304" s="320"/>
      <c r="H304" s="311"/>
    </row>
    <row r="305" spans="1:8" ht="16.5" customHeight="1">
      <c r="A305" s="313"/>
      <c r="B305" s="314"/>
      <c r="C305" s="307"/>
      <c r="D305" s="309"/>
      <c r="E305" s="315"/>
      <c r="F305" s="316"/>
      <c r="G305" s="317"/>
      <c r="H305" s="311"/>
    </row>
    <row r="306" spans="1:8" ht="16.5" customHeight="1">
      <c r="A306" s="305"/>
      <c r="B306" s="307"/>
      <c r="C306" s="307"/>
      <c r="D306" s="309"/>
      <c r="E306" s="318"/>
      <c r="F306" s="319"/>
      <c r="G306" s="320"/>
      <c r="H306" s="311"/>
    </row>
    <row r="307" spans="1:8" ht="16.5" customHeight="1">
      <c r="A307" s="313"/>
      <c r="B307" s="314"/>
      <c r="C307" s="307"/>
      <c r="D307" s="309"/>
      <c r="E307" s="315"/>
      <c r="F307" s="316"/>
      <c r="G307" s="317"/>
      <c r="H307" s="321"/>
    </row>
    <row r="308" spans="1:8" ht="16.5" customHeight="1">
      <c r="A308" s="305"/>
      <c r="B308" s="307"/>
      <c r="C308" s="307"/>
      <c r="D308" s="309"/>
      <c r="E308" s="318"/>
      <c r="F308" s="319"/>
      <c r="G308" s="320"/>
      <c r="H308" s="311"/>
    </row>
    <row r="309" spans="1:8" ht="16.5" customHeight="1">
      <c r="A309" s="313"/>
      <c r="B309" s="314"/>
      <c r="C309" s="307"/>
      <c r="D309" s="309"/>
      <c r="E309" s="315"/>
      <c r="F309" s="316"/>
      <c r="G309" s="317"/>
      <c r="H309" s="321"/>
    </row>
    <row r="310" spans="1:8" ht="16.5" customHeight="1">
      <c r="A310" s="305"/>
      <c r="B310" s="307"/>
      <c r="C310" s="307"/>
      <c r="D310" s="309"/>
      <c r="E310" s="318"/>
      <c r="F310" s="319"/>
      <c r="G310" s="320"/>
      <c r="H310" s="311"/>
    </row>
    <row r="311" spans="1:8">
      <c r="A311" s="305"/>
      <c r="B311" s="307"/>
      <c r="C311" s="307"/>
      <c r="D311" s="309"/>
      <c r="E311" s="309"/>
      <c r="F311" s="309"/>
      <c r="G311" s="309"/>
      <c r="H311" s="311"/>
    </row>
    <row r="312" spans="1:8">
      <c r="A312" s="305"/>
      <c r="B312" s="307"/>
      <c r="C312" s="307"/>
      <c r="D312" s="309"/>
      <c r="E312" s="309"/>
      <c r="F312" s="309"/>
      <c r="G312" s="309"/>
      <c r="H312" s="311"/>
    </row>
    <row r="313" spans="1:8" ht="16.5" customHeight="1">
      <c r="A313" s="313"/>
      <c r="B313" s="314"/>
      <c r="C313" s="307"/>
      <c r="D313" s="309"/>
      <c r="E313" s="315"/>
      <c r="F313" s="316"/>
      <c r="G313" s="317"/>
      <c r="H313" s="311"/>
    </row>
    <row r="314" spans="1:8" ht="16.5" customHeight="1">
      <c r="A314" s="305"/>
      <c r="B314" s="307"/>
      <c r="C314" s="307"/>
      <c r="D314" s="309"/>
      <c r="E314" s="318"/>
      <c r="F314" s="319"/>
      <c r="G314" s="320"/>
      <c r="H314" s="311"/>
    </row>
    <row r="315" spans="1:8" ht="16.5" customHeight="1">
      <c r="A315" s="313"/>
      <c r="B315" s="314"/>
      <c r="C315" s="307"/>
      <c r="D315" s="309"/>
      <c r="E315" s="315"/>
      <c r="F315" s="316"/>
      <c r="G315" s="317"/>
      <c r="H315" s="321"/>
    </row>
    <row r="316" spans="1:8" ht="16.5" customHeight="1">
      <c r="A316" s="305"/>
      <c r="B316" s="307"/>
      <c r="C316" s="307"/>
      <c r="D316" s="309"/>
      <c r="E316" s="318"/>
      <c r="F316" s="319"/>
      <c r="G316" s="320"/>
      <c r="H316" s="311"/>
    </row>
    <row r="317" spans="1:8" ht="16.5" customHeight="1">
      <c r="A317" s="313"/>
      <c r="B317" s="314"/>
      <c r="C317" s="307"/>
      <c r="D317" s="309"/>
      <c r="E317" s="315"/>
      <c r="F317" s="316"/>
      <c r="G317" s="317"/>
      <c r="H317" s="321"/>
    </row>
    <row r="318" spans="1:8" ht="16.5" customHeight="1">
      <c r="A318" s="305"/>
      <c r="B318" s="307"/>
      <c r="C318" s="307"/>
      <c r="D318" s="309"/>
      <c r="E318" s="318"/>
      <c r="F318" s="319"/>
      <c r="G318" s="320"/>
      <c r="H318" s="311"/>
    </row>
    <row r="319" spans="1:8">
      <c r="A319" s="305"/>
      <c r="B319" s="307"/>
      <c r="C319" s="307"/>
      <c r="D319" s="309"/>
      <c r="E319" s="309"/>
      <c r="F319" s="309"/>
      <c r="G319" s="309"/>
      <c r="H319" s="311"/>
    </row>
    <row r="320" spans="1:8">
      <c r="A320" s="305"/>
      <c r="B320" s="307"/>
      <c r="C320" s="307"/>
      <c r="D320" s="309"/>
      <c r="E320" s="309"/>
      <c r="F320" s="309"/>
      <c r="G320" s="309"/>
      <c r="H320" s="311"/>
    </row>
    <row r="321" spans="1:8">
      <c r="A321" s="305"/>
      <c r="B321" s="307"/>
      <c r="C321" s="307"/>
      <c r="D321" s="309"/>
      <c r="E321" s="309"/>
      <c r="F321" s="309"/>
      <c r="G321" s="309"/>
      <c r="H321" s="311"/>
    </row>
    <row r="322" spans="1:8" ht="17.25" thickBot="1">
      <c r="A322" s="306"/>
      <c r="B322" s="308"/>
      <c r="C322" s="308"/>
      <c r="D322" s="310"/>
      <c r="E322" s="310"/>
      <c r="F322" s="310"/>
      <c r="G322" s="310"/>
      <c r="H322" s="312"/>
    </row>
  </sheetData>
  <mergeCells count="955">
    <mergeCell ref="A119:H120"/>
    <mergeCell ref="A53:H53"/>
    <mergeCell ref="A74:H74"/>
    <mergeCell ref="A101:H10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  <mergeCell ref="A4:A5"/>
    <mergeCell ref="B4:B5"/>
    <mergeCell ref="C4:C5"/>
    <mergeCell ref="D4:D5"/>
    <mergeCell ref="E4:G5"/>
    <mergeCell ref="H4:H5"/>
    <mergeCell ref="M1:M2"/>
    <mergeCell ref="N1:N2"/>
    <mergeCell ref="O1:O2"/>
    <mergeCell ref="A3:H3"/>
    <mergeCell ref="A8:A9"/>
    <mergeCell ref="B8:B9"/>
    <mergeCell ref="C8:C9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A12:A13"/>
    <mergeCell ref="B12:B13"/>
    <mergeCell ref="C12:C13"/>
    <mergeCell ref="D12:D13"/>
    <mergeCell ref="E12:G13"/>
    <mergeCell ref="H12:H13"/>
    <mergeCell ref="A10:A11"/>
    <mergeCell ref="B10:B11"/>
    <mergeCell ref="C10:C11"/>
    <mergeCell ref="D10:D11"/>
    <mergeCell ref="E10:G11"/>
    <mergeCell ref="H10:H11"/>
    <mergeCell ref="A17:A18"/>
    <mergeCell ref="B17:B18"/>
    <mergeCell ref="C17:C18"/>
    <mergeCell ref="D17:D18"/>
    <mergeCell ref="E17:G18"/>
    <mergeCell ref="H17:H18"/>
    <mergeCell ref="A14:A15"/>
    <mergeCell ref="B14:B15"/>
    <mergeCell ref="C14:C15"/>
    <mergeCell ref="D14:D15"/>
    <mergeCell ref="E14:G15"/>
    <mergeCell ref="H14:H15"/>
    <mergeCell ref="A16:H16"/>
    <mergeCell ref="A21:A22"/>
    <mergeCell ref="B21:B22"/>
    <mergeCell ref="C21:C22"/>
    <mergeCell ref="D21:D22"/>
    <mergeCell ref="E21:G22"/>
    <mergeCell ref="H21:H22"/>
    <mergeCell ref="A19:A20"/>
    <mergeCell ref="B19:B20"/>
    <mergeCell ref="C19:C20"/>
    <mergeCell ref="D19:D20"/>
    <mergeCell ref="E19:G20"/>
    <mergeCell ref="H19:H20"/>
    <mergeCell ref="A25:A26"/>
    <mergeCell ref="B25:B26"/>
    <mergeCell ref="C25:C26"/>
    <mergeCell ref="D25:D26"/>
    <mergeCell ref="E25:G26"/>
    <mergeCell ref="H25:H26"/>
    <mergeCell ref="A23:A24"/>
    <mergeCell ref="B23:B24"/>
    <mergeCell ref="C23:C24"/>
    <mergeCell ref="D23:D24"/>
    <mergeCell ref="E23:G24"/>
    <mergeCell ref="H23:H24"/>
    <mergeCell ref="A29:A30"/>
    <mergeCell ref="B29:B30"/>
    <mergeCell ref="C29:C30"/>
    <mergeCell ref="D29:D30"/>
    <mergeCell ref="E29:G30"/>
    <mergeCell ref="H29:H30"/>
    <mergeCell ref="A27:A28"/>
    <mergeCell ref="B27:B28"/>
    <mergeCell ref="C27:C28"/>
    <mergeCell ref="D27:D28"/>
    <mergeCell ref="E27:G28"/>
    <mergeCell ref="H27:H28"/>
    <mergeCell ref="A33:A34"/>
    <mergeCell ref="B33:B34"/>
    <mergeCell ref="C33:C34"/>
    <mergeCell ref="D33:D34"/>
    <mergeCell ref="E33:G34"/>
    <mergeCell ref="H33:H34"/>
    <mergeCell ref="A31:A32"/>
    <mergeCell ref="B31:B32"/>
    <mergeCell ref="C31:C32"/>
    <mergeCell ref="D31:D32"/>
    <mergeCell ref="E31:G32"/>
    <mergeCell ref="H31:H32"/>
    <mergeCell ref="A35:A36"/>
    <mergeCell ref="B35:B36"/>
    <mergeCell ref="C35:C36"/>
    <mergeCell ref="D35:D36"/>
    <mergeCell ref="E35:G36"/>
    <mergeCell ref="H35:H36"/>
    <mergeCell ref="A39:A40"/>
    <mergeCell ref="B39:B40"/>
    <mergeCell ref="C39:C40"/>
    <mergeCell ref="D39:D40"/>
    <mergeCell ref="E39:G40"/>
    <mergeCell ref="H39:H40"/>
    <mergeCell ref="A37:A38"/>
    <mergeCell ref="B37:B38"/>
    <mergeCell ref="C37:C38"/>
    <mergeCell ref="D37:D38"/>
    <mergeCell ref="E37:G38"/>
    <mergeCell ref="H37:H38"/>
    <mergeCell ref="A43:A44"/>
    <mergeCell ref="B43:B44"/>
    <mergeCell ref="C43:C44"/>
    <mergeCell ref="D43:D44"/>
    <mergeCell ref="E43:G44"/>
    <mergeCell ref="H43:H44"/>
    <mergeCell ref="A41:A42"/>
    <mergeCell ref="B41:B42"/>
    <mergeCell ref="C41:C42"/>
    <mergeCell ref="D41:D42"/>
    <mergeCell ref="E41:G42"/>
    <mergeCell ref="H41:H42"/>
    <mergeCell ref="A47:A48"/>
    <mergeCell ref="B47:B48"/>
    <mergeCell ref="C47:C48"/>
    <mergeCell ref="D47:D48"/>
    <mergeCell ref="E47:G48"/>
    <mergeCell ref="H47:H48"/>
    <mergeCell ref="A45:A46"/>
    <mergeCell ref="B45:B46"/>
    <mergeCell ref="C45:C46"/>
    <mergeCell ref="D45:D46"/>
    <mergeCell ref="E45:G46"/>
    <mergeCell ref="H45:H46"/>
    <mergeCell ref="A51:A52"/>
    <mergeCell ref="B51:B52"/>
    <mergeCell ref="C51:C52"/>
    <mergeCell ref="D51:D52"/>
    <mergeCell ref="E51:G52"/>
    <mergeCell ref="H51:H52"/>
    <mergeCell ref="A49:A50"/>
    <mergeCell ref="B49:B50"/>
    <mergeCell ref="C49:C50"/>
    <mergeCell ref="D49:D50"/>
    <mergeCell ref="E49:G50"/>
    <mergeCell ref="H49:H50"/>
    <mergeCell ref="A56:A57"/>
    <mergeCell ref="B56:B57"/>
    <mergeCell ref="C56:C57"/>
    <mergeCell ref="D56:D57"/>
    <mergeCell ref="E56:G57"/>
    <mergeCell ref="H56:H57"/>
    <mergeCell ref="A54:A55"/>
    <mergeCell ref="B54:B55"/>
    <mergeCell ref="C54:C55"/>
    <mergeCell ref="D54:D55"/>
    <mergeCell ref="E54:G55"/>
    <mergeCell ref="H54:H55"/>
    <mergeCell ref="A60:A61"/>
    <mergeCell ref="B60:B61"/>
    <mergeCell ref="C60:C61"/>
    <mergeCell ref="D60:D61"/>
    <mergeCell ref="E60:G61"/>
    <mergeCell ref="H60:H61"/>
    <mergeCell ref="A58:A59"/>
    <mergeCell ref="B58:B59"/>
    <mergeCell ref="C58:C59"/>
    <mergeCell ref="D58:D59"/>
    <mergeCell ref="E58:G59"/>
    <mergeCell ref="H58:H59"/>
    <mergeCell ref="A64:A65"/>
    <mergeCell ref="B64:B65"/>
    <mergeCell ref="C64:C65"/>
    <mergeCell ref="D64:D65"/>
    <mergeCell ref="E64:G65"/>
    <mergeCell ref="H64:H65"/>
    <mergeCell ref="A62:A63"/>
    <mergeCell ref="B62:B63"/>
    <mergeCell ref="C62:C63"/>
    <mergeCell ref="D62:D63"/>
    <mergeCell ref="E62:G63"/>
    <mergeCell ref="H62:H63"/>
    <mergeCell ref="A68:A69"/>
    <mergeCell ref="B68:B69"/>
    <mergeCell ref="C68:C69"/>
    <mergeCell ref="D68:D69"/>
    <mergeCell ref="E68:G69"/>
    <mergeCell ref="H68:H69"/>
    <mergeCell ref="A66:A67"/>
    <mergeCell ref="B66:B67"/>
    <mergeCell ref="C66:C67"/>
    <mergeCell ref="D66:D67"/>
    <mergeCell ref="E66:G67"/>
    <mergeCell ref="H66:H67"/>
    <mergeCell ref="A72:A73"/>
    <mergeCell ref="B72:B73"/>
    <mergeCell ref="C72:C73"/>
    <mergeCell ref="D72:D73"/>
    <mergeCell ref="E72:G73"/>
    <mergeCell ref="H72:H73"/>
    <mergeCell ref="A70:A71"/>
    <mergeCell ref="B70:B71"/>
    <mergeCell ref="C70:C71"/>
    <mergeCell ref="D70:D71"/>
    <mergeCell ref="E70:G71"/>
    <mergeCell ref="H70:H71"/>
    <mergeCell ref="A77:A78"/>
    <mergeCell ref="B77:B78"/>
    <mergeCell ref="C77:C78"/>
    <mergeCell ref="D77:D78"/>
    <mergeCell ref="E77:G78"/>
    <mergeCell ref="H77:H78"/>
    <mergeCell ref="A75:A76"/>
    <mergeCell ref="B75:B76"/>
    <mergeCell ref="C75:C76"/>
    <mergeCell ref="D75:D76"/>
    <mergeCell ref="E75:G76"/>
    <mergeCell ref="H75:H76"/>
    <mergeCell ref="A81:A82"/>
    <mergeCell ref="B81:B82"/>
    <mergeCell ref="C81:C82"/>
    <mergeCell ref="D81:D82"/>
    <mergeCell ref="E81:G82"/>
    <mergeCell ref="H81:H82"/>
    <mergeCell ref="A79:A80"/>
    <mergeCell ref="B79:B80"/>
    <mergeCell ref="C79:C80"/>
    <mergeCell ref="D79:D80"/>
    <mergeCell ref="E79:G80"/>
    <mergeCell ref="H79:H80"/>
    <mergeCell ref="A85:A86"/>
    <mergeCell ref="B85:B86"/>
    <mergeCell ref="C85:C86"/>
    <mergeCell ref="D85:D86"/>
    <mergeCell ref="E85:G86"/>
    <mergeCell ref="H85:H86"/>
    <mergeCell ref="A83:A84"/>
    <mergeCell ref="B83:B84"/>
    <mergeCell ref="C83:C84"/>
    <mergeCell ref="D83:D84"/>
    <mergeCell ref="E83:G84"/>
    <mergeCell ref="H83:H84"/>
    <mergeCell ref="A89:A90"/>
    <mergeCell ref="B89:B90"/>
    <mergeCell ref="C89:C90"/>
    <mergeCell ref="D89:D90"/>
    <mergeCell ref="E89:G90"/>
    <mergeCell ref="H89:H90"/>
    <mergeCell ref="A87:A88"/>
    <mergeCell ref="B87:B88"/>
    <mergeCell ref="C87:C88"/>
    <mergeCell ref="D87:D88"/>
    <mergeCell ref="E87:G88"/>
    <mergeCell ref="H87:H88"/>
    <mergeCell ref="A93:A94"/>
    <mergeCell ref="B93:B94"/>
    <mergeCell ref="C93:C94"/>
    <mergeCell ref="D93:D94"/>
    <mergeCell ref="E93:G94"/>
    <mergeCell ref="H93:H94"/>
    <mergeCell ref="A91:A92"/>
    <mergeCell ref="B91:B92"/>
    <mergeCell ref="C91:C92"/>
    <mergeCell ref="D91:D92"/>
    <mergeCell ref="E91:G92"/>
    <mergeCell ref="H91:H92"/>
    <mergeCell ref="A97:A98"/>
    <mergeCell ref="B97:B98"/>
    <mergeCell ref="C97:C98"/>
    <mergeCell ref="D97:D98"/>
    <mergeCell ref="E97:G98"/>
    <mergeCell ref="H97:H98"/>
    <mergeCell ref="A95:A96"/>
    <mergeCell ref="B95:B96"/>
    <mergeCell ref="C95:C96"/>
    <mergeCell ref="D95:D96"/>
    <mergeCell ref="E95:G96"/>
    <mergeCell ref="H95:H96"/>
    <mergeCell ref="A99:A100"/>
    <mergeCell ref="B99:B100"/>
    <mergeCell ref="C99:C100"/>
    <mergeCell ref="D99:D100"/>
    <mergeCell ref="E99:G100"/>
    <mergeCell ref="H99:H100"/>
    <mergeCell ref="A105:A106"/>
    <mergeCell ref="B105:B106"/>
    <mergeCell ref="C105:C106"/>
    <mergeCell ref="D105:D106"/>
    <mergeCell ref="E105:G106"/>
    <mergeCell ref="H105:H106"/>
    <mergeCell ref="A103:A104"/>
    <mergeCell ref="B103:B104"/>
    <mergeCell ref="C103:C104"/>
    <mergeCell ref="D103:D104"/>
    <mergeCell ref="E103:G104"/>
    <mergeCell ref="H103:H104"/>
    <mergeCell ref="A109:A110"/>
    <mergeCell ref="B109:B110"/>
    <mergeCell ref="C109:C110"/>
    <mergeCell ref="D109:D110"/>
    <mergeCell ref="E109:G110"/>
    <mergeCell ref="H109:H110"/>
    <mergeCell ref="A107:A108"/>
    <mergeCell ref="B107:B108"/>
    <mergeCell ref="C107:C108"/>
    <mergeCell ref="D107:D108"/>
    <mergeCell ref="E107:G108"/>
    <mergeCell ref="H107:H108"/>
    <mergeCell ref="A113:A114"/>
    <mergeCell ref="B113:B114"/>
    <mergeCell ref="C113:C114"/>
    <mergeCell ref="D113:D114"/>
    <mergeCell ref="E113:G114"/>
    <mergeCell ref="H113:H114"/>
    <mergeCell ref="A111:A112"/>
    <mergeCell ref="B111:B112"/>
    <mergeCell ref="C111:C112"/>
    <mergeCell ref="D111:D112"/>
    <mergeCell ref="E111:G112"/>
    <mergeCell ref="H111:H112"/>
    <mergeCell ref="A117:A118"/>
    <mergeCell ref="B117:B118"/>
    <mergeCell ref="C117:C118"/>
    <mergeCell ref="D117:D118"/>
    <mergeCell ref="E117:G118"/>
    <mergeCell ref="H117:H118"/>
    <mergeCell ref="A115:A116"/>
    <mergeCell ref="B115:B116"/>
    <mergeCell ref="C115:C116"/>
    <mergeCell ref="D115:D116"/>
    <mergeCell ref="E115:G116"/>
    <mergeCell ref="H115:H116"/>
    <mergeCell ref="A121:A122"/>
    <mergeCell ref="B121:B122"/>
    <mergeCell ref="C121:C122"/>
    <mergeCell ref="D121:D122"/>
    <mergeCell ref="E121:G122"/>
    <mergeCell ref="H121:H122"/>
    <mergeCell ref="A125:A126"/>
    <mergeCell ref="B125:B126"/>
    <mergeCell ref="C125:C126"/>
    <mergeCell ref="D125:D126"/>
    <mergeCell ref="E125:G126"/>
    <mergeCell ref="H125:H126"/>
    <mergeCell ref="A123:A124"/>
    <mergeCell ref="B123:B124"/>
    <mergeCell ref="C123:C124"/>
    <mergeCell ref="D123:D124"/>
    <mergeCell ref="E123:G124"/>
    <mergeCell ref="H123:H124"/>
    <mergeCell ref="A129:A130"/>
    <mergeCell ref="B129:B130"/>
    <mergeCell ref="C129:C130"/>
    <mergeCell ref="D129:D130"/>
    <mergeCell ref="E129:G130"/>
    <mergeCell ref="H129:H130"/>
    <mergeCell ref="A127:A128"/>
    <mergeCell ref="B127:B128"/>
    <mergeCell ref="C127:C128"/>
    <mergeCell ref="D127:D128"/>
    <mergeCell ref="E127:G128"/>
    <mergeCell ref="H127:H128"/>
    <mergeCell ref="A133:A134"/>
    <mergeCell ref="B133:B134"/>
    <mergeCell ref="C133:C134"/>
    <mergeCell ref="D133:D134"/>
    <mergeCell ref="E133:G134"/>
    <mergeCell ref="H133:H134"/>
    <mergeCell ref="A131:A132"/>
    <mergeCell ref="B131:B132"/>
    <mergeCell ref="C131:C132"/>
    <mergeCell ref="D131:D132"/>
    <mergeCell ref="E131:G132"/>
    <mergeCell ref="H131:H132"/>
    <mergeCell ref="A137:A138"/>
    <mergeCell ref="B137:B138"/>
    <mergeCell ref="C137:C138"/>
    <mergeCell ref="D137:D138"/>
    <mergeCell ref="E137:G138"/>
    <mergeCell ref="H137:H138"/>
    <mergeCell ref="A135:A136"/>
    <mergeCell ref="B135:B136"/>
    <mergeCell ref="C135:C136"/>
    <mergeCell ref="D135:D136"/>
    <mergeCell ref="E135:G136"/>
    <mergeCell ref="H135:H136"/>
    <mergeCell ref="A141:A142"/>
    <mergeCell ref="B141:B142"/>
    <mergeCell ref="C141:C142"/>
    <mergeCell ref="D141:D142"/>
    <mergeCell ref="E141:G142"/>
    <mergeCell ref="H141:H142"/>
    <mergeCell ref="A139:A140"/>
    <mergeCell ref="B139:B140"/>
    <mergeCell ref="C139:C140"/>
    <mergeCell ref="D139:D140"/>
    <mergeCell ref="E139:G140"/>
    <mergeCell ref="H139:H140"/>
    <mergeCell ref="A145:A146"/>
    <mergeCell ref="B145:B146"/>
    <mergeCell ref="C145:C146"/>
    <mergeCell ref="D145:D146"/>
    <mergeCell ref="E145:G146"/>
    <mergeCell ref="H145:H146"/>
    <mergeCell ref="A143:A144"/>
    <mergeCell ref="B143:B144"/>
    <mergeCell ref="C143:C144"/>
    <mergeCell ref="D143:D144"/>
    <mergeCell ref="E143:G144"/>
    <mergeCell ref="H143:H144"/>
    <mergeCell ref="A149:A150"/>
    <mergeCell ref="B149:B150"/>
    <mergeCell ref="C149:C150"/>
    <mergeCell ref="D149:D150"/>
    <mergeCell ref="E149:G150"/>
    <mergeCell ref="H149:H150"/>
    <mergeCell ref="A147:A148"/>
    <mergeCell ref="B147:B148"/>
    <mergeCell ref="C147:C148"/>
    <mergeCell ref="D147:D148"/>
    <mergeCell ref="E147:G148"/>
    <mergeCell ref="H147:H148"/>
    <mergeCell ref="A153:A154"/>
    <mergeCell ref="B153:B154"/>
    <mergeCell ref="C153:C154"/>
    <mergeCell ref="D153:D154"/>
    <mergeCell ref="E153:G154"/>
    <mergeCell ref="H153:H154"/>
    <mergeCell ref="A151:A152"/>
    <mergeCell ref="B151:B152"/>
    <mergeCell ref="C151:C152"/>
    <mergeCell ref="D151:D152"/>
    <mergeCell ref="E151:G152"/>
    <mergeCell ref="H151:H152"/>
    <mergeCell ref="A157:A158"/>
    <mergeCell ref="B157:B158"/>
    <mergeCell ref="C157:C158"/>
    <mergeCell ref="D157:D158"/>
    <mergeCell ref="E157:G158"/>
    <mergeCell ref="H157:H158"/>
    <mergeCell ref="A155:A156"/>
    <mergeCell ref="B155:B156"/>
    <mergeCell ref="C155:C156"/>
    <mergeCell ref="D155:D156"/>
    <mergeCell ref="E155:G156"/>
    <mergeCell ref="H155:H156"/>
    <mergeCell ref="A161:A162"/>
    <mergeCell ref="B161:B162"/>
    <mergeCell ref="C161:C162"/>
    <mergeCell ref="D161:D162"/>
    <mergeCell ref="E161:G162"/>
    <mergeCell ref="H161:H162"/>
    <mergeCell ref="A159:A160"/>
    <mergeCell ref="B159:B160"/>
    <mergeCell ref="C159:C160"/>
    <mergeCell ref="D159:D160"/>
    <mergeCell ref="E159:G160"/>
    <mergeCell ref="H159:H160"/>
    <mergeCell ref="A165:A166"/>
    <mergeCell ref="B165:B166"/>
    <mergeCell ref="C165:C166"/>
    <mergeCell ref="D165:D166"/>
    <mergeCell ref="E165:G166"/>
    <mergeCell ref="H165:H166"/>
    <mergeCell ref="A163:A164"/>
    <mergeCell ref="B163:B164"/>
    <mergeCell ref="C163:C164"/>
    <mergeCell ref="D163:D164"/>
    <mergeCell ref="E163:G164"/>
    <mergeCell ref="H163:H164"/>
    <mergeCell ref="A169:A170"/>
    <mergeCell ref="B169:B170"/>
    <mergeCell ref="C169:C170"/>
    <mergeCell ref="D169:D170"/>
    <mergeCell ref="E169:G170"/>
    <mergeCell ref="H169:H170"/>
    <mergeCell ref="A167:A168"/>
    <mergeCell ref="B167:B168"/>
    <mergeCell ref="C167:C168"/>
    <mergeCell ref="D167:D168"/>
    <mergeCell ref="E167:G168"/>
    <mergeCell ref="H167:H168"/>
    <mergeCell ref="A173:A174"/>
    <mergeCell ref="B173:B174"/>
    <mergeCell ref="C173:C174"/>
    <mergeCell ref="D173:D174"/>
    <mergeCell ref="E173:G174"/>
    <mergeCell ref="H173:H174"/>
    <mergeCell ref="A171:A172"/>
    <mergeCell ref="B171:B172"/>
    <mergeCell ref="C171:C172"/>
    <mergeCell ref="D171:D172"/>
    <mergeCell ref="E171:G172"/>
    <mergeCell ref="H171:H172"/>
    <mergeCell ref="A177:A178"/>
    <mergeCell ref="B177:B178"/>
    <mergeCell ref="C177:C178"/>
    <mergeCell ref="D177:D178"/>
    <mergeCell ref="E177:G178"/>
    <mergeCell ref="H177:H178"/>
    <mergeCell ref="A175:A176"/>
    <mergeCell ref="B175:B176"/>
    <mergeCell ref="C175:C176"/>
    <mergeCell ref="D175:D176"/>
    <mergeCell ref="E175:G176"/>
    <mergeCell ref="H175:H176"/>
    <mergeCell ref="A181:A182"/>
    <mergeCell ref="B181:B182"/>
    <mergeCell ref="C181:C182"/>
    <mergeCell ref="D181:D182"/>
    <mergeCell ref="E181:G182"/>
    <mergeCell ref="H181:H182"/>
    <mergeCell ref="A179:A180"/>
    <mergeCell ref="B179:B180"/>
    <mergeCell ref="C179:C180"/>
    <mergeCell ref="D179:D180"/>
    <mergeCell ref="E179:G180"/>
    <mergeCell ref="H179:H180"/>
    <mergeCell ref="A185:A186"/>
    <mergeCell ref="B185:B186"/>
    <mergeCell ref="C185:C186"/>
    <mergeCell ref="D185:D186"/>
    <mergeCell ref="E185:G186"/>
    <mergeCell ref="H185:H186"/>
    <mergeCell ref="A183:A184"/>
    <mergeCell ref="B183:B184"/>
    <mergeCell ref="C183:C184"/>
    <mergeCell ref="D183:D184"/>
    <mergeCell ref="E183:G184"/>
    <mergeCell ref="H183:H184"/>
    <mergeCell ref="A189:A190"/>
    <mergeCell ref="B189:B190"/>
    <mergeCell ref="C189:C190"/>
    <mergeCell ref="D189:D190"/>
    <mergeCell ref="E189:G190"/>
    <mergeCell ref="H189:H190"/>
    <mergeCell ref="A187:A188"/>
    <mergeCell ref="B187:B188"/>
    <mergeCell ref="C187:C188"/>
    <mergeCell ref="D187:D188"/>
    <mergeCell ref="E187:G188"/>
    <mergeCell ref="H187:H188"/>
    <mergeCell ref="A193:A194"/>
    <mergeCell ref="B193:B194"/>
    <mergeCell ref="C193:C194"/>
    <mergeCell ref="D193:D194"/>
    <mergeCell ref="E193:G194"/>
    <mergeCell ref="H193:H194"/>
    <mergeCell ref="A191:A192"/>
    <mergeCell ref="B191:B192"/>
    <mergeCell ref="C191:C192"/>
    <mergeCell ref="D191:D192"/>
    <mergeCell ref="E191:G192"/>
    <mergeCell ref="H191:H192"/>
    <mergeCell ref="A197:A198"/>
    <mergeCell ref="B197:B198"/>
    <mergeCell ref="C197:C198"/>
    <mergeCell ref="D197:D198"/>
    <mergeCell ref="E197:G198"/>
    <mergeCell ref="H197:H198"/>
    <mergeCell ref="A195:A196"/>
    <mergeCell ref="B195:B196"/>
    <mergeCell ref="C195:C196"/>
    <mergeCell ref="D195:D196"/>
    <mergeCell ref="E195:G196"/>
    <mergeCell ref="H195:H196"/>
    <mergeCell ref="A201:A202"/>
    <mergeCell ref="B201:B202"/>
    <mergeCell ref="C201:C202"/>
    <mergeCell ref="D201:D202"/>
    <mergeCell ref="E201:G202"/>
    <mergeCell ref="H201:H202"/>
    <mergeCell ref="A199:A200"/>
    <mergeCell ref="B199:B200"/>
    <mergeCell ref="C199:C200"/>
    <mergeCell ref="D199:D200"/>
    <mergeCell ref="E199:G200"/>
    <mergeCell ref="H199:H200"/>
    <mergeCell ref="A205:A206"/>
    <mergeCell ref="B205:B206"/>
    <mergeCell ref="C205:C206"/>
    <mergeCell ref="D205:D206"/>
    <mergeCell ref="E205:G206"/>
    <mergeCell ref="H205:H206"/>
    <mergeCell ref="A203:A204"/>
    <mergeCell ref="B203:B204"/>
    <mergeCell ref="C203:C204"/>
    <mergeCell ref="D203:D204"/>
    <mergeCell ref="E203:G204"/>
    <mergeCell ref="H203:H204"/>
    <mergeCell ref="A209:A210"/>
    <mergeCell ref="B209:B210"/>
    <mergeCell ref="C209:C210"/>
    <mergeCell ref="D209:D210"/>
    <mergeCell ref="E209:G210"/>
    <mergeCell ref="H209:H210"/>
    <mergeCell ref="A207:A208"/>
    <mergeCell ref="B207:B208"/>
    <mergeCell ref="C207:C208"/>
    <mergeCell ref="D207:D208"/>
    <mergeCell ref="E207:G208"/>
    <mergeCell ref="H207:H208"/>
    <mergeCell ref="A213:A214"/>
    <mergeCell ref="B213:B214"/>
    <mergeCell ref="C213:C214"/>
    <mergeCell ref="D213:D214"/>
    <mergeCell ref="E213:G214"/>
    <mergeCell ref="H213:H214"/>
    <mergeCell ref="A211:A212"/>
    <mergeCell ref="B211:B212"/>
    <mergeCell ref="C211:C212"/>
    <mergeCell ref="D211:D212"/>
    <mergeCell ref="E211:G212"/>
    <mergeCell ref="H211:H212"/>
    <mergeCell ref="A217:A218"/>
    <mergeCell ref="B217:B218"/>
    <mergeCell ref="C217:C218"/>
    <mergeCell ref="D217:D218"/>
    <mergeCell ref="E217:G218"/>
    <mergeCell ref="H217:H218"/>
    <mergeCell ref="A215:A216"/>
    <mergeCell ref="B215:B216"/>
    <mergeCell ref="C215:C216"/>
    <mergeCell ref="D215:D216"/>
    <mergeCell ref="E215:G216"/>
    <mergeCell ref="H215:H216"/>
    <mergeCell ref="A221:A222"/>
    <mergeCell ref="B221:B222"/>
    <mergeCell ref="C221:C222"/>
    <mergeCell ref="D221:D222"/>
    <mergeCell ref="E221:G222"/>
    <mergeCell ref="H221:H222"/>
    <mergeCell ref="A219:A220"/>
    <mergeCell ref="B219:B220"/>
    <mergeCell ref="C219:C220"/>
    <mergeCell ref="D219:D220"/>
    <mergeCell ref="E219:G220"/>
    <mergeCell ref="H219:H220"/>
    <mergeCell ref="A225:A226"/>
    <mergeCell ref="B225:B226"/>
    <mergeCell ref="C225:C226"/>
    <mergeCell ref="D225:D226"/>
    <mergeCell ref="E225:G226"/>
    <mergeCell ref="H225:H226"/>
    <mergeCell ref="A223:A224"/>
    <mergeCell ref="B223:B224"/>
    <mergeCell ref="C223:C224"/>
    <mergeCell ref="D223:D224"/>
    <mergeCell ref="E223:G224"/>
    <mergeCell ref="H223:H224"/>
    <mergeCell ref="A229:A230"/>
    <mergeCell ref="B229:B230"/>
    <mergeCell ref="C229:C230"/>
    <mergeCell ref="D229:D230"/>
    <mergeCell ref="E229:G230"/>
    <mergeCell ref="H229:H230"/>
    <mergeCell ref="A227:A228"/>
    <mergeCell ref="B227:B228"/>
    <mergeCell ref="C227:C228"/>
    <mergeCell ref="D227:D228"/>
    <mergeCell ref="E227:G228"/>
    <mergeCell ref="H227:H228"/>
    <mergeCell ref="A233:A234"/>
    <mergeCell ref="B233:B234"/>
    <mergeCell ref="C233:C234"/>
    <mergeCell ref="D233:D234"/>
    <mergeCell ref="E233:G234"/>
    <mergeCell ref="H233:H234"/>
    <mergeCell ref="A231:A232"/>
    <mergeCell ref="B231:B232"/>
    <mergeCell ref="C231:C232"/>
    <mergeCell ref="D231:D232"/>
    <mergeCell ref="E231:G232"/>
    <mergeCell ref="H231:H232"/>
    <mergeCell ref="A237:A238"/>
    <mergeCell ref="B237:B238"/>
    <mergeCell ref="C237:C238"/>
    <mergeCell ref="D237:D238"/>
    <mergeCell ref="E237:G238"/>
    <mergeCell ref="H237:H238"/>
    <mergeCell ref="A235:A236"/>
    <mergeCell ref="B235:B236"/>
    <mergeCell ref="C235:C236"/>
    <mergeCell ref="D235:D236"/>
    <mergeCell ref="E235:G236"/>
    <mergeCell ref="H235:H236"/>
    <mergeCell ref="A241:A242"/>
    <mergeCell ref="B241:B242"/>
    <mergeCell ref="C241:C242"/>
    <mergeCell ref="D241:D242"/>
    <mergeCell ref="E241:G242"/>
    <mergeCell ref="H241:H242"/>
    <mergeCell ref="A239:A240"/>
    <mergeCell ref="B239:B240"/>
    <mergeCell ref="C239:C240"/>
    <mergeCell ref="D239:D240"/>
    <mergeCell ref="E239:G240"/>
    <mergeCell ref="H239:H240"/>
    <mergeCell ref="A245:A246"/>
    <mergeCell ref="B245:B246"/>
    <mergeCell ref="C245:C246"/>
    <mergeCell ref="D245:D246"/>
    <mergeCell ref="E245:G246"/>
    <mergeCell ref="H245:H246"/>
    <mergeCell ref="A243:A244"/>
    <mergeCell ref="B243:B244"/>
    <mergeCell ref="C243:C244"/>
    <mergeCell ref="D243:D244"/>
    <mergeCell ref="E243:G244"/>
    <mergeCell ref="H243:H244"/>
    <mergeCell ref="A249:A250"/>
    <mergeCell ref="B249:B250"/>
    <mergeCell ref="C249:C250"/>
    <mergeCell ref="D249:D250"/>
    <mergeCell ref="E249:G250"/>
    <mergeCell ref="H249:H250"/>
    <mergeCell ref="A247:A248"/>
    <mergeCell ref="B247:B248"/>
    <mergeCell ref="C247:C248"/>
    <mergeCell ref="D247:D248"/>
    <mergeCell ref="E247:G248"/>
    <mergeCell ref="H247:H248"/>
    <mergeCell ref="A253:A254"/>
    <mergeCell ref="B253:B254"/>
    <mergeCell ref="C253:C254"/>
    <mergeCell ref="D253:D254"/>
    <mergeCell ref="E253:G254"/>
    <mergeCell ref="H253:H254"/>
    <mergeCell ref="A251:A252"/>
    <mergeCell ref="B251:B252"/>
    <mergeCell ref="C251:C252"/>
    <mergeCell ref="D251:D252"/>
    <mergeCell ref="E251:G252"/>
    <mergeCell ref="H251:H252"/>
    <mergeCell ref="A257:A258"/>
    <mergeCell ref="B257:B258"/>
    <mergeCell ref="C257:C258"/>
    <mergeCell ref="D257:D258"/>
    <mergeCell ref="E257:G258"/>
    <mergeCell ref="H257:H258"/>
    <mergeCell ref="A255:A256"/>
    <mergeCell ref="B255:B256"/>
    <mergeCell ref="C255:C256"/>
    <mergeCell ref="D255:D256"/>
    <mergeCell ref="E255:G256"/>
    <mergeCell ref="H255:H256"/>
    <mergeCell ref="A261:A262"/>
    <mergeCell ref="B261:B262"/>
    <mergeCell ref="C261:C262"/>
    <mergeCell ref="D261:D262"/>
    <mergeCell ref="E261:G262"/>
    <mergeCell ref="H261:H262"/>
    <mergeCell ref="A259:A260"/>
    <mergeCell ref="B259:B260"/>
    <mergeCell ref="C259:C260"/>
    <mergeCell ref="D259:D260"/>
    <mergeCell ref="E259:G260"/>
    <mergeCell ref="H259:H260"/>
    <mergeCell ref="A265:A266"/>
    <mergeCell ref="B265:B266"/>
    <mergeCell ref="C265:C266"/>
    <mergeCell ref="D265:D266"/>
    <mergeCell ref="E265:G266"/>
    <mergeCell ref="H265:H266"/>
    <mergeCell ref="A263:A264"/>
    <mergeCell ref="B263:B264"/>
    <mergeCell ref="C263:C264"/>
    <mergeCell ref="D263:D264"/>
    <mergeCell ref="E263:G264"/>
    <mergeCell ref="H263:H264"/>
    <mergeCell ref="A269:A270"/>
    <mergeCell ref="B269:B270"/>
    <mergeCell ref="C269:C270"/>
    <mergeCell ref="D269:D270"/>
    <mergeCell ref="E269:G270"/>
    <mergeCell ref="H269:H270"/>
    <mergeCell ref="A267:A268"/>
    <mergeCell ref="B267:B268"/>
    <mergeCell ref="C267:C268"/>
    <mergeCell ref="D267:D268"/>
    <mergeCell ref="E267:G268"/>
    <mergeCell ref="H267:H268"/>
    <mergeCell ref="A273:A274"/>
    <mergeCell ref="B273:B274"/>
    <mergeCell ref="C273:C274"/>
    <mergeCell ref="D273:D274"/>
    <mergeCell ref="E273:G274"/>
    <mergeCell ref="H273:H274"/>
    <mergeCell ref="A271:A272"/>
    <mergeCell ref="B271:B272"/>
    <mergeCell ref="C271:C272"/>
    <mergeCell ref="D271:D272"/>
    <mergeCell ref="E271:G272"/>
    <mergeCell ref="H271:H272"/>
    <mergeCell ref="A277:A278"/>
    <mergeCell ref="B277:B278"/>
    <mergeCell ref="C277:C278"/>
    <mergeCell ref="D277:D278"/>
    <mergeCell ref="E277:G278"/>
    <mergeCell ref="H277:H278"/>
    <mergeCell ref="A275:A276"/>
    <mergeCell ref="B275:B276"/>
    <mergeCell ref="C275:C276"/>
    <mergeCell ref="D275:D276"/>
    <mergeCell ref="E275:G276"/>
    <mergeCell ref="H275:H276"/>
    <mergeCell ref="A281:A282"/>
    <mergeCell ref="B281:B282"/>
    <mergeCell ref="C281:C282"/>
    <mergeCell ref="D281:D282"/>
    <mergeCell ref="E281:G282"/>
    <mergeCell ref="H281:H282"/>
    <mergeCell ref="A279:A280"/>
    <mergeCell ref="B279:B280"/>
    <mergeCell ref="C279:C280"/>
    <mergeCell ref="D279:D280"/>
    <mergeCell ref="E279:G280"/>
    <mergeCell ref="H279:H280"/>
    <mergeCell ref="A285:A286"/>
    <mergeCell ref="B285:B286"/>
    <mergeCell ref="C285:C286"/>
    <mergeCell ref="D285:D286"/>
    <mergeCell ref="E285:G286"/>
    <mergeCell ref="H285:H286"/>
    <mergeCell ref="A283:A284"/>
    <mergeCell ref="B283:B284"/>
    <mergeCell ref="C283:C284"/>
    <mergeCell ref="D283:D284"/>
    <mergeCell ref="E283:G284"/>
    <mergeCell ref="H283:H284"/>
    <mergeCell ref="A289:A290"/>
    <mergeCell ref="B289:B290"/>
    <mergeCell ref="C289:C290"/>
    <mergeCell ref="D289:D290"/>
    <mergeCell ref="E289:G290"/>
    <mergeCell ref="H289:H290"/>
    <mergeCell ref="A287:A288"/>
    <mergeCell ref="B287:B288"/>
    <mergeCell ref="C287:C288"/>
    <mergeCell ref="D287:D288"/>
    <mergeCell ref="E287:G288"/>
    <mergeCell ref="H287:H288"/>
    <mergeCell ref="A293:A294"/>
    <mergeCell ref="B293:B294"/>
    <mergeCell ref="C293:C294"/>
    <mergeCell ref="D293:D294"/>
    <mergeCell ref="E293:G294"/>
    <mergeCell ref="H293:H294"/>
    <mergeCell ref="A291:A292"/>
    <mergeCell ref="B291:B292"/>
    <mergeCell ref="C291:C292"/>
    <mergeCell ref="D291:D292"/>
    <mergeCell ref="E291:G292"/>
    <mergeCell ref="H291:H292"/>
    <mergeCell ref="A297:A298"/>
    <mergeCell ref="B297:B298"/>
    <mergeCell ref="C297:C298"/>
    <mergeCell ref="D297:D298"/>
    <mergeCell ref="E297:G298"/>
    <mergeCell ref="H297:H298"/>
    <mergeCell ref="A295:A296"/>
    <mergeCell ref="B295:B296"/>
    <mergeCell ref="C295:C296"/>
    <mergeCell ref="D295:D296"/>
    <mergeCell ref="E295:G296"/>
    <mergeCell ref="H295:H296"/>
    <mergeCell ref="A301:A302"/>
    <mergeCell ref="B301:B302"/>
    <mergeCell ref="C301:C302"/>
    <mergeCell ref="D301:D302"/>
    <mergeCell ref="E301:G302"/>
    <mergeCell ref="H301:H302"/>
    <mergeCell ref="A299:A300"/>
    <mergeCell ref="B299:B300"/>
    <mergeCell ref="C299:C300"/>
    <mergeCell ref="D299:D300"/>
    <mergeCell ref="E299:G300"/>
    <mergeCell ref="H299:H300"/>
    <mergeCell ref="A305:A306"/>
    <mergeCell ref="B305:B306"/>
    <mergeCell ref="C305:C306"/>
    <mergeCell ref="D305:D306"/>
    <mergeCell ref="E305:G306"/>
    <mergeCell ref="H305:H306"/>
    <mergeCell ref="A303:A304"/>
    <mergeCell ref="B303:B304"/>
    <mergeCell ref="C303:C304"/>
    <mergeCell ref="D303:D304"/>
    <mergeCell ref="E303:G304"/>
    <mergeCell ref="H303:H304"/>
    <mergeCell ref="A309:A310"/>
    <mergeCell ref="B309:B310"/>
    <mergeCell ref="C309:C310"/>
    <mergeCell ref="D309:D310"/>
    <mergeCell ref="E309:G310"/>
    <mergeCell ref="H309:H310"/>
    <mergeCell ref="A307:A308"/>
    <mergeCell ref="B307:B308"/>
    <mergeCell ref="C307:C308"/>
    <mergeCell ref="D307:D308"/>
    <mergeCell ref="E307:G308"/>
    <mergeCell ref="H307:H308"/>
    <mergeCell ref="A313:A314"/>
    <mergeCell ref="B313:B314"/>
    <mergeCell ref="C313:C314"/>
    <mergeCell ref="D313:D314"/>
    <mergeCell ref="E313:G314"/>
    <mergeCell ref="H313:H314"/>
    <mergeCell ref="A311:A312"/>
    <mergeCell ref="B311:B312"/>
    <mergeCell ref="C311:C312"/>
    <mergeCell ref="D311:D312"/>
    <mergeCell ref="E311:G312"/>
    <mergeCell ref="H311:H312"/>
    <mergeCell ref="A317:A318"/>
    <mergeCell ref="B317:B318"/>
    <mergeCell ref="C317:C318"/>
    <mergeCell ref="D317:D318"/>
    <mergeCell ref="E317:G318"/>
    <mergeCell ref="H317:H318"/>
    <mergeCell ref="A315:A316"/>
    <mergeCell ref="B315:B316"/>
    <mergeCell ref="C315:C316"/>
    <mergeCell ref="D315:D316"/>
    <mergeCell ref="E315:G316"/>
    <mergeCell ref="H315:H316"/>
    <mergeCell ref="A321:A322"/>
    <mergeCell ref="B321:B322"/>
    <mergeCell ref="C321:C322"/>
    <mergeCell ref="D321:D322"/>
    <mergeCell ref="E321:G322"/>
    <mergeCell ref="H321:H322"/>
    <mergeCell ref="A319:A320"/>
    <mergeCell ref="B319:B320"/>
    <mergeCell ref="C319:C320"/>
    <mergeCell ref="D319:D320"/>
    <mergeCell ref="E319:G320"/>
    <mergeCell ref="H319:H320"/>
  </mergeCells>
  <phoneticPr fontId="1" type="noConversion"/>
  <pageMargins left="0" right="0" top="0" bottom="0" header="0" footer="0"/>
  <pageSetup paperSize="9" scale="3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311"/>
  <sheetViews>
    <sheetView showGridLines="0" zoomScale="115" zoomScaleNormal="115" workbookViewId="0">
      <pane xSplit="8" ySplit="2" topLeftCell="I159" activePane="bottomRight" state="frozen"/>
      <selection pane="topRight" activeCell="I1" sqref="I1"/>
      <selection pane="bottomLeft" activeCell="A3" sqref="A3"/>
      <selection pane="bottomRight" activeCell="A4" sqref="A4:A151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1" max="11" width="9.5" bestFit="1" customWidth="1"/>
    <col min="12" max="12" width="11" bestFit="1" customWidth="1"/>
  </cols>
  <sheetData>
    <row r="1" spans="1:18" ht="35.25" customHeight="1" thickBot="1">
      <c r="A1" s="388" t="s">
        <v>1237</v>
      </c>
      <c r="B1" s="389"/>
      <c r="C1" s="402" t="s">
        <v>27</v>
      </c>
      <c r="D1" s="403"/>
      <c r="E1" s="21" t="s">
        <v>26</v>
      </c>
      <c r="F1" s="20">
        <f>H1/27</f>
        <v>725740.74074074079</v>
      </c>
      <c r="G1" s="21" t="s">
        <v>4</v>
      </c>
      <c r="H1" s="22">
        <f>SUM(D4:D311)</f>
        <v>19595000</v>
      </c>
      <c r="I1" s="392"/>
      <c r="J1" s="338"/>
      <c r="K1" s="394"/>
      <c r="L1" s="396"/>
      <c r="M1" s="377"/>
      <c r="N1" s="379"/>
      <c r="O1" s="381"/>
      <c r="P1" s="383"/>
      <c r="Q1" s="377"/>
      <c r="R1" s="376"/>
    </row>
    <row r="2" spans="1:18" ht="17.25" thickBot="1">
      <c r="A2" s="27" t="s">
        <v>0</v>
      </c>
      <c r="B2" s="28" t="s">
        <v>1</v>
      </c>
      <c r="C2" s="28" t="s">
        <v>2</v>
      </c>
      <c r="D2" s="29" t="s">
        <v>3</v>
      </c>
      <c r="E2" s="385" t="s">
        <v>25</v>
      </c>
      <c r="F2" s="386"/>
      <c r="G2" s="387"/>
      <c r="H2" s="25" t="s">
        <v>5</v>
      </c>
      <c r="I2" s="393"/>
      <c r="J2" s="333"/>
      <c r="K2" s="395"/>
      <c r="L2" s="397"/>
      <c r="M2" s="378"/>
      <c r="N2" s="380"/>
      <c r="O2" s="382"/>
      <c r="P2" s="384"/>
      <c r="Q2" s="378"/>
      <c r="R2" s="376"/>
    </row>
    <row r="3" spans="1:18" ht="36" customHeight="1">
      <c r="A3" s="441" t="s">
        <v>825</v>
      </c>
      <c r="B3" s="442"/>
      <c r="C3" s="442"/>
      <c r="D3" s="442"/>
      <c r="E3" s="442"/>
      <c r="F3" s="442"/>
      <c r="G3" s="442"/>
      <c r="H3" s="443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322" t="s">
        <v>764</v>
      </c>
      <c r="B4" s="444" t="s">
        <v>765</v>
      </c>
      <c r="C4" s="325"/>
      <c r="D4" s="326">
        <v>110000</v>
      </c>
      <c r="E4" s="327" t="s">
        <v>766</v>
      </c>
      <c r="F4" s="328"/>
      <c r="G4" s="329"/>
      <c r="H4" s="398" t="s">
        <v>767</v>
      </c>
      <c r="J4" s="42" t="s">
        <v>932</v>
      </c>
    </row>
    <row r="5" spans="1:18" ht="16.5" customHeight="1">
      <c r="A5" s="323"/>
      <c r="B5" s="445"/>
      <c r="C5" s="325"/>
      <c r="D5" s="326"/>
      <c r="E5" s="330"/>
      <c r="F5" s="331"/>
      <c r="G5" s="332"/>
      <c r="H5" s="399"/>
      <c r="J5" s="43" t="s">
        <v>933</v>
      </c>
    </row>
    <row r="6" spans="1:18" ht="16.5" customHeight="1">
      <c r="A6" s="322" t="s">
        <v>890</v>
      </c>
      <c r="B6" s="439" t="s">
        <v>768</v>
      </c>
      <c r="C6" s="341" t="s">
        <v>744</v>
      </c>
      <c r="D6" s="343">
        <v>230000</v>
      </c>
      <c r="E6" s="327" t="s">
        <v>769</v>
      </c>
      <c r="F6" s="345"/>
      <c r="G6" s="346"/>
      <c r="H6" s="398" t="s">
        <v>767</v>
      </c>
      <c r="J6" s="43" t="s">
        <v>934</v>
      </c>
    </row>
    <row r="7" spans="1:18" ht="16.5" customHeight="1">
      <c r="A7" s="323"/>
      <c r="B7" s="440"/>
      <c r="C7" s="352"/>
      <c r="D7" s="344"/>
      <c r="E7" s="347"/>
      <c r="F7" s="348"/>
      <c r="G7" s="349"/>
      <c r="H7" s="399"/>
      <c r="J7" s="43" t="s">
        <v>999</v>
      </c>
    </row>
    <row r="8" spans="1:18" ht="16.5" customHeight="1">
      <c r="A8" s="335" t="s">
        <v>770</v>
      </c>
      <c r="B8" s="439" t="s">
        <v>771</v>
      </c>
      <c r="C8" s="353"/>
      <c r="D8" s="343">
        <v>50000</v>
      </c>
      <c r="E8" s="327" t="s">
        <v>772</v>
      </c>
      <c r="F8" s="345"/>
      <c r="G8" s="346"/>
      <c r="H8" s="398" t="s">
        <v>145</v>
      </c>
      <c r="J8" s="43" t="s">
        <v>935</v>
      </c>
    </row>
    <row r="9" spans="1:18" ht="14.25" customHeight="1">
      <c r="A9" s="336"/>
      <c r="B9" s="440"/>
      <c r="C9" s="352"/>
      <c r="D9" s="344"/>
      <c r="E9" s="347"/>
      <c r="F9" s="348"/>
      <c r="G9" s="349"/>
      <c r="H9" s="399"/>
    </row>
    <row r="10" spans="1:18" ht="16.5" customHeight="1">
      <c r="A10" s="335" t="s">
        <v>891</v>
      </c>
      <c r="B10" s="439" t="s">
        <v>41</v>
      </c>
      <c r="C10" s="353"/>
      <c r="D10" s="343">
        <v>70000</v>
      </c>
      <c r="E10" s="327" t="s">
        <v>773</v>
      </c>
      <c r="F10" s="345"/>
      <c r="G10" s="346"/>
      <c r="H10" s="360" t="s">
        <v>774</v>
      </c>
    </row>
    <row r="11" spans="1:18" ht="16.5" customHeight="1">
      <c r="A11" s="336"/>
      <c r="B11" s="440"/>
      <c r="C11" s="352"/>
      <c r="D11" s="344"/>
      <c r="E11" s="347"/>
      <c r="F11" s="348"/>
      <c r="G11" s="349"/>
      <c r="H11" s="359"/>
    </row>
    <row r="12" spans="1:18" ht="16.5" customHeight="1">
      <c r="A12" s="335" t="s">
        <v>892</v>
      </c>
      <c r="B12" s="444" t="s">
        <v>775</v>
      </c>
      <c r="C12" s="324"/>
      <c r="D12" s="326">
        <v>280000</v>
      </c>
      <c r="E12" s="327" t="s">
        <v>776</v>
      </c>
      <c r="F12" s="328"/>
      <c r="G12" s="329"/>
      <c r="H12" s="398" t="s">
        <v>145</v>
      </c>
    </row>
    <row r="13" spans="1:18" ht="16.5" customHeight="1">
      <c r="A13" s="336"/>
      <c r="B13" s="445"/>
      <c r="C13" s="325"/>
      <c r="D13" s="326"/>
      <c r="E13" s="330"/>
      <c r="F13" s="331"/>
      <c r="G13" s="332"/>
      <c r="H13" s="399"/>
    </row>
    <row r="14" spans="1:18" ht="16.5" customHeight="1">
      <c r="A14" s="322" t="s">
        <v>777</v>
      </c>
      <c r="B14" s="444" t="s">
        <v>779</v>
      </c>
      <c r="C14" s="324" t="s">
        <v>780</v>
      </c>
      <c r="D14" s="326">
        <v>715000</v>
      </c>
      <c r="E14" s="327" t="s">
        <v>782</v>
      </c>
      <c r="F14" s="328"/>
      <c r="G14" s="329"/>
      <c r="H14" s="398" t="s">
        <v>851</v>
      </c>
    </row>
    <row r="15" spans="1:18" ht="16.5" customHeight="1">
      <c r="A15" s="323"/>
      <c r="B15" s="445"/>
      <c r="C15" s="325"/>
      <c r="D15" s="326"/>
      <c r="E15" s="330"/>
      <c r="F15" s="331"/>
      <c r="G15" s="332"/>
      <c r="H15" s="399"/>
    </row>
    <row r="16" spans="1:18" ht="16.5" customHeight="1">
      <c r="A16" s="322" t="s">
        <v>893</v>
      </c>
      <c r="B16" s="439" t="s">
        <v>781</v>
      </c>
      <c r="C16" s="341"/>
      <c r="D16" s="343">
        <v>250000</v>
      </c>
      <c r="E16" s="327" t="s">
        <v>783</v>
      </c>
      <c r="F16" s="345"/>
      <c r="G16" s="346"/>
      <c r="H16" s="398" t="s">
        <v>784</v>
      </c>
    </row>
    <row r="17" spans="1:18" ht="16.5" customHeight="1">
      <c r="A17" s="323"/>
      <c r="B17" s="440"/>
      <c r="C17" s="342"/>
      <c r="D17" s="344"/>
      <c r="E17" s="347"/>
      <c r="F17" s="348"/>
      <c r="G17" s="349"/>
      <c r="H17" s="399"/>
    </row>
    <row r="18" spans="1:18" ht="16.5" customHeight="1">
      <c r="A18" s="322" t="s">
        <v>893</v>
      </c>
      <c r="B18" s="439" t="s">
        <v>778</v>
      </c>
      <c r="C18" s="341"/>
      <c r="D18" s="326">
        <v>110000</v>
      </c>
      <c r="E18" s="327"/>
      <c r="F18" s="345"/>
      <c r="G18" s="346"/>
      <c r="H18" s="398" t="s">
        <v>145</v>
      </c>
    </row>
    <row r="19" spans="1:18" ht="16.5" customHeight="1">
      <c r="A19" s="323"/>
      <c r="B19" s="440"/>
      <c r="C19" s="342"/>
      <c r="D19" s="326"/>
      <c r="E19" s="347"/>
      <c r="F19" s="348"/>
      <c r="G19" s="349"/>
      <c r="H19" s="399"/>
    </row>
    <row r="20" spans="1:18" ht="16.5" customHeight="1">
      <c r="A20" s="322" t="s">
        <v>894</v>
      </c>
      <c r="B20" s="439" t="s">
        <v>778</v>
      </c>
      <c r="C20" s="341"/>
      <c r="D20" s="326">
        <v>110000</v>
      </c>
      <c r="E20" s="327"/>
      <c r="F20" s="328"/>
      <c r="G20" s="329"/>
      <c r="H20" s="398" t="s">
        <v>145</v>
      </c>
    </row>
    <row r="21" spans="1:18" ht="16.5" customHeight="1">
      <c r="A21" s="323"/>
      <c r="B21" s="440"/>
      <c r="C21" s="342"/>
      <c r="D21" s="326"/>
      <c r="E21" s="330"/>
      <c r="F21" s="331"/>
      <c r="G21" s="332"/>
      <c r="H21" s="399"/>
    </row>
    <row r="22" spans="1:18" ht="16.5" customHeight="1">
      <c r="A22" s="322" t="s">
        <v>895</v>
      </c>
      <c r="B22" s="439" t="s">
        <v>778</v>
      </c>
      <c r="C22" s="341"/>
      <c r="D22" s="343">
        <v>70000</v>
      </c>
      <c r="E22" s="327"/>
      <c r="F22" s="345"/>
      <c r="G22" s="346"/>
      <c r="H22" s="398" t="s">
        <v>145</v>
      </c>
    </row>
    <row r="23" spans="1:18" ht="16.5" customHeight="1">
      <c r="A23" s="323"/>
      <c r="B23" s="440"/>
      <c r="C23" s="342"/>
      <c r="D23" s="344"/>
      <c r="E23" s="347"/>
      <c r="F23" s="348"/>
      <c r="G23" s="349"/>
      <c r="H23" s="399"/>
    </row>
    <row r="24" spans="1:18" ht="16.5" customHeight="1">
      <c r="A24" s="322" t="s">
        <v>895</v>
      </c>
      <c r="B24" s="439" t="s">
        <v>785</v>
      </c>
      <c r="C24" s="353" t="s">
        <v>787</v>
      </c>
      <c r="D24" s="343">
        <v>100000</v>
      </c>
      <c r="E24" s="327" t="s">
        <v>786</v>
      </c>
      <c r="F24" s="345"/>
      <c r="G24" s="346"/>
      <c r="H24" s="398" t="s">
        <v>145</v>
      </c>
    </row>
    <row r="25" spans="1:18" ht="16.5" customHeight="1">
      <c r="A25" s="323"/>
      <c r="B25" s="440"/>
      <c r="C25" s="352"/>
      <c r="D25" s="344"/>
      <c r="E25" s="347"/>
      <c r="F25" s="348"/>
      <c r="G25" s="349"/>
      <c r="H25" s="399"/>
    </row>
    <row r="26" spans="1:18" ht="24" customHeight="1">
      <c r="A26" s="446"/>
      <c r="B26" s="448" t="s">
        <v>889</v>
      </c>
      <c r="C26" s="448"/>
      <c r="D26" s="448"/>
      <c r="E26" s="448"/>
      <c r="F26" s="448"/>
      <c r="G26" s="448"/>
      <c r="H26" s="449"/>
      <c r="I26" s="32"/>
      <c r="J26" s="33"/>
      <c r="K26" s="41"/>
      <c r="L26" s="33"/>
      <c r="M26" s="33"/>
      <c r="N26" s="33"/>
      <c r="O26" s="33"/>
      <c r="P26" s="33"/>
      <c r="Q26" s="33"/>
      <c r="R26" s="40"/>
    </row>
    <row r="27" spans="1:18" ht="17.25" customHeight="1">
      <c r="A27" s="447"/>
      <c r="B27" s="450"/>
      <c r="C27" s="450"/>
      <c r="D27" s="450"/>
      <c r="E27" s="450"/>
      <c r="F27" s="450"/>
      <c r="G27" s="450"/>
      <c r="H27" s="451"/>
    </row>
    <row r="28" spans="1:18" ht="16.5" customHeight="1">
      <c r="A28" s="335" t="s">
        <v>788</v>
      </c>
      <c r="B28" s="412" t="s">
        <v>789</v>
      </c>
      <c r="C28" s="325" t="s">
        <v>790</v>
      </c>
      <c r="D28" s="326">
        <v>315000</v>
      </c>
      <c r="E28" s="327" t="s">
        <v>791</v>
      </c>
      <c r="F28" s="328"/>
      <c r="G28" s="329"/>
      <c r="H28" s="360" t="s">
        <v>794</v>
      </c>
    </row>
    <row r="29" spans="1:18" ht="16.5" customHeight="1">
      <c r="A29" s="336"/>
      <c r="B29" s="413"/>
      <c r="C29" s="325"/>
      <c r="D29" s="326"/>
      <c r="E29" s="330"/>
      <c r="F29" s="331"/>
      <c r="G29" s="332"/>
      <c r="H29" s="359"/>
    </row>
    <row r="30" spans="1:18" ht="16.5" customHeight="1">
      <c r="A30" s="335" t="s">
        <v>896</v>
      </c>
      <c r="B30" s="412" t="s">
        <v>789</v>
      </c>
      <c r="C30" s="325" t="s">
        <v>790</v>
      </c>
      <c r="D30" s="326">
        <v>170000</v>
      </c>
      <c r="E30" s="327" t="s">
        <v>792</v>
      </c>
      <c r="F30" s="328"/>
      <c r="G30" s="329"/>
      <c r="H30" s="360" t="s">
        <v>794</v>
      </c>
    </row>
    <row r="31" spans="1:18" ht="16.5" customHeight="1">
      <c r="A31" s="336"/>
      <c r="B31" s="413"/>
      <c r="C31" s="325"/>
      <c r="D31" s="326"/>
      <c r="E31" s="330"/>
      <c r="F31" s="331"/>
      <c r="G31" s="332"/>
      <c r="H31" s="359"/>
    </row>
    <row r="32" spans="1:18" ht="16.5" customHeight="1">
      <c r="A32" s="335" t="s">
        <v>897</v>
      </c>
      <c r="B32" s="412" t="s">
        <v>515</v>
      </c>
      <c r="C32" s="324"/>
      <c r="D32" s="326">
        <v>130000</v>
      </c>
      <c r="E32" s="327" t="s">
        <v>793</v>
      </c>
      <c r="F32" s="328"/>
      <c r="G32" s="329"/>
      <c r="H32" s="360" t="s">
        <v>794</v>
      </c>
    </row>
    <row r="33" spans="1:11" ht="16.5" customHeight="1">
      <c r="A33" s="336"/>
      <c r="B33" s="413"/>
      <c r="C33" s="325"/>
      <c r="D33" s="326"/>
      <c r="E33" s="330"/>
      <c r="F33" s="331"/>
      <c r="G33" s="332"/>
      <c r="H33" s="359"/>
      <c r="K33" s="24"/>
    </row>
    <row r="34" spans="1:11" ht="16.5" customHeight="1">
      <c r="A34" s="335" t="s">
        <v>897</v>
      </c>
      <c r="B34" s="414" t="s">
        <v>795</v>
      </c>
      <c r="C34" s="341" t="s">
        <v>796</v>
      </c>
      <c r="D34" s="326">
        <v>272000</v>
      </c>
      <c r="E34" s="364" t="s">
        <v>797</v>
      </c>
      <c r="F34" s="365"/>
      <c r="G34" s="366"/>
      <c r="H34" s="360" t="s">
        <v>798</v>
      </c>
    </row>
    <row r="35" spans="1:11" ht="23.25" customHeight="1">
      <c r="A35" s="336"/>
      <c r="B35" s="415"/>
      <c r="C35" s="342"/>
      <c r="D35" s="326"/>
      <c r="E35" s="347"/>
      <c r="F35" s="348"/>
      <c r="G35" s="349"/>
      <c r="H35" s="359"/>
    </row>
    <row r="36" spans="1:11" ht="16.5" customHeight="1">
      <c r="A36" s="335" t="s">
        <v>897</v>
      </c>
      <c r="B36" s="414" t="s">
        <v>803</v>
      </c>
      <c r="C36" s="341" t="s">
        <v>744</v>
      </c>
      <c r="D36" s="326">
        <v>42000</v>
      </c>
      <c r="E36" s="364" t="s">
        <v>802</v>
      </c>
      <c r="F36" s="365"/>
      <c r="G36" s="366"/>
      <c r="H36" s="360" t="s">
        <v>798</v>
      </c>
    </row>
    <row r="37" spans="1:11" ht="22.5" customHeight="1">
      <c r="A37" s="336"/>
      <c r="B37" s="415"/>
      <c r="C37" s="352"/>
      <c r="D37" s="326"/>
      <c r="E37" s="347"/>
      <c r="F37" s="348"/>
      <c r="G37" s="349"/>
      <c r="H37" s="359"/>
      <c r="K37" s="24"/>
    </row>
    <row r="38" spans="1:11" ht="16.5" customHeight="1">
      <c r="A38" s="335" t="s">
        <v>897</v>
      </c>
      <c r="B38" s="414" t="s">
        <v>799</v>
      </c>
      <c r="C38" s="353" t="s">
        <v>800</v>
      </c>
      <c r="D38" s="343">
        <v>90000</v>
      </c>
      <c r="E38" s="327" t="s">
        <v>801</v>
      </c>
      <c r="F38" s="345"/>
      <c r="G38" s="346"/>
      <c r="H38" s="360" t="s">
        <v>145</v>
      </c>
    </row>
    <row r="39" spans="1:11" ht="16.5" customHeight="1">
      <c r="A39" s="336"/>
      <c r="B39" s="415"/>
      <c r="C39" s="352"/>
      <c r="D39" s="344"/>
      <c r="E39" s="347"/>
      <c r="F39" s="348"/>
      <c r="G39" s="349"/>
      <c r="H39" s="359"/>
    </row>
    <row r="40" spans="1:11" ht="16.5" customHeight="1">
      <c r="A40" s="322" t="s">
        <v>804</v>
      </c>
      <c r="B40" s="412" t="s">
        <v>805</v>
      </c>
      <c r="C40" s="324"/>
      <c r="D40" s="326">
        <v>230000</v>
      </c>
      <c r="E40" s="327" t="s">
        <v>808</v>
      </c>
      <c r="F40" s="328"/>
      <c r="G40" s="329"/>
      <c r="H40" s="360" t="s">
        <v>145</v>
      </c>
    </row>
    <row r="41" spans="1:11" ht="16.5" customHeight="1">
      <c r="A41" s="323"/>
      <c r="B41" s="413"/>
      <c r="C41" s="325"/>
      <c r="D41" s="326"/>
      <c r="E41" s="330"/>
      <c r="F41" s="331"/>
      <c r="G41" s="332"/>
      <c r="H41" s="359"/>
    </row>
    <row r="42" spans="1:11" ht="16.5" customHeight="1">
      <c r="A42" s="322" t="s">
        <v>898</v>
      </c>
      <c r="B42" s="414" t="s">
        <v>806</v>
      </c>
      <c r="C42" s="341" t="s">
        <v>807</v>
      </c>
      <c r="D42" s="343">
        <v>90000</v>
      </c>
      <c r="E42" s="327" t="s">
        <v>809</v>
      </c>
      <c r="F42" s="328"/>
      <c r="G42" s="329"/>
      <c r="H42" s="360" t="s">
        <v>145</v>
      </c>
      <c r="K42" s="24"/>
    </row>
    <row r="43" spans="1:11" ht="16.5" customHeight="1">
      <c r="A43" s="323"/>
      <c r="B43" s="415"/>
      <c r="C43" s="342"/>
      <c r="D43" s="344"/>
      <c r="E43" s="330"/>
      <c r="F43" s="331"/>
      <c r="G43" s="332"/>
      <c r="H43" s="359"/>
      <c r="K43" s="24"/>
    </row>
    <row r="44" spans="1:11" ht="16.5" customHeight="1">
      <c r="A44" s="322" t="s">
        <v>811</v>
      </c>
      <c r="B44" s="414" t="s">
        <v>812</v>
      </c>
      <c r="C44" s="341" t="s">
        <v>813</v>
      </c>
      <c r="D44" s="326">
        <v>340000</v>
      </c>
      <c r="E44" s="337" t="s">
        <v>814</v>
      </c>
      <c r="F44" s="326"/>
      <c r="G44" s="326"/>
      <c r="H44" s="359" t="s">
        <v>484</v>
      </c>
      <c r="I44" s="4"/>
    </row>
    <row r="45" spans="1:11" ht="16.5" customHeight="1">
      <c r="A45" s="323"/>
      <c r="B45" s="415"/>
      <c r="C45" s="342"/>
      <c r="D45" s="326"/>
      <c r="E45" s="326"/>
      <c r="F45" s="326"/>
      <c r="G45" s="326"/>
      <c r="H45" s="359"/>
    </row>
    <row r="46" spans="1:11" ht="16.5" customHeight="1">
      <c r="A46" s="322" t="s">
        <v>899</v>
      </c>
      <c r="B46" s="414" t="s">
        <v>816</v>
      </c>
      <c r="C46" s="341" t="s">
        <v>817</v>
      </c>
      <c r="D46" s="363">
        <v>260000</v>
      </c>
      <c r="E46" s="327" t="s">
        <v>815</v>
      </c>
      <c r="F46" s="328"/>
      <c r="G46" s="329"/>
      <c r="H46" s="359" t="s">
        <v>463</v>
      </c>
    </row>
    <row r="47" spans="1:11" ht="16.5" customHeight="1">
      <c r="A47" s="323"/>
      <c r="B47" s="415"/>
      <c r="C47" s="342"/>
      <c r="D47" s="344"/>
      <c r="E47" s="330"/>
      <c r="F47" s="331"/>
      <c r="G47" s="332"/>
      <c r="H47" s="359"/>
    </row>
    <row r="48" spans="1:11" ht="16.5" customHeight="1">
      <c r="A48" s="322" t="s">
        <v>818</v>
      </c>
      <c r="B48" s="414" t="s">
        <v>819</v>
      </c>
      <c r="C48" s="362" t="s">
        <v>849</v>
      </c>
      <c r="D48" s="326">
        <v>1170000</v>
      </c>
      <c r="E48" s="327" t="s">
        <v>820</v>
      </c>
      <c r="F48" s="328"/>
      <c r="G48" s="329"/>
      <c r="H48" s="360" t="s">
        <v>998</v>
      </c>
    </row>
    <row r="49" spans="1:8" ht="57.75" customHeight="1">
      <c r="A49" s="323"/>
      <c r="B49" s="415"/>
      <c r="C49" s="352"/>
      <c r="D49" s="326"/>
      <c r="E49" s="330"/>
      <c r="F49" s="331"/>
      <c r="G49" s="332"/>
      <c r="H49" s="359"/>
    </row>
    <row r="50" spans="1:8" ht="16.5" customHeight="1">
      <c r="A50" s="322" t="s">
        <v>821</v>
      </c>
      <c r="B50" s="412" t="s">
        <v>515</v>
      </c>
      <c r="C50" s="325" t="s">
        <v>823</v>
      </c>
      <c r="D50" s="326">
        <v>430000</v>
      </c>
      <c r="E50" s="327" t="s">
        <v>824</v>
      </c>
      <c r="F50" s="328"/>
      <c r="G50" s="329"/>
      <c r="H50" s="359" t="s">
        <v>822</v>
      </c>
    </row>
    <row r="51" spans="1:8" ht="16.5" customHeight="1">
      <c r="A51" s="323"/>
      <c r="B51" s="413"/>
      <c r="C51" s="325"/>
      <c r="D51" s="326"/>
      <c r="E51" s="330"/>
      <c r="F51" s="331"/>
      <c r="G51" s="332"/>
      <c r="H51" s="359"/>
    </row>
    <row r="52" spans="1:8" ht="16.5" customHeight="1">
      <c r="A52" s="322" t="s">
        <v>900</v>
      </c>
      <c r="B52" s="412" t="s">
        <v>829</v>
      </c>
      <c r="C52" s="325"/>
      <c r="D52" s="326">
        <v>190000</v>
      </c>
      <c r="E52" s="327" t="s">
        <v>835</v>
      </c>
      <c r="F52" s="328"/>
      <c r="G52" s="329"/>
      <c r="H52" s="359" t="s">
        <v>645</v>
      </c>
    </row>
    <row r="53" spans="1:8" ht="16.5" customHeight="1">
      <c r="A53" s="323"/>
      <c r="B53" s="413"/>
      <c r="C53" s="325"/>
      <c r="D53" s="326"/>
      <c r="E53" s="330"/>
      <c r="F53" s="331"/>
      <c r="G53" s="332"/>
      <c r="H53" s="359"/>
    </row>
    <row r="54" spans="1:8" ht="16.5" customHeight="1">
      <c r="A54" s="322" t="s">
        <v>900</v>
      </c>
      <c r="B54" s="412" t="s">
        <v>830</v>
      </c>
      <c r="C54" s="325"/>
      <c r="D54" s="326">
        <v>230000</v>
      </c>
      <c r="E54" s="327" t="s">
        <v>828</v>
      </c>
      <c r="F54" s="328"/>
      <c r="G54" s="329"/>
      <c r="H54" s="359" t="s">
        <v>827</v>
      </c>
    </row>
    <row r="55" spans="1:8" ht="16.5" customHeight="1">
      <c r="A55" s="323"/>
      <c r="B55" s="413"/>
      <c r="C55" s="325"/>
      <c r="D55" s="326"/>
      <c r="E55" s="330"/>
      <c r="F55" s="331"/>
      <c r="G55" s="332"/>
      <c r="H55" s="359"/>
    </row>
    <row r="56" spans="1:8" ht="16.5" customHeight="1">
      <c r="A56" s="322" t="s">
        <v>900</v>
      </c>
      <c r="B56" s="414" t="s">
        <v>832</v>
      </c>
      <c r="C56" s="341"/>
      <c r="D56" s="326">
        <v>180000</v>
      </c>
      <c r="E56" s="327" t="s">
        <v>833</v>
      </c>
      <c r="F56" s="328"/>
      <c r="G56" s="329"/>
      <c r="H56" s="359" t="s">
        <v>831</v>
      </c>
    </row>
    <row r="57" spans="1:8" ht="16.5" customHeight="1">
      <c r="A57" s="323"/>
      <c r="B57" s="415"/>
      <c r="C57" s="342"/>
      <c r="D57" s="326"/>
      <c r="E57" s="330"/>
      <c r="F57" s="331"/>
      <c r="G57" s="332"/>
      <c r="H57" s="359"/>
    </row>
    <row r="58" spans="1:8" ht="16.5" customHeight="1">
      <c r="A58" s="322" t="s">
        <v>900</v>
      </c>
      <c r="B58" s="414" t="s">
        <v>609</v>
      </c>
      <c r="C58" s="341"/>
      <c r="D58" s="326">
        <v>180000</v>
      </c>
      <c r="E58" s="327" t="s">
        <v>833</v>
      </c>
      <c r="F58" s="328"/>
      <c r="G58" s="329"/>
      <c r="H58" s="359" t="s">
        <v>834</v>
      </c>
    </row>
    <row r="59" spans="1:8" ht="16.5" customHeight="1">
      <c r="A59" s="323"/>
      <c r="B59" s="415"/>
      <c r="C59" s="342"/>
      <c r="D59" s="326"/>
      <c r="E59" s="330"/>
      <c r="F59" s="331"/>
      <c r="G59" s="332"/>
      <c r="H59" s="359"/>
    </row>
    <row r="60" spans="1:8" ht="45.75" customHeight="1">
      <c r="A60" s="452"/>
      <c r="B60" s="454" t="s">
        <v>888</v>
      </c>
      <c r="C60" s="454"/>
      <c r="D60" s="454"/>
      <c r="E60" s="454"/>
      <c r="F60" s="454"/>
      <c r="G60" s="454"/>
      <c r="H60" s="455"/>
    </row>
    <row r="61" spans="1:8" ht="16.5" customHeight="1">
      <c r="A61" s="453"/>
      <c r="B61" s="456"/>
      <c r="C61" s="456"/>
      <c r="D61" s="456"/>
      <c r="E61" s="456"/>
      <c r="F61" s="456"/>
      <c r="G61" s="456"/>
      <c r="H61" s="457"/>
    </row>
    <row r="62" spans="1:8" ht="16.5" customHeight="1">
      <c r="A62" s="322" t="s">
        <v>836</v>
      </c>
      <c r="B62" s="408" t="s">
        <v>837</v>
      </c>
      <c r="C62" s="324"/>
      <c r="D62" s="343">
        <v>230000</v>
      </c>
      <c r="E62" s="327" t="s">
        <v>838</v>
      </c>
      <c r="F62" s="328"/>
      <c r="G62" s="329"/>
      <c r="H62" s="360" t="s">
        <v>839</v>
      </c>
    </row>
    <row r="63" spans="1:8" ht="16.5" customHeight="1">
      <c r="A63" s="323"/>
      <c r="B63" s="409"/>
      <c r="C63" s="325"/>
      <c r="D63" s="344"/>
      <c r="E63" s="330"/>
      <c r="F63" s="331"/>
      <c r="G63" s="332"/>
      <c r="H63" s="359"/>
    </row>
    <row r="64" spans="1:8" ht="16.5" customHeight="1">
      <c r="A64" s="322" t="s">
        <v>901</v>
      </c>
      <c r="B64" s="408" t="s">
        <v>41</v>
      </c>
      <c r="C64" s="324"/>
      <c r="D64" s="326">
        <v>207000</v>
      </c>
      <c r="E64" s="327" t="s">
        <v>840</v>
      </c>
      <c r="F64" s="328"/>
      <c r="G64" s="329"/>
      <c r="H64" s="360" t="s">
        <v>612</v>
      </c>
    </row>
    <row r="65" spans="1:8" ht="16.5" customHeight="1">
      <c r="A65" s="323"/>
      <c r="B65" s="409"/>
      <c r="C65" s="325"/>
      <c r="D65" s="326"/>
      <c r="E65" s="330"/>
      <c r="F65" s="331"/>
      <c r="G65" s="332"/>
      <c r="H65" s="359"/>
    </row>
    <row r="66" spans="1:8" ht="16.5" customHeight="1">
      <c r="A66" s="322" t="s">
        <v>901</v>
      </c>
      <c r="B66" s="408" t="s">
        <v>844</v>
      </c>
      <c r="C66" s="341"/>
      <c r="D66" s="326">
        <v>64000</v>
      </c>
      <c r="E66" s="327" t="s">
        <v>959</v>
      </c>
      <c r="F66" s="328"/>
      <c r="G66" s="329"/>
      <c r="H66" s="360" t="s">
        <v>843</v>
      </c>
    </row>
    <row r="67" spans="1:8" ht="16.5" customHeight="1">
      <c r="A67" s="323"/>
      <c r="B67" s="409"/>
      <c r="C67" s="342"/>
      <c r="D67" s="326"/>
      <c r="E67" s="330"/>
      <c r="F67" s="331"/>
      <c r="G67" s="332"/>
      <c r="H67" s="359"/>
    </row>
    <row r="68" spans="1:8" ht="16.5" customHeight="1">
      <c r="A68" s="322" t="s">
        <v>901</v>
      </c>
      <c r="B68" s="408" t="s">
        <v>846</v>
      </c>
      <c r="C68" s="324" t="s">
        <v>847</v>
      </c>
      <c r="D68" s="326">
        <v>140000</v>
      </c>
      <c r="E68" s="327" t="s">
        <v>845</v>
      </c>
      <c r="F68" s="328"/>
      <c r="G68" s="329"/>
      <c r="H68" s="360" t="s">
        <v>145</v>
      </c>
    </row>
    <row r="69" spans="1:8" ht="20.25" customHeight="1">
      <c r="A69" s="323"/>
      <c r="B69" s="409"/>
      <c r="C69" s="325"/>
      <c r="D69" s="326"/>
      <c r="E69" s="330"/>
      <c r="F69" s="331"/>
      <c r="G69" s="332"/>
      <c r="H69" s="359"/>
    </row>
    <row r="70" spans="1:8" ht="16.5" customHeight="1">
      <c r="A70" s="322" t="s">
        <v>852</v>
      </c>
      <c r="B70" s="408" t="s">
        <v>848</v>
      </c>
      <c r="C70" s="341" t="s">
        <v>850</v>
      </c>
      <c r="D70" s="326">
        <v>330000</v>
      </c>
      <c r="E70" s="327" t="s">
        <v>854</v>
      </c>
      <c r="F70" s="345"/>
      <c r="G70" s="346"/>
      <c r="H70" s="360"/>
    </row>
    <row r="71" spans="1:8" ht="16.5" customHeight="1">
      <c r="A71" s="323"/>
      <c r="B71" s="409"/>
      <c r="C71" s="352"/>
      <c r="D71" s="326"/>
      <c r="E71" s="347"/>
      <c r="F71" s="348"/>
      <c r="G71" s="349"/>
      <c r="H71" s="359"/>
    </row>
    <row r="72" spans="1:8" ht="16.5" customHeight="1">
      <c r="A72" s="322" t="s">
        <v>902</v>
      </c>
      <c r="B72" s="408" t="s">
        <v>853</v>
      </c>
      <c r="C72" s="324"/>
      <c r="D72" s="326">
        <v>37000</v>
      </c>
      <c r="E72" s="327"/>
      <c r="F72" s="328"/>
      <c r="G72" s="329"/>
      <c r="H72" s="360" t="s">
        <v>855</v>
      </c>
    </row>
    <row r="73" spans="1:8" ht="16.5" customHeight="1">
      <c r="A73" s="323"/>
      <c r="B73" s="409"/>
      <c r="C73" s="325"/>
      <c r="D73" s="326"/>
      <c r="E73" s="330"/>
      <c r="F73" s="331"/>
      <c r="G73" s="332"/>
      <c r="H73" s="359"/>
    </row>
    <row r="74" spans="1:8" ht="16.5" customHeight="1">
      <c r="A74" s="322" t="s">
        <v>856</v>
      </c>
      <c r="B74" s="408" t="s">
        <v>857</v>
      </c>
      <c r="C74" s="324" t="s">
        <v>859</v>
      </c>
      <c r="D74" s="343">
        <v>837000</v>
      </c>
      <c r="E74" s="327" t="s">
        <v>858</v>
      </c>
      <c r="F74" s="328"/>
      <c r="G74" s="329"/>
      <c r="H74" s="338" t="s">
        <v>910</v>
      </c>
    </row>
    <row r="75" spans="1:8" ht="16.5" customHeight="1">
      <c r="A75" s="323"/>
      <c r="B75" s="409"/>
      <c r="C75" s="325"/>
      <c r="D75" s="344"/>
      <c r="E75" s="330"/>
      <c r="F75" s="331"/>
      <c r="G75" s="332"/>
      <c r="H75" s="333"/>
    </row>
    <row r="76" spans="1:8" ht="16.5" customHeight="1">
      <c r="A76" s="322" t="s">
        <v>903</v>
      </c>
      <c r="B76" s="408" t="s">
        <v>860</v>
      </c>
      <c r="C76" s="324" t="s">
        <v>863</v>
      </c>
      <c r="D76" s="343">
        <v>1030000</v>
      </c>
      <c r="E76" s="327" t="s">
        <v>861</v>
      </c>
      <c r="F76" s="328"/>
      <c r="G76" s="329"/>
      <c r="H76" s="359" t="s">
        <v>862</v>
      </c>
    </row>
    <row r="77" spans="1:8" ht="16.5" customHeight="1">
      <c r="A77" s="323"/>
      <c r="B77" s="409"/>
      <c r="C77" s="325"/>
      <c r="D77" s="344"/>
      <c r="E77" s="330"/>
      <c r="F77" s="331"/>
      <c r="G77" s="332"/>
      <c r="H77" s="359"/>
    </row>
    <row r="78" spans="1:8" ht="16.5" customHeight="1">
      <c r="A78" s="322" t="s">
        <v>864</v>
      </c>
      <c r="B78" s="408" t="s">
        <v>865</v>
      </c>
      <c r="C78" s="324" t="s">
        <v>866</v>
      </c>
      <c r="D78" s="343">
        <v>110000</v>
      </c>
      <c r="E78" s="327" t="s">
        <v>867</v>
      </c>
      <c r="F78" s="328"/>
      <c r="G78" s="329"/>
      <c r="H78" s="359" t="s">
        <v>869</v>
      </c>
    </row>
    <row r="79" spans="1:8" ht="16.5" customHeight="1">
      <c r="A79" s="323"/>
      <c r="B79" s="409"/>
      <c r="C79" s="325"/>
      <c r="D79" s="344"/>
      <c r="E79" s="330"/>
      <c r="F79" s="331"/>
      <c r="G79" s="332"/>
      <c r="H79" s="359"/>
    </row>
    <row r="80" spans="1:8" ht="16.5" customHeight="1">
      <c r="A80" s="322" t="s">
        <v>904</v>
      </c>
      <c r="B80" s="410" t="s">
        <v>868</v>
      </c>
      <c r="C80" s="341"/>
      <c r="D80" s="326">
        <v>77000</v>
      </c>
      <c r="E80" s="327" t="s">
        <v>870</v>
      </c>
      <c r="F80" s="345"/>
      <c r="G80" s="346"/>
      <c r="H80" s="359" t="s">
        <v>869</v>
      </c>
    </row>
    <row r="81" spans="1:8" ht="16.5" customHeight="1">
      <c r="A81" s="323"/>
      <c r="B81" s="411"/>
      <c r="C81" s="352"/>
      <c r="D81" s="326"/>
      <c r="E81" s="347"/>
      <c r="F81" s="348"/>
      <c r="G81" s="349"/>
      <c r="H81" s="359"/>
    </row>
    <row r="82" spans="1:8" ht="16.5" customHeight="1">
      <c r="A82" s="322" t="s">
        <v>904</v>
      </c>
      <c r="B82" s="408" t="s">
        <v>871</v>
      </c>
      <c r="C82" s="324" t="s">
        <v>873</v>
      </c>
      <c r="D82" s="326">
        <v>460000</v>
      </c>
      <c r="E82" s="327" t="s">
        <v>872</v>
      </c>
      <c r="F82" s="328"/>
      <c r="G82" s="329"/>
      <c r="H82" s="359" t="s">
        <v>145</v>
      </c>
    </row>
    <row r="83" spans="1:8" ht="16.5" customHeight="1">
      <c r="A83" s="323"/>
      <c r="B83" s="409"/>
      <c r="C83" s="325"/>
      <c r="D83" s="326"/>
      <c r="E83" s="330"/>
      <c r="F83" s="331"/>
      <c r="G83" s="332"/>
      <c r="H83" s="359"/>
    </row>
    <row r="84" spans="1:8" ht="16.5" customHeight="1">
      <c r="A84" s="322" t="s">
        <v>874</v>
      </c>
      <c r="B84" s="408" t="s">
        <v>875</v>
      </c>
      <c r="C84" s="325"/>
      <c r="D84" s="326">
        <v>40000</v>
      </c>
      <c r="E84" s="327"/>
      <c r="F84" s="345"/>
      <c r="G84" s="346"/>
      <c r="H84" s="359" t="s">
        <v>879</v>
      </c>
    </row>
    <row r="85" spans="1:8" ht="16.5" customHeight="1">
      <c r="A85" s="323"/>
      <c r="B85" s="409"/>
      <c r="C85" s="325"/>
      <c r="D85" s="326"/>
      <c r="E85" s="347"/>
      <c r="F85" s="348"/>
      <c r="G85" s="349"/>
      <c r="H85" s="359"/>
    </row>
    <row r="86" spans="1:8" ht="16.5" customHeight="1">
      <c r="A86" s="322" t="s">
        <v>905</v>
      </c>
      <c r="B86" s="408" t="s">
        <v>876</v>
      </c>
      <c r="C86" s="324"/>
      <c r="D86" s="326">
        <v>560000</v>
      </c>
      <c r="E86" s="327" t="s">
        <v>877</v>
      </c>
      <c r="F86" s="328"/>
      <c r="G86" s="329"/>
      <c r="H86" s="400" t="s">
        <v>878</v>
      </c>
    </row>
    <row r="87" spans="1:8" ht="35.25" customHeight="1">
      <c r="A87" s="323"/>
      <c r="B87" s="409"/>
      <c r="C87" s="325"/>
      <c r="D87" s="326"/>
      <c r="E87" s="330"/>
      <c r="F87" s="331"/>
      <c r="G87" s="332"/>
      <c r="H87" s="401"/>
    </row>
    <row r="88" spans="1:8" ht="16.5" customHeight="1">
      <c r="A88" s="322"/>
      <c r="B88" s="460" t="s">
        <v>958</v>
      </c>
      <c r="C88" s="461"/>
      <c r="D88" s="461"/>
      <c r="E88" s="461"/>
      <c r="F88" s="461"/>
      <c r="G88" s="462"/>
      <c r="H88" s="360"/>
    </row>
    <row r="89" spans="1:8" ht="45.75" customHeight="1">
      <c r="A89" s="323"/>
      <c r="B89" s="463"/>
      <c r="C89" s="464"/>
      <c r="D89" s="464"/>
      <c r="E89" s="464"/>
      <c r="F89" s="464"/>
      <c r="G89" s="465"/>
      <c r="H89" s="359"/>
    </row>
    <row r="90" spans="1:8" ht="16.5" customHeight="1">
      <c r="A90" s="335" t="s">
        <v>880</v>
      </c>
      <c r="B90" s="458" t="s">
        <v>881</v>
      </c>
      <c r="C90" s="325" t="s">
        <v>885</v>
      </c>
      <c r="D90" s="326">
        <v>400000</v>
      </c>
      <c r="E90" s="327" t="s">
        <v>886</v>
      </c>
      <c r="F90" s="328"/>
      <c r="G90" s="329"/>
      <c r="H90" s="360" t="s">
        <v>887</v>
      </c>
    </row>
    <row r="91" spans="1:8" ht="16.5" customHeight="1">
      <c r="A91" s="340"/>
      <c r="B91" s="459"/>
      <c r="C91" s="325"/>
      <c r="D91" s="326"/>
      <c r="E91" s="330"/>
      <c r="F91" s="331"/>
      <c r="G91" s="332"/>
      <c r="H91" s="359"/>
    </row>
    <row r="92" spans="1:8" ht="16.5" customHeight="1">
      <c r="A92" s="335" t="s">
        <v>906</v>
      </c>
      <c r="B92" s="458" t="s">
        <v>882</v>
      </c>
      <c r="C92" s="324" t="s">
        <v>883</v>
      </c>
      <c r="D92" s="326">
        <v>520000</v>
      </c>
      <c r="E92" s="327" t="s">
        <v>907</v>
      </c>
      <c r="F92" s="328"/>
      <c r="G92" s="329"/>
      <c r="H92" s="359" t="s">
        <v>145</v>
      </c>
    </row>
    <row r="93" spans="1:8" ht="16.5" customHeight="1">
      <c r="A93" s="340"/>
      <c r="B93" s="459"/>
      <c r="C93" s="325"/>
      <c r="D93" s="326"/>
      <c r="E93" s="330"/>
      <c r="F93" s="331"/>
      <c r="G93" s="332"/>
      <c r="H93" s="359"/>
    </row>
    <row r="94" spans="1:8" ht="16.5" customHeight="1">
      <c r="A94" s="335" t="s">
        <v>906</v>
      </c>
      <c r="B94" s="458" t="s">
        <v>884</v>
      </c>
      <c r="C94" s="324"/>
      <c r="D94" s="326">
        <v>50000</v>
      </c>
      <c r="E94" s="327" t="s">
        <v>908</v>
      </c>
      <c r="F94" s="328"/>
      <c r="G94" s="329"/>
      <c r="H94" s="359" t="s">
        <v>909</v>
      </c>
    </row>
    <row r="95" spans="1:8" ht="16.5" customHeight="1">
      <c r="A95" s="340"/>
      <c r="B95" s="459"/>
      <c r="C95" s="325"/>
      <c r="D95" s="326"/>
      <c r="E95" s="330"/>
      <c r="F95" s="331"/>
      <c r="G95" s="332"/>
      <c r="H95" s="359"/>
    </row>
    <row r="96" spans="1:8" ht="16.5" customHeight="1">
      <c r="A96" s="335" t="s">
        <v>906</v>
      </c>
      <c r="B96" s="466" t="s">
        <v>911</v>
      </c>
      <c r="C96" s="341"/>
      <c r="D96" s="343">
        <v>20000</v>
      </c>
      <c r="E96" s="327" t="s">
        <v>912</v>
      </c>
      <c r="F96" s="345"/>
      <c r="G96" s="346"/>
      <c r="H96" s="359" t="s">
        <v>913</v>
      </c>
    </row>
    <row r="97" spans="1:12" ht="16.5" customHeight="1">
      <c r="A97" s="340"/>
      <c r="B97" s="467"/>
      <c r="C97" s="352"/>
      <c r="D97" s="344"/>
      <c r="E97" s="347"/>
      <c r="F97" s="348"/>
      <c r="G97" s="349"/>
      <c r="H97" s="359"/>
    </row>
    <row r="98" spans="1:12" ht="16.5" customHeight="1">
      <c r="A98" s="322" t="s">
        <v>914</v>
      </c>
      <c r="B98" s="458" t="s">
        <v>915</v>
      </c>
      <c r="C98" s="324" t="s">
        <v>928</v>
      </c>
      <c r="D98" s="343">
        <v>900000</v>
      </c>
      <c r="E98" s="327" t="s">
        <v>930</v>
      </c>
      <c r="F98" s="328"/>
      <c r="G98" s="329"/>
      <c r="H98" s="360" t="s">
        <v>916</v>
      </c>
      <c r="L98" s="23"/>
    </row>
    <row r="99" spans="1:12" ht="45.75" customHeight="1">
      <c r="A99" s="323"/>
      <c r="B99" s="459"/>
      <c r="C99" s="325"/>
      <c r="D99" s="344"/>
      <c r="E99" s="330"/>
      <c r="F99" s="331"/>
      <c r="G99" s="332"/>
      <c r="H99" s="359"/>
    </row>
    <row r="100" spans="1:12" ht="16.5" customHeight="1">
      <c r="A100" s="322" t="s">
        <v>931</v>
      </c>
      <c r="B100" s="458" t="s">
        <v>917</v>
      </c>
      <c r="C100" s="325" t="s">
        <v>927</v>
      </c>
      <c r="D100" s="326">
        <v>1800000</v>
      </c>
      <c r="E100" s="327" t="s">
        <v>929</v>
      </c>
      <c r="F100" s="328"/>
      <c r="G100" s="329"/>
      <c r="H100" s="360" t="s">
        <v>916</v>
      </c>
    </row>
    <row r="101" spans="1:12" ht="24.75" customHeight="1">
      <c r="A101" s="323"/>
      <c r="B101" s="459"/>
      <c r="C101" s="325"/>
      <c r="D101" s="326"/>
      <c r="E101" s="330"/>
      <c r="F101" s="331"/>
      <c r="G101" s="332"/>
      <c r="H101" s="359"/>
    </row>
    <row r="102" spans="1:12" ht="16.5" customHeight="1">
      <c r="A102" s="322" t="s">
        <v>931</v>
      </c>
      <c r="B102" s="458" t="s">
        <v>918</v>
      </c>
      <c r="C102" s="325" t="s">
        <v>924</v>
      </c>
      <c r="D102" s="326">
        <v>450000</v>
      </c>
      <c r="E102" s="327" t="s">
        <v>923</v>
      </c>
      <c r="F102" s="328"/>
      <c r="G102" s="329"/>
      <c r="H102" s="360" t="s">
        <v>145</v>
      </c>
    </row>
    <row r="103" spans="1:12" ht="16.5" customHeight="1">
      <c r="A103" s="323"/>
      <c r="B103" s="459"/>
      <c r="C103" s="325"/>
      <c r="D103" s="326"/>
      <c r="E103" s="330"/>
      <c r="F103" s="331"/>
      <c r="G103" s="332"/>
      <c r="H103" s="359"/>
    </row>
    <row r="104" spans="1:12" ht="16.5" customHeight="1">
      <c r="A104" s="322" t="s">
        <v>931</v>
      </c>
      <c r="B104" s="466" t="s">
        <v>919</v>
      </c>
      <c r="C104" s="341" t="s">
        <v>925</v>
      </c>
      <c r="D104" s="343">
        <v>120000</v>
      </c>
      <c r="E104" s="327" t="s">
        <v>922</v>
      </c>
      <c r="F104" s="328"/>
      <c r="G104" s="329"/>
      <c r="H104" s="360" t="s">
        <v>145</v>
      </c>
    </row>
    <row r="105" spans="1:12" ht="16.5" customHeight="1">
      <c r="A105" s="323"/>
      <c r="B105" s="467"/>
      <c r="C105" s="352"/>
      <c r="D105" s="344"/>
      <c r="E105" s="330"/>
      <c r="F105" s="331"/>
      <c r="G105" s="332"/>
      <c r="H105" s="359"/>
    </row>
    <row r="106" spans="1:12" ht="16.5" customHeight="1">
      <c r="A106" s="322" t="s">
        <v>931</v>
      </c>
      <c r="B106" s="466" t="s">
        <v>920</v>
      </c>
      <c r="C106" s="341" t="s">
        <v>926</v>
      </c>
      <c r="D106" s="343">
        <v>100000</v>
      </c>
      <c r="E106" s="327" t="s">
        <v>921</v>
      </c>
      <c r="F106" s="345"/>
      <c r="G106" s="346"/>
      <c r="H106" s="360" t="s">
        <v>145</v>
      </c>
    </row>
    <row r="107" spans="1:12" ht="16.5" customHeight="1">
      <c r="A107" s="323"/>
      <c r="B107" s="467"/>
      <c r="C107" s="352"/>
      <c r="D107" s="344"/>
      <c r="E107" s="347"/>
      <c r="F107" s="348"/>
      <c r="G107" s="349"/>
      <c r="H107" s="359"/>
    </row>
    <row r="108" spans="1:12" ht="16.5" customHeight="1">
      <c r="A108" s="322" t="s">
        <v>936</v>
      </c>
      <c r="B108" s="458" t="s">
        <v>937</v>
      </c>
      <c r="C108" s="324" t="s">
        <v>928</v>
      </c>
      <c r="D108" s="326">
        <v>420000</v>
      </c>
      <c r="E108" s="327" t="s">
        <v>938</v>
      </c>
      <c r="F108" s="328"/>
      <c r="G108" s="329"/>
      <c r="H108" s="360" t="s">
        <v>145</v>
      </c>
    </row>
    <row r="109" spans="1:12" ht="16.5" customHeight="1">
      <c r="A109" s="323"/>
      <c r="B109" s="459"/>
      <c r="C109" s="325"/>
      <c r="D109" s="326"/>
      <c r="E109" s="330"/>
      <c r="F109" s="331"/>
      <c r="G109" s="332"/>
      <c r="H109" s="359"/>
    </row>
    <row r="110" spans="1:12" ht="16.5" customHeight="1">
      <c r="A110" s="322" t="s">
        <v>936</v>
      </c>
      <c r="B110" s="458" t="s">
        <v>941</v>
      </c>
      <c r="C110" s="324" t="s">
        <v>942</v>
      </c>
      <c r="D110" s="343">
        <v>350000</v>
      </c>
      <c r="E110" s="327" t="s">
        <v>940</v>
      </c>
      <c r="F110" s="328"/>
      <c r="G110" s="329"/>
      <c r="H110" s="360" t="s">
        <v>145</v>
      </c>
    </row>
    <row r="111" spans="1:12" ht="36.75" customHeight="1">
      <c r="A111" s="323"/>
      <c r="B111" s="459"/>
      <c r="C111" s="325"/>
      <c r="D111" s="344"/>
      <c r="E111" s="330"/>
      <c r="F111" s="331"/>
      <c r="G111" s="332"/>
      <c r="H111" s="359"/>
    </row>
    <row r="112" spans="1:12">
      <c r="A112" s="322" t="s">
        <v>936</v>
      </c>
      <c r="B112" s="458" t="s">
        <v>943</v>
      </c>
      <c r="C112" s="325"/>
      <c r="D112" s="343">
        <v>440000</v>
      </c>
      <c r="E112" s="337" t="s">
        <v>944</v>
      </c>
      <c r="F112" s="326"/>
      <c r="G112" s="326"/>
      <c r="H112" s="360" t="s">
        <v>939</v>
      </c>
    </row>
    <row r="113" spans="1:8">
      <c r="A113" s="323"/>
      <c r="B113" s="459"/>
      <c r="C113" s="325"/>
      <c r="D113" s="344"/>
      <c r="E113" s="326"/>
      <c r="F113" s="326"/>
      <c r="G113" s="326"/>
      <c r="H113" s="359"/>
    </row>
    <row r="114" spans="1:8">
      <c r="A114" s="322" t="s">
        <v>945</v>
      </c>
      <c r="B114" s="458" t="s">
        <v>946</v>
      </c>
      <c r="C114" s="324" t="s">
        <v>947</v>
      </c>
      <c r="D114" s="343">
        <v>120000</v>
      </c>
      <c r="E114" s="337" t="s">
        <v>948</v>
      </c>
      <c r="F114" s="326"/>
      <c r="G114" s="326"/>
      <c r="H114" s="359" t="s">
        <v>949</v>
      </c>
    </row>
    <row r="115" spans="1:8">
      <c r="A115" s="323"/>
      <c r="B115" s="459"/>
      <c r="C115" s="325"/>
      <c r="D115" s="344"/>
      <c r="E115" s="326"/>
      <c r="F115" s="326"/>
      <c r="G115" s="326"/>
      <c r="H115" s="359"/>
    </row>
    <row r="116" spans="1:8">
      <c r="A116" s="322" t="s">
        <v>950</v>
      </c>
      <c r="B116" s="468" t="s">
        <v>951</v>
      </c>
      <c r="C116" s="325"/>
      <c r="D116" s="343">
        <v>390000</v>
      </c>
      <c r="E116" s="337"/>
      <c r="F116" s="326"/>
      <c r="G116" s="326"/>
      <c r="H116" s="359" t="s">
        <v>145</v>
      </c>
    </row>
    <row r="117" spans="1:8">
      <c r="A117" s="323"/>
      <c r="B117" s="469"/>
      <c r="C117" s="325"/>
      <c r="D117" s="344"/>
      <c r="E117" s="326"/>
      <c r="F117" s="326"/>
      <c r="G117" s="326"/>
      <c r="H117" s="359"/>
    </row>
    <row r="118" spans="1:8">
      <c r="A118" s="322" t="s">
        <v>950</v>
      </c>
      <c r="B118" s="468" t="s">
        <v>952</v>
      </c>
      <c r="C118" s="325" t="s">
        <v>957</v>
      </c>
      <c r="D118" s="343">
        <v>330000</v>
      </c>
      <c r="E118" s="337" t="s">
        <v>953</v>
      </c>
      <c r="F118" s="326"/>
      <c r="G118" s="326"/>
      <c r="H118" s="359" t="s">
        <v>145</v>
      </c>
    </row>
    <row r="119" spans="1:8">
      <c r="A119" s="323"/>
      <c r="B119" s="469"/>
      <c r="C119" s="325"/>
      <c r="D119" s="344"/>
      <c r="E119" s="326"/>
      <c r="F119" s="326"/>
      <c r="G119" s="326"/>
      <c r="H119" s="359"/>
    </row>
    <row r="120" spans="1:8">
      <c r="A120" s="322" t="s">
        <v>950</v>
      </c>
      <c r="B120" s="468" t="s">
        <v>955</v>
      </c>
      <c r="C120" s="325" t="s">
        <v>956</v>
      </c>
      <c r="D120" s="326">
        <v>210000</v>
      </c>
      <c r="E120" s="337" t="s">
        <v>954</v>
      </c>
      <c r="F120" s="326"/>
      <c r="G120" s="326"/>
      <c r="H120" s="359" t="s">
        <v>145</v>
      </c>
    </row>
    <row r="121" spans="1:8">
      <c r="A121" s="323"/>
      <c r="B121" s="469"/>
      <c r="C121" s="325"/>
      <c r="D121" s="326"/>
      <c r="E121" s="326"/>
      <c r="F121" s="326"/>
      <c r="G121" s="326"/>
      <c r="H121" s="359"/>
    </row>
    <row r="122" spans="1:8" ht="45.75" customHeight="1">
      <c r="A122" s="323"/>
      <c r="B122" s="472" t="s">
        <v>1004</v>
      </c>
      <c r="C122" s="473"/>
      <c r="D122" s="473"/>
      <c r="E122" s="473"/>
      <c r="F122" s="473"/>
      <c r="G122" s="474"/>
      <c r="H122" s="338"/>
    </row>
    <row r="123" spans="1:8">
      <c r="A123" s="323"/>
      <c r="B123" s="475"/>
      <c r="C123" s="476"/>
      <c r="D123" s="476"/>
      <c r="E123" s="476"/>
      <c r="F123" s="476"/>
      <c r="G123" s="477"/>
      <c r="H123" s="333"/>
    </row>
    <row r="124" spans="1:8">
      <c r="A124" s="322" t="s">
        <v>960</v>
      </c>
      <c r="B124" s="478" t="s">
        <v>961</v>
      </c>
      <c r="C124" s="325"/>
      <c r="D124" s="326">
        <v>210000</v>
      </c>
      <c r="E124" s="337" t="s">
        <v>971</v>
      </c>
      <c r="F124" s="326"/>
      <c r="G124" s="326"/>
      <c r="H124" s="360" t="s">
        <v>972</v>
      </c>
    </row>
    <row r="125" spans="1:8">
      <c r="A125" s="323"/>
      <c r="B125" s="479"/>
      <c r="C125" s="325"/>
      <c r="D125" s="326"/>
      <c r="E125" s="326"/>
      <c r="F125" s="326"/>
      <c r="G125" s="326"/>
      <c r="H125" s="359"/>
    </row>
    <row r="126" spans="1:8">
      <c r="A126" s="322" t="s">
        <v>978</v>
      </c>
      <c r="B126" s="470" t="s">
        <v>976</v>
      </c>
      <c r="C126" s="353"/>
      <c r="D126" s="343">
        <v>64000</v>
      </c>
      <c r="E126" s="327" t="s">
        <v>970</v>
      </c>
      <c r="F126" s="345"/>
      <c r="G126" s="346"/>
      <c r="H126" s="359" t="s">
        <v>973</v>
      </c>
    </row>
    <row r="127" spans="1:8">
      <c r="A127" s="323"/>
      <c r="B127" s="471"/>
      <c r="C127" s="352"/>
      <c r="D127" s="344"/>
      <c r="E127" s="347"/>
      <c r="F127" s="348"/>
      <c r="G127" s="349"/>
      <c r="H127" s="359"/>
    </row>
    <row r="128" spans="1:8">
      <c r="A128" s="322" t="s">
        <v>978</v>
      </c>
      <c r="B128" s="478" t="s">
        <v>975</v>
      </c>
      <c r="C128" s="324" t="s">
        <v>928</v>
      </c>
      <c r="D128" s="326">
        <v>80000</v>
      </c>
      <c r="E128" s="337" t="s">
        <v>969</v>
      </c>
      <c r="F128" s="326"/>
      <c r="G128" s="326"/>
      <c r="H128" s="360" t="s">
        <v>974</v>
      </c>
    </row>
    <row r="129" spans="1:8">
      <c r="A129" s="323"/>
      <c r="B129" s="479"/>
      <c r="C129" s="325"/>
      <c r="D129" s="326"/>
      <c r="E129" s="326"/>
      <c r="F129" s="326"/>
      <c r="G129" s="326"/>
      <c r="H129" s="359"/>
    </row>
    <row r="130" spans="1:8">
      <c r="A130" s="322" t="s">
        <v>978</v>
      </c>
      <c r="B130" s="478" t="s">
        <v>962</v>
      </c>
      <c r="C130" s="325" t="s">
        <v>965</v>
      </c>
      <c r="D130" s="326">
        <v>300000</v>
      </c>
      <c r="E130" s="337" t="s">
        <v>964</v>
      </c>
      <c r="F130" s="326"/>
      <c r="G130" s="326"/>
      <c r="H130" s="360" t="s">
        <v>963</v>
      </c>
    </row>
    <row r="131" spans="1:8">
      <c r="A131" s="323"/>
      <c r="B131" s="479"/>
      <c r="C131" s="325"/>
      <c r="D131" s="326"/>
      <c r="E131" s="326"/>
      <c r="F131" s="326"/>
      <c r="G131" s="326"/>
      <c r="H131" s="359"/>
    </row>
    <row r="132" spans="1:8">
      <c r="A132" s="322" t="s">
        <v>978</v>
      </c>
      <c r="B132" s="478" t="s">
        <v>967</v>
      </c>
      <c r="C132" s="325" t="s">
        <v>966</v>
      </c>
      <c r="D132" s="326">
        <v>180000</v>
      </c>
      <c r="E132" s="337" t="s">
        <v>968</v>
      </c>
      <c r="F132" s="326"/>
      <c r="G132" s="326"/>
      <c r="H132" s="360" t="s">
        <v>974</v>
      </c>
    </row>
    <row r="133" spans="1:8">
      <c r="A133" s="323"/>
      <c r="B133" s="479"/>
      <c r="C133" s="325"/>
      <c r="D133" s="326"/>
      <c r="E133" s="326"/>
      <c r="F133" s="326"/>
      <c r="G133" s="326"/>
      <c r="H133" s="359"/>
    </row>
    <row r="134" spans="1:8" ht="16.5" customHeight="1">
      <c r="A134" s="322" t="s">
        <v>978</v>
      </c>
      <c r="B134" s="470" t="s">
        <v>976</v>
      </c>
      <c r="C134" s="324"/>
      <c r="D134" s="326">
        <v>58000</v>
      </c>
      <c r="E134" s="327" t="s">
        <v>995</v>
      </c>
      <c r="F134" s="328"/>
      <c r="G134" s="329"/>
      <c r="H134" s="359" t="s">
        <v>977</v>
      </c>
    </row>
    <row r="135" spans="1:8">
      <c r="A135" s="323"/>
      <c r="B135" s="471"/>
      <c r="C135" s="325"/>
      <c r="D135" s="326"/>
      <c r="E135" s="330"/>
      <c r="F135" s="331"/>
      <c r="G135" s="332"/>
      <c r="H135" s="359"/>
    </row>
    <row r="136" spans="1:8" ht="16.5" customHeight="1">
      <c r="A136" s="322" t="s">
        <v>979</v>
      </c>
      <c r="B136" s="470" t="s">
        <v>980</v>
      </c>
      <c r="C136" s="353" t="s">
        <v>981</v>
      </c>
      <c r="D136" s="343">
        <v>360000</v>
      </c>
      <c r="E136" s="327" t="s">
        <v>982</v>
      </c>
      <c r="F136" s="345"/>
      <c r="G136" s="346"/>
      <c r="H136" s="359" t="s">
        <v>145</v>
      </c>
    </row>
    <row r="137" spans="1:8">
      <c r="A137" s="323"/>
      <c r="B137" s="480"/>
      <c r="C137" s="352"/>
      <c r="D137" s="344"/>
      <c r="E137" s="347"/>
      <c r="F137" s="348"/>
      <c r="G137" s="349"/>
      <c r="H137" s="359"/>
    </row>
    <row r="138" spans="1:8">
      <c r="A138" s="322" t="s">
        <v>979</v>
      </c>
      <c r="B138" s="478" t="s">
        <v>983</v>
      </c>
      <c r="C138" s="324"/>
      <c r="D138" s="326">
        <v>40000</v>
      </c>
      <c r="E138" s="337"/>
      <c r="F138" s="326"/>
      <c r="G138" s="326"/>
      <c r="H138" s="359" t="s">
        <v>145</v>
      </c>
    </row>
    <row r="139" spans="1:8">
      <c r="A139" s="323"/>
      <c r="B139" s="479"/>
      <c r="C139" s="325"/>
      <c r="D139" s="326"/>
      <c r="E139" s="326"/>
      <c r="F139" s="326"/>
      <c r="G139" s="326"/>
      <c r="H139" s="359"/>
    </row>
    <row r="140" spans="1:8">
      <c r="A140" s="322" t="s">
        <v>979</v>
      </c>
      <c r="B140" s="470" t="s">
        <v>984</v>
      </c>
      <c r="C140" s="324"/>
      <c r="D140" s="326">
        <v>5000</v>
      </c>
      <c r="E140" s="327"/>
      <c r="F140" s="328"/>
      <c r="G140" s="329"/>
      <c r="H140" s="359" t="s">
        <v>145</v>
      </c>
    </row>
    <row r="141" spans="1:8">
      <c r="A141" s="323"/>
      <c r="B141" s="471"/>
      <c r="C141" s="325"/>
      <c r="D141" s="326"/>
      <c r="E141" s="330"/>
      <c r="F141" s="331"/>
      <c r="G141" s="332"/>
      <c r="H141" s="359"/>
    </row>
    <row r="142" spans="1:8">
      <c r="A142" s="322" t="s">
        <v>979</v>
      </c>
      <c r="B142" s="478" t="s">
        <v>985</v>
      </c>
      <c r="C142" s="324"/>
      <c r="D142" s="326">
        <v>147000</v>
      </c>
      <c r="E142" s="327" t="s">
        <v>986</v>
      </c>
      <c r="F142" s="328"/>
      <c r="G142" s="329"/>
      <c r="H142" s="359" t="s">
        <v>145</v>
      </c>
    </row>
    <row r="143" spans="1:8">
      <c r="A143" s="323"/>
      <c r="B143" s="479"/>
      <c r="C143" s="325"/>
      <c r="D143" s="326"/>
      <c r="E143" s="330"/>
      <c r="F143" s="331"/>
      <c r="G143" s="332"/>
      <c r="H143" s="359"/>
    </row>
    <row r="144" spans="1:8">
      <c r="A144" s="322" t="s">
        <v>987</v>
      </c>
      <c r="B144" s="478" t="s">
        <v>988</v>
      </c>
      <c r="C144" s="325" t="s">
        <v>927</v>
      </c>
      <c r="D144" s="326">
        <v>400000</v>
      </c>
      <c r="E144" s="337" t="s">
        <v>989</v>
      </c>
      <c r="F144" s="326"/>
      <c r="G144" s="326"/>
      <c r="H144" s="359" t="s">
        <v>145</v>
      </c>
    </row>
    <row r="145" spans="1:9">
      <c r="A145" s="323"/>
      <c r="B145" s="479"/>
      <c r="C145" s="325"/>
      <c r="D145" s="326"/>
      <c r="E145" s="326"/>
      <c r="F145" s="326"/>
      <c r="G145" s="326"/>
      <c r="H145" s="359"/>
    </row>
    <row r="146" spans="1:9">
      <c r="A146" s="322" t="s">
        <v>993</v>
      </c>
      <c r="B146" s="478" t="s">
        <v>990</v>
      </c>
      <c r="C146" s="325" t="s">
        <v>991</v>
      </c>
      <c r="D146" s="326">
        <v>455000</v>
      </c>
      <c r="E146" s="337" t="s">
        <v>992</v>
      </c>
      <c r="F146" s="326"/>
      <c r="G146" s="326"/>
      <c r="H146" s="360" t="s">
        <v>994</v>
      </c>
    </row>
    <row r="147" spans="1:9">
      <c r="A147" s="323"/>
      <c r="B147" s="479"/>
      <c r="C147" s="325"/>
      <c r="D147" s="326"/>
      <c r="E147" s="326"/>
      <c r="F147" s="326"/>
      <c r="G147" s="326"/>
      <c r="H147" s="359"/>
    </row>
    <row r="148" spans="1:9">
      <c r="A148" s="322">
        <v>45015</v>
      </c>
      <c r="B148" s="478"/>
      <c r="C148" s="324"/>
      <c r="D148" s="326">
        <v>10000</v>
      </c>
      <c r="E148" s="327" t="s">
        <v>996</v>
      </c>
      <c r="F148" s="328"/>
      <c r="G148" s="329"/>
      <c r="H148" s="359" t="s">
        <v>997</v>
      </c>
    </row>
    <row r="149" spans="1:9">
      <c r="A149" s="323"/>
      <c r="B149" s="479"/>
      <c r="C149" s="325"/>
      <c r="D149" s="326"/>
      <c r="E149" s="330"/>
      <c r="F149" s="331"/>
      <c r="G149" s="332"/>
      <c r="H149" s="359"/>
    </row>
    <row r="150" spans="1:9">
      <c r="A150" s="322" t="s">
        <v>1000</v>
      </c>
      <c r="B150" s="478" t="s">
        <v>1001</v>
      </c>
      <c r="C150" s="324"/>
      <c r="D150" s="326">
        <v>130000</v>
      </c>
      <c r="E150" s="337" t="s">
        <v>1002</v>
      </c>
      <c r="F150" s="326"/>
      <c r="G150" s="326"/>
      <c r="H150" s="359" t="s">
        <v>1003</v>
      </c>
    </row>
    <row r="151" spans="1:9">
      <c r="A151" s="323"/>
      <c r="B151" s="479"/>
      <c r="C151" s="325"/>
      <c r="D151" s="326"/>
      <c r="E151" s="326"/>
      <c r="F151" s="326"/>
      <c r="G151" s="326"/>
      <c r="H151" s="359"/>
    </row>
    <row r="152" spans="1:9">
      <c r="A152" s="322"/>
      <c r="B152" s="478"/>
      <c r="C152" s="325"/>
      <c r="D152" s="326"/>
      <c r="E152" s="337"/>
      <c r="F152" s="326"/>
      <c r="G152" s="326"/>
      <c r="H152" s="333"/>
    </row>
    <row r="153" spans="1:9">
      <c r="A153" s="323"/>
      <c r="B153" s="479"/>
      <c r="C153" s="325"/>
      <c r="D153" s="326"/>
      <c r="E153" s="326"/>
      <c r="F153" s="326"/>
      <c r="G153" s="326"/>
      <c r="H153" s="333"/>
    </row>
    <row r="154" spans="1:9">
      <c r="A154" s="481" t="s">
        <v>1005</v>
      </c>
      <c r="B154" s="482"/>
      <c r="C154" s="482"/>
      <c r="D154" s="482"/>
      <c r="E154" s="482"/>
      <c r="F154" s="482"/>
      <c r="G154" s="482"/>
      <c r="H154" s="483"/>
    </row>
    <row r="155" spans="1:9">
      <c r="A155" s="484"/>
      <c r="B155" s="485"/>
      <c r="C155" s="485"/>
      <c r="D155" s="485"/>
      <c r="E155" s="485"/>
      <c r="F155" s="485"/>
      <c r="G155" s="485"/>
      <c r="H155" s="486"/>
    </row>
    <row r="156" spans="1:9">
      <c r="A156" s="484"/>
      <c r="B156" s="485"/>
      <c r="C156" s="485"/>
      <c r="D156" s="485"/>
      <c r="E156" s="485"/>
      <c r="F156" s="485"/>
      <c r="G156" s="485"/>
      <c r="H156" s="486"/>
    </row>
    <row r="157" spans="1:9">
      <c r="A157" s="487"/>
      <c r="B157" s="488"/>
      <c r="C157" s="488"/>
      <c r="D157" s="488"/>
      <c r="E157" s="488"/>
      <c r="F157" s="488"/>
      <c r="G157" s="488"/>
      <c r="H157" s="489"/>
    </row>
    <row r="158" spans="1:9">
      <c r="A158" s="322"/>
      <c r="B158" s="478"/>
      <c r="C158" s="324"/>
      <c r="D158" s="326"/>
      <c r="E158" s="337"/>
      <c r="F158" s="326"/>
      <c r="G158" s="326"/>
      <c r="H158" s="338"/>
    </row>
    <row r="159" spans="1:9">
      <c r="A159" s="323"/>
      <c r="B159" s="479"/>
      <c r="C159" s="325"/>
      <c r="D159" s="326"/>
      <c r="E159" s="326"/>
      <c r="F159" s="326"/>
      <c r="G159" s="326"/>
      <c r="H159" s="333"/>
    </row>
    <row r="160" spans="1:9">
      <c r="A160" s="322"/>
      <c r="B160" s="478"/>
      <c r="C160" s="325"/>
      <c r="D160" s="326"/>
      <c r="E160" s="337"/>
      <c r="F160" s="326"/>
      <c r="G160" s="326"/>
      <c r="H160" s="338"/>
      <c r="I160">
        <v>1959500</v>
      </c>
    </row>
    <row r="161" spans="1:8">
      <c r="A161" s="323"/>
      <c r="B161" s="479"/>
      <c r="C161" s="325"/>
      <c r="D161" s="326"/>
      <c r="E161" s="326"/>
      <c r="F161" s="326"/>
      <c r="G161" s="326"/>
      <c r="H161" s="333"/>
    </row>
    <row r="162" spans="1:8">
      <c r="A162" s="322"/>
      <c r="B162" s="324"/>
      <c r="C162" s="325"/>
      <c r="D162" s="326"/>
      <c r="E162" s="337"/>
      <c r="F162" s="326"/>
      <c r="G162" s="326"/>
      <c r="H162" s="338"/>
    </row>
    <row r="163" spans="1:8">
      <c r="A163" s="323"/>
      <c r="B163" s="325"/>
      <c r="C163" s="325"/>
      <c r="D163" s="326"/>
      <c r="E163" s="326"/>
      <c r="F163" s="326"/>
      <c r="G163" s="326"/>
      <c r="H163" s="333"/>
    </row>
    <row r="164" spans="1:8">
      <c r="A164" s="322"/>
      <c r="B164" s="324"/>
      <c r="C164" s="325"/>
      <c r="D164" s="326"/>
      <c r="E164" s="337"/>
      <c r="F164" s="326"/>
      <c r="G164" s="326"/>
      <c r="H164" s="333"/>
    </row>
    <row r="165" spans="1:8">
      <c r="A165" s="323"/>
      <c r="B165" s="325"/>
      <c r="C165" s="325"/>
      <c r="D165" s="326"/>
      <c r="E165" s="326"/>
      <c r="F165" s="326"/>
      <c r="G165" s="326"/>
      <c r="H165" s="333"/>
    </row>
    <row r="166" spans="1:8" ht="16.5" customHeight="1">
      <c r="A166" s="322"/>
      <c r="B166" s="324"/>
      <c r="C166" s="324"/>
      <c r="D166" s="326"/>
      <c r="E166" s="337"/>
      <c r="F166" s="326"/>
      <c r="G166" s="326"/>
      <c r="H166" s="338"/>
    </row>
    <row r="167" spans="1:8">
      <c r="A167" s="323"/>
      <c r="B167" s="325"/>
      <c r="C167" s="325"/>
      <c r="D167" s="326"/>
      <c r="E167" s="326"/>
      <c r="F167" s="326"/>
      <c r="G167" s="326"/>
      <c r="H167" s="333"/>
    </row>
    <row r="168" spans="1:8">
      <c r="A168" s="322"/>
      <c r="B168" s="324"/>
      <c r="C168" s="325"/>
      <c r="D168" s="326"/>
      <c r="E168" s="337"/>
      <c r="F168" s="326"/>
      <c r="G168" s="326"/>
      <c r="H168" s="333"/>
    </row>
    <row r="169" spans="1:8">
      <c r="A169" s="323"/>
      <c r="B169" s="325"/>
      <c r="C169" s="325"/>
      <c r="D169" s="326"/>
      <c r="E169" s="326"/>
      <c r="F169" s="326"/>
      <c r="G169" s="326"/>
      <c r="H169" s="333"/>
    </row>
    <row r="170" spans="1:8">
      <c r="A170" s="322"/>
      <c r="B170" s="324"/>
      <c r="C170" s="324"/>
      <c r="D170" s="326"/>
      <c r="E170" s="337"/>
      <c r="F170" s="326"/>
      <c r="G170" s="326"/>
      <c r="H170" s="338"/>
    </row>
    <row r="171" spans="1:8">
      <c r="A171" s="323"/>
      <c r="B171" s="325"/>
      <c r="C171" s="325"/>
      <c r="D171" s="326"/>
      <c r="E171" s="326"/>
      <c r="F171" s="326"/>
      <c r="G171" s="326"/>
      <c r="H171" s="333"/>
    </row>
    <row r="172" spans="1:8">
      <c r="A172" s="322"/>
      <c r="B172" s="324"/>
      <c r="C172" s="325"/>
      <c r="D172" s="326"/>
      <c r="E172" s="337"/>
      <c r="F172" s="326"/>
      <c r="G172" s="326"/>
      <c r="H172" s="338"/>
    </row>
    <row r="173" spans="1:8">
      <c r="A173" s="323"/>
      <c r="B173" s="325"/>
      <c r="C173" s="325"/>
      <c r="D173" s="326"/>
      <c r="E173" s="326"/>
      <c r="F173" s="326"/>
      <c r="G173" s="326"/>
      <c r="H173" s="333"/>
    </row>
    <row r="174" spans="1:8">
      <c r="A174" s="323"/>
      <c r="B174" s="324"/>
      <c r="C174" s="325"/>
      <c r="D174" s="326"/>
      <c r="E174" s="337"/>
      <c r="F174" s="326"/>
      <c r="G174" s="326"/>
      <c r="H174" s="333"/>
    </row>
    <row r="175" spans="1:8">
      <c r="A175" s="323"/>
      <c r="B175" s="325"/>
      <c r="C175" s="325"/>
      <c r="D175" s="326"/>
      <c r="E175" s="326"/>
      <c r="F175" s="326"/>
      <c r="G175" s="326"/>
      <c r="H175" s="333"/>
    </row>
    <row r="176" spans="1:8">
      <c r="A176" s="323"/>
      <c r="B176" s="324"/>
      <c r="C176" s="325"/>
      <c r="D176" s="326"/>
      <c r="E176" s="337"/>
      <c r="F176" s="326"/>
      <c r="G176" s="326"/>
      <c r="H176" s="338"/>
    </row>
    <row r="177" spans="1:8">
      <c r="A177" s="323"/>
      <c r="B177" s="325"/>
      <c r="C177" s="325"/>
      <c r="D177" s="326"/>
      <c r="E177" s="326"/>
      <c r="F177" s="326"/>
      <c r="G177" s="326"/>
      <c r="H177" s="333"/>
    </row>
    <row r="178" spans="1:8" ht="16.5" customHeight="1">
      <c r="A178" s="322"/>
      <c r="B178" s="324"/>
      <c r="C178" s="325"/>
      <c r="D178" s="326"/>
      <c r="E178" s="337"/>
      <c r="F178" s="326"/>
      <c r="G178" s="326"/>
      <c r="H178" s="333"/>
    </row>
    <row r="179" spans="1:8">
      <c r="A179" s="323"/>
      <c r="B179" s="325"/>
      <c r="C179" s="325"/>
      <c r="D179" s="326"/>
      <c r="E179" s="326"/>
      <c r="F179" s="326"/>
      <c r="G179" s="326"/>
      <c r="H179" s="333"/>
    </row>
    <row r="180" spans="1:8">
      <c r="A180" s="323"/>
      <c r="B180" s="324"/>
      <c r="C180" s="325"/>
      <c r="D180" s="326"/>
      <c r="E180" s="337"/>
      <c r="F180" s="326"/>
      <c r="G180" s="326"/>
      <c r="H180" s="333"/>
    </row>
    <row r="181" spans="1:8">
      <c r="A181" s="323"/>
      <c r="B181" s="325"/>
      <c r="C181" s="325"/>
      <c r="D181" s="326"/>
      <c r="E181" s="326"/>
      <c r="F181" s="326"/>
      <c r="G181" s="326"/>
      <c r="H181" s="333"/>
    </row>
    <row r="182" spans="1:8">
      <c r="A182" s="323"/>
      <c r="B182" s="325"/>
      <c r="C182" s="325"/>
      <c r="D182" s="326"/>
      <c r="E182" s="337"/>
      <c r="F182" s="326"/>
      <c r="G182" s="326"/>
      <c r="H182" s="333"/>
    </row>
    <row r="183" spans="1:8">
      <c r="A183" s="323"/>
      <c r="B183" s="325"/>
      <c r="C183" s="325"/>
      <c r="D183" s="326"/>
      <c r="E183" s="326"/>
      <c r="F183" s="326"/>
      <c r="G183" s="326"/>
      <c r="H183" s="333"/>
    </row>
    <row r="184" spans="1:8">
      <c r="A184" s="322"/>
      <c r="B184" s="325"/>
      <c r="C184" s="325"/>
      <c r="D184" s="326"/>
      <c r="E184" s="337"/>
      <c r="F184" s="326"/>
      <c r="G184" s="326"/>
      <c r="H184" s="333"/>
    </row>
    <row r="185" spans="1:8">
      <c r="A185" s="323"/>
      <c r="B185" s="325"/>
      <c r="C185" s="325"/>
      <c r="D185" s="326"/>
      <c r="E185" s="326"/>
      <c r="F185" s="326"/>
      <c r="G185" s="326"/>
      <c r="H185" s="333"/>
    </row>
    <row r="186" spans="1:8">
      <c r="A186" s="322"/>
      <c r="B186" s="325"/>
      <c r="C186" s="325"/>
      <c r="D186" s="326"/>
      <c r="E186" s="337"/>
      <c r="F186" s="326"/>
      <c r="G186" s="326"/>
      <c r="H186" s="333"/>
    </row>
    <row r="187" spans="1:8">
      <c r="A187" s="323"/>
      <c r="B187" s="325"/>
      <c r="C187" s="325"/>
      <c r="D187" s="326"/>
      <c r="E187" s="326"/>
      <c r="F187" s="326"/>
      <c r="G187" s="326"/>
      <c r="H187" s="333"/>
    </row>
    <row r="188" spans="1:8">
      <c r="A188" s="322"/>
      <c r="B188" s="324"/>
      <c r="C188" s="325"/>
      <c r="D188" s="326"/>
      <c r="E188" s="337"/>
      <c r="F188" s="326"/>
      <c r="G188" s="326"/>
      <c r="H188" s="333"/>
    </row>
    <row r="189" spans="1:8">
      <c r="A189" s="323"/>
      <c r="B189" s="325"/>
      <c r="C189" s="325"/>
      <c r="D189" s="326"/>
      <c r="E189" s="326"/>
      <c r="F189" s="326"/>
      <c r="G189" s="326"/>
      <c r="H189" s="333"/>
    </row>
    <row r="190" spans="1:8">
      <c r="A190" s="322"/>
      <c r="B190" s="324"/>
      <c r="C190" s="325"/>
      <c r="D190" s="326"/>
      <c r="E190" s="337"/>
      <c r="F190" s="326"/>
      <c r="G190" s="326"/>
      <c r="H190" s="338"/>
    </row>
    <row r="191" spans="1:8" s="30" customFormat="1">
      <c r="A191" s="323"/>
      <c r="B191" s="325"/>
      <c r="C191" s="325"/>
      <c r="D191" s="326"/>
      <c r="E191" s="326"/>
      <c r="F191" s="326"/>
      <c r="G191" s="326"/>
      <c r="H191" s="333"/>
    </row>
    <row r="192" spans="1:8">
      <c r="A192" s="323"/>
      <c r="B192" s="325"/>
      <c r="C192" s="325"/>
      <c r="D192" s="326"/>
      <c r="E192" s="337"/>
      <c r="F192" s="326"/>
      <c r="G192" s="326"/>
      <c r="H192" s="333"/>
    </row>
    <row r="193" spans="1:8">
      <c r="A193" s="323"/>
      <c r="B193" s="325"/>
      <c r="C193" s="325"/>
      <c r="D193" s="326"/>
      <c r="E193" s="326"/>
      <c r="F193" s="326"/>
      <c r="G193" s="326"/>
      <c r="H193" s="333"/>
    </row>
    <row r="194" spans="1:8">
      <c r="A194" s="322"/>
      <c r="B194" s="324"/>
      <c r="C194" s="325"/>
      <c r="D194" s="326"/>
      <c r="E194" s="337"/>
      <c r="F194" s="326"/>
      <c r="G194" s="326"/>
      <c r="H194" s="333"/>
    </row>
    <row r="195" spans="1:8">
      <c r="A195" s="323"/>
      <c r="B195" s="325"/>
      <c r="C195" s="325"/>
      <c r="D195" s="326"/>
      <c r="E195" s="326"/>
      <c r="F195" s="326"/>
      <c r="G195" s="326"/>
      <c r="H195" s="333"/>
    </row>
    <row r="196" spans="1:8">
      <c r="A196" s="323"/>
      <c r="B196" s="324"/>
      <c r="C196" s="325"/>
      <c r="D196" s="326"/>
      <c r="E196" s="337"/>
      <c r="F196" s="326"/>
      <c r="G196" s="326"/>
      <c r="H196" s="338"/>
    </row>
    <row r="197" spans="1:8" s="30" customFormat="1">
      <c r="A197" s="323"/>
      <c r="B197" s="325"/>
      <c r="C197" s="325"/>
      <c r="D197" s="326"/>
      <c r="E197" s="326"/>
      <c r="F197" s="326"/>
      <c r="G197" s="326"/>
      <c r="H197" s="333"/>
    </row>
    <row r="198" spans="1:8">
      <c r="A198" s="323"/>
      <c r="B198" s="324"/>
      <c r="C198" s="325"/>
      <c r="D198" s="326"/>
      <c r="E198" s="337"/>
      <c r="F198" s="326"/>
      <c r="G198" s="326"/>
      <c r="H198" s="338"/>
    </row>
    <row r="199" spans="1:8">
      <c r="A199" s="323"/>
      <c r="B199" s="325"/>
      <c r="C199" s="325"/>
      <c r="D199" s="326"/>
      <c r="E199" s="326"/>
      <c r="F199" s="326"/>
      <c r="G199" s="326"/>
      <c r="H199" s="333"/>
    </row>
    <row r="200" spans="1:8">
      <c r="A200" s="322"/>
      <c r="B200" s="324"/>
      <c r="C200" s="325"/>
      <c r="D200" s="326"/>
      <c r="E200" s="337"/>
      <c r="F200" s="326"/>
      <c r="G200" s="326"/>
      <c r="H200" s="333"/>
    </row>
    <row r="201" spans="1:8">
      <c r="A201" s="323"/>
      <c r="B201" s="325"/>
      <c r="C201" s="325"/>
      <c r="D201" s="326"/>
      <c r="E201" s="326"/>
      <c r="F201" s="326"/>
      <c r="G201" s="326"/>
      <c r="H201" s="333"/>
    </row>
    <row r="202" spans="1:8">
      <c r="A202" s="323"/>
      <c r="B202" s="324"/>
      <c r="C202" s="325"/>
      <c r="D202" s="326"/>
      <c r="E202" s="337"/>
      <c r="F202" s="326"/>
      <c r="G202" s="326"/>
      <c r="H202" s="333"/>
    </row>
    <row r="203" spans="1:8">
      <c r="A203" s="323"/>
      <c r="B203" s="325"/>
      <c r="C203" s="325"/>
      <c r="D203" s="326"/>
      <c r="E203" s="326"/>
      <c r="F203" s="326"/>
      <c r="G203" s="326"/>
      <c r="H203" s="333"/>
    </row>
    <row r="204" spans="1:8">
      <c r="A204" s="322"/>
      <c r="B204" s="324"/>
      <c r="C204" s="325"/>
      <c r="D204" s="326"/>
      <c r="E204" s="326"/>
      <c r="F204" s="326"/>
      <c r="G204" s="326"/>
      <c r="H204" s="333"/>
    </row>
    <row r="205" spans="1:8">
      <c r="A205" s="323"/>
      <c r="B205" s="325"/>
      <c r="C205" s="325"/>
      <c r="D205" s="326"/>
      <c r="E205" s="326"/>
      <c r="F205" s="326"/>
      <c r="G205" s="326"/>
      <c r="H205" s="333"/>
    </row>
    <row r="206" spans="1:8">
      <c r="A206" s="322"/>
      <c r="B206" s="324"/>
      <c r="C206" s="325"/>
      <c r="D206" s="326"/>
      <c r="E206" s="337"/>
      <c r="F206" s="326"/>
      <c r="G206" s="326"/>
      <c r="H206" s="338"/>
    </row>
    <row r="207" spans="1:8" s="30" customFormat="1">
      <c r="A207" s="323"/>
      <c r="B207" s="325"/>
      <c r="C207" s="325"/>
      <c r="D207" s="326"/>
      <c r="E207" s="326"/>
      <c r="F207" s="326"/>
      <c r="G207" s="326"/>
      <c r="H207" s="333"/>
    </row>
    <row r="208" spans="1:8">
      <c r="A208" s="323"/>
      <c r="B208" s="325"/>
      <c r="C208" s="325"/>
      <c r="D208" s="326"/>
      <c r="E208" s="337"/>
      <c r="F208" s="326"/>
      <c r="G208" s="326"/>
      <c r="H208" s="338"/>
    </row>
    <row r="209" spans="1:8">
      <c r="A209" s="323"/>
      <c r="B209" s="325"/>
      <c r="C209" s="325"/>
      <c r="D209" s="326"/>
      <c r="E209" s="326"/>
      <c r="F209" s="326"/>
      <c r="G209" s="326"/>
      <c r="H209" s="333"/>
    </row>
    <row r="210" spans="1:8">
      <c r="A210" s="322"/>
      <c r="B210" s="324"/>
      <c r="C210" s="325"/>
      <c r="D210" s="326"/>
      <c r="E210" s="337"/>
      <c r="F210" s="326"/>
      <c r="G210" s="326"/>
      <c r="H210" s="333"/>
    </row>
    <row r="211" spans="1:8">
      <c r="A211" s="323"/>
      <c r="B211" s="325"/>
      <c r="C211" s="325"/>
      <c r="D211" s="326"/>
      <c r="E211" s="326"/>
      <c r="F211" s="326"/>
      <c r="G211" s="326"/>
      <c r="H211" s="333"/>
    </row>
    <row r="212" spans="1:8">
      <c r="A212" s="322"/>
      <c r="B212" s="324"/>
      <c r="C212" s="325"/>
      <c r="D212" s="326"/>
      <c r="E212" s="337"/>
      <c r="F212" s="326"/>
      <c r="G212" s="326"/>
      <c r="H212" s="338"/>
    </row>
    <row r="213" spans="1:8" s="30" customFormat="1">
      <c r="A213" s="323"/>
      <c r="B213" s="325"/>
      <c r="C213" s="325"/>
      <c r="D213" s="326"/>
      <c r="E213" s="326"/>
      <c r="F213" s="326"/>
      <c r="G213" s="326"/>
      <c r="H213" s="333"/>
    </row>
    <row r="214" spans="1:8">
      <c r="A214" s="323"/>
      <c r="B214" s="324"/>
      <c r="C214" s="325"/>
      <c r="D214" s="326"/>
      <c r="E214" s="337"/>
      <c r="F214" s="326"/>
      <c r="G214" s="326"/>
      <c r="H214" s="338"/>
    </row>
    <row r="215" spans="1:8">
      <c r="A215" s="323"/>
      <c r="B215" s="325"/>
      <c r="C215" s="325"/>
      <c r="D215" s="326"/>
      <c r="E215" s="326"/>
      <c r="F215" s="326"/>
      <c r="G215" s="326"/>
      <c r="H215" s="333"/>
    </row>
    <row r="216" spans="1:8">
      <c r="A216" s="323"/>
      <c r="B216" s="325"/>
      <c r="C216" s="325"/>
      <c r="D216" s="326"/>
      <c r="E216" s="326"/>
      <c r="F216" s="326"/>
      <c r="G216" s="326"/>
      <c r="H216" s="338"/>
    </row>
    <row r="217" spans="1:8">
      <c r="A217" s="323"/>
      <c r="B217" s="325"/>
      <c r="C217" s="325"/>
      <c r="D217" s="326"/>
      <c r="E217" s="326"/>
      <c r="F217" s="326"/>
      <c r="G217" s="326"/>
      <c r="H217" s="333"/>
    </row>
    <row r="218" spans="1:8">
      <c r="A218" s="322"/>
      <c r="B218" s="325"/>
      <c r="C218" s="325"/>
      <c r="D218" s="326"/>
      <c r="E218" s="337"/>
      <c r="F218" s="326"/>
      <c r="G218" s="326"/>
      <c r="H218" s="338"/>
    </row>
    <row r="219" spans="1:8" s="30" customFormat="1">
      <c r="A219" s="323"/>
      <c r="B219" s="325"/>
      <c r="C219" s="325"/>
      <c r="D219" s="326"/>
      <c r="E219" s="326"/>
      <c r="F219" s="326"/>
      <c r="G219" s="326"/>
      <c r="H219" s="333"/>
    </row>
    <row r="220" spans="1:8">
      <c r="A220" s="322"/>
      <c r="B220" s="325"/>
      <c r="C220" s="325"/>
      <c r="D220" s="326"/>
      <c r="E220" s="337"/>
      <c r="F220" s="326"/>
      <c r="G220" s="326"/>
      <c r="H220" s="338"/>
    </row>
    <row r="221" spans="1:8">
      <c r="A221" s="323"/>
      <c r="B221" s="325"/>
      <c r="C221" s="325"/>
      <c r="D221" s="326"/>
      <c r="E221" s="326"/>
      <c r="F221" s="326"/>
      <c r="G221" s="326"/>
      <c r="H221" s="333"/>
    </row>
    <row r="222" spans="1:8">
      <c r="A222" s="323"/>
      <c r="B222" s="324"/>
      <c r="C222" s="325"/>
      <c r="D222" s="326"/>
      <c r="E222" s="337"/>
      <c r="F222" s="326"/>
      <c r="G222" s="326"/>
      <c r="H222" s="338"/>
    </row>
    <row r="223" spans="1:8">
      <c r="A223" s="323"/>
      <c r="B223" s="325"/>
      <c r="C223" s="325"/>
      <c r="D223" s="326"/>
      <c r="E223" s="326"/>
      <c r="F223" s="326"/>
      <c r="G223" s="326"/>
      <c r="H223" s="333"/>
    </row>
    <row r="224" spans="1:8" ht="16.5" customHeight="1">
      <c r="A224" s="322"/>
      <c r="B224" s="324"/>
      <c r="C224" s="324"/>
      <c r="D224" s="326"/>
      <c r="E224" s="327"/>
      <c r="F224" s="328"/>
      <c r="G224" s="329"/>
      <c r="H224" s="338"/>
    </row>
    <row r="225" spans="1:8" ht="16.5" customHeight="1">
      <c r="A225" s="323"/>
      <c r="B225" s="325"/>
      <c r="C225" s="325"/>
      <c r="D225" s="326"/>
      <c r="E225" s="330"/>
      <c r="F225" s="331"/>
      <c r="G225" s="332"/>
      <c r="H225" s="333"/>
    </row>
    <row r="226" spans="1:8" ht="16.5" customHeight="1">
      <c r="A226" s="322"/>
      <c r="B226" s="324"/>
      <c r="C226" s="325"/>
      <c r="D226" s="326"/>
      <c r="E226" s="326"/>
      <c r="F226" s="326"/>
      <c r="G226" s="326"/>
      <c r="H226" s="338"/>
    </row>
    <row r="227" spans="1:8" ht="16.5" customHeight="1">
      <c r="A227" s="323"/>
      <c r="B227" s="325"/>
      <c r="C227" s="325"/>
      <c r="D227" s="326"/>
      <c r="E227" s="326"/>
      <c r="F227" s="326"/>
      <c r="G227" s="326"/>
      <c r="H227" s="333"/>
    </row>
    <row r="228" spans="1:8" ht="16.5" customHeight="1">
      <c r="A228" s="336"/>
      <c r="B228" s="324"/>
      <c r="C228" s="324"/>
      <c r="D228" s="326"/>
      <c r="E228" s="327"/>
      <c r="F228" s="328"/>
      <c r="G228" s="329"/>
      <c r="H228" s="350"/>
    </row>
    <row r="229" spans="1:8" ht="16.5" customHeight="1">
      <c r="A229" s="323"/>
      <c r="B229" s="325"/>
      <c r="C229" s="325"/>
      <c r="D229" s="326"/>
      <c r="E229" s="330"/>
      <c r="F229" s="331"/>
      <c r="G229" s="332"/>
      <c r="H229" s="351"/>
    </row>
    <row r="230" spans="1:8" ht="16.5" customHeight="1">
      <c r="A230" s="322"/>
      <c r="B230" s="324"/>
      <c r="C230" s="325"/>
      <c r="D230" s="326"/>
      <c r="E230" s="337"/>
      <c r="F230" s="326"/>
      <c r="G230" s="326"/>
      <c r="H230" s="338"/>
    </row>
    <row r="231" spans="1:8" ht="16.5" customHeight="1">
      <c r="A231" s="323"/>
      <c r="B231" s="325"/>
      <c r="C231" s="325"/>
      <c r="D231" s="326"/>
      <c r="E231" s="326"/>
      <c r="F231" s="326"/>
      <c r="G231" s="326"/>
      <c r="H231" s="333"/>
    </row>
    <row r="232" spans="1:8" ht="16.5" customHeight="1">
      <c r="A232" s="335"/>
      <c r="B232" s="324"/>
      <c r="C232" s="341"/>
      <c r="D232" s="343"/>
      <c r="E232" s="327"/>
      <c r="F232" s="345"/>
      <c r="G232" s="346"/>
      <c r="H232" s="333"/>
    </row>
    <row r="233" spans="1:8" ht="16.5" customHeight="1">
      <c r="A233" s="336"/>
      <c r="B233" s="325"/>
      <c r="C233" s="342"/>
      <c r="D233" s="344"/>
      <c r="E233" s="347"/>
      <c r="F233" s="348"/>
      <c r="G233" s="349"/>
      <c r="H233" s="333"/>
    </row>
    <row r="234" spans="1:8" ht="16.5" customHeight="1">
      <c r="A234" s="322"/>
      <c r="B234" s="324"/>
      <c r="C234" s="325"/>
      <c r="D234" s="326"/>
      <c r="E234" s="327"/>
      <c r="F234" s="328"/>
      <c r="G234" s="329"/>
      <c r="H234" s="333"/>
    </row>
    <row r="235" spans="1:8" ht="16.5" customHeight="1">
      <c r="A235" s="323"/>
      <c r="B235" s="325"/>
      <c r="C235" s="325"/>
      <c r="D235" s="326"/>
      <c r="E235" s="330"/>
      <c r="F235" s="331"/>
      <c r="G235" s="332"/>
      <c r="H235" s="333"/>
    </row>
    <row r="236" spans="1:8" ht="16.5" customHeight="1">
      <c r="A236" s="322"/>
      <c r="B236" s="324"/>
      <c r="C236" s="324"/>
      <c r="D236" s="326"/>
      <c r="E236" s="327"/>
      <c r="F236" s="328"/>
      <c r="G236" s="329"/>
      <c r="H236" s="333"/>
    </row>
    <row r="237" spans="1:8" ht="16.5" customHeight="1">
      <c r="A237" s="323"/>
      <c r="B237" s="325"/>
      <c r="C237" s="325"/>
      <c r="D237" s="326"/>
      <c r="E237" s="330"/>
      <c r="F237" s="331"/>
      <c r="G237" s="332"/>
      <c r="H237" s="333"/>
    </row>
    <row r="238" spans="1:8" ht="16.5" customHeight="1">
      <c r="A238" s="322"/>
      <c r="B238" s="324"/>
      <c r="C238" s="325"/>
      <c r="D238" s="326"/>
      <c r="E238" s="327"/>
      <c r="F238" s="328"/>
      <c r="G238" s="329"/>
      <c r="H238" s="333"/>
    </row>
    <row r="239" spans="1:8" ht="16.5" customHeight="1">
      <c r="A239" s="323"/>
      <c r="B239" s="325"/>
      <c r="C239" s="325"/>
      <c r="D239" s="326"/>
      <c r="E239" s="330"/>
      <c r="F239" s="331"/>
      <c r="G239" s="332"/>
      <c r="H239" s="333"/>
    </row>
    <row r="240" spans="1:8" ht="16.5" customHeight="1">
      <c r="A240" s="322"/>
      <c r="B240" s="324"/>
      <c r="C240" s="325"/>
      <c r="D240" s="326"/>
      <c r="E240" s="327"/>
      <c r="F240" s="328"/>
      <c r="G240" s="329"/>
      <c r="H240" s="333"/>
    </row>
    <row r="241" spans="1:11" ht="17.25" customHeight="1">
      <c r="A241" s="323"/>
      <c r="B241" s="325"/>
      <c r="C241" s="325"/>
      <c r="D241" s="326"/>
      <c r="E241" s="330"/>
      <c r="F241" s="331"/>
      <c r="G241" s="332"/>
      <c r="H241" s="333"/>
    </row>
    <row r="242" spans="1:11" ht="16.5" customHeight="1">
      <c r="A242" s="322"/>
      <c r="B242" s="324"/>
      <c r="C242" s="325"/>
      <c r="D242" s="326"/>
      <c r="E242" s="327"/>
      <c r="F242" s="328"/>
      <c r="G242" s="329"/>
      <c r="H242" s="333"/>
    </row>
    <row r="243" spans="1:11" ht="16.5" customHeight="1">
      <c r="A243" s="323"/>
      <c r="B243" s="325"/>
      <c r="C243" s="325"/>
      <c r="D243" s="326"/>
      <c r="E243" s="330"/>
      <c r="F243" s="331"/>
      <c r="G243" s="332"/>
      <c r="H243" s="333"/>
    </row>
    <row r="244" spans="1:11" ht="16.5" customHeight="1">
      <c r="A244" s="322"/>
      <c r="B244" s="324"/>
      <c r="C244" s="324"/>
      <c r="D244" s="326"/>
      <c r="E244" s="327"/>
      <c r="F244" s="328"/>
      <c r="G244" s="329"/>
      <c r="H244" s="333"/>
    </row>
    <row r="245" spans="1:11" ht="16.5" customHeight="1">
      <c r="A245" s="323"/>
      <c r="B245" s="325"/>
      <c r="C245" s="325"/>
      <c r="D245" s="326"/>
      <c r="E245" s="330"/>
      <c r="F245" s="331"/>
      <c r="G245" s="332"/>
      <c r="H245" s="333"/>
    </row>
    <row r="246" spans="1:11" ht="16.5" customHeight="1">
      <c r="A246" s="322"/>
      <c r="B246" s="324"/>
      <c r="C246" s="324"/>
      <c r="D246" s="326"/>
      <c r="E246" s="327"/>
      <c r="F246" s="328"/>
      <c r="G246" s="329"/>
      <c r="H246" s="333"/>
    </row>
    <row r="247" spans="1:11" ht="16.5" customHeight="1">
      <c r="A247" s="323"/>
      <c r="B247" s="325"/>
      <c r="C247" s="325"/>
      <c r="D247" s="326"/>
      <c r="E247" s="330"/>
      <c r="F247" s="331"/>
      <c r="G247" s="332"/>
      <c r="H247" s="333"/>
    </row>
    <row r="248" spans="1:11" ht="16.5" customHeight="1">
      <c r="A248" s="322"/>
      <c r="B248" s="324"/>
      <c r="C248" s="325"/>
      <c r="D248" s="326"/>
      <c r="E248" s="337"/>
      <c r="F248" s="326"/>
      <c r="G248" s="326"/>
      <c r="H248" s="333"/>
    </row>
    <row r="249" spans="1:11" ht="16.5" customHeight="1">
      <c r="A249" s="323"/>
      <c r="B249" s="325"/>
      <c r="C249" s="325"/>
      <c r="D249" s="326"/>
      <c r="E249" s="326"/>
      <c r="F249" s="326"/>
      <c r="G249" s="326"/>
      <c r="H249" s="333"/>
    </row>
    <row r="250" spans="1:11" ht="16.5" customHeight="1">
      <c r="A250" s="322"/>
      <c r="B250" s="324"/>
      <c r="C250" s="324"/>
      <c r="D250" s="326"/>
      <c r="E250" s="337"/>
      <c r="F250" s="326"/>
      <c r="G250" s="326"/>
      <c r="H250" s="333"/>
    </row>
    <row r="251" spans="1:11" ht="16.5" customHeight="1">
      <c r="A251" s="323"/>
      <c r="B251" s="325"/>
      <c r="C251" s="325"/>
      <c r="D251" s="326"/>
      <c r="E251" s="326"/>
      <c r="F251" s="326"/>
      <c r="G251" s="326"/>
      <c r="H251" s="333"/>
    </row>
    <row r="252" spans="1:11" ht="16.5" customHeight="1">
      <c r="A252" s="339"/>
      <c r="B252" s="324"/>
      <c r="C252" s="324"/>
      <c r="D252" s="326"/>
      <c r="E252" s="327"/>
      <c r="F252" s="328"/>
      <c r="G252" s="329"/>
      <c r="H252" s="333"/>
    </row>
    <row r="253" spans="1:11" ht="16.5" customHeight="1">
      <c r="A253" s="340"/>
      <c r="B253" s="325"/>
      <c r="C253" s="325"/>
      <c r="D253" s="326"/>
      <c r="E253" s="330"/>
      <c r="F253" s="331"/>
      <c r="G253" s="332"/>
      <c r="H253" s="333"/>
    </row>
    <row r="254" spans="1:11" ht="16.5" customHeight="1">
      <c r="A254" s="322"/>
      <c r="B254" s="324"/>
      <c r="C254" s="324"/>
      <c r="D254" s="326"/>
      <c r="E254" s="327"/>
      <c r="F254" s="328"/>
      <c r="G254" s="329"/>
      <c r="H254" s="333"/>
    </row>
    <row r="255" spans="1:11" ht="16.5" customHeight="1">
      <c r="A255" s="323"/>
      <c r="B255" s="325"/>
      <c r="C255" s="325"/>
      <c r="D255" s="326"/>
      <c r="E255" s="330"/>
      <c r="F255" s="331"/>
      <c r="G255" s="332"/>
      <c r="H255" s="333"/>
      <c r="K255" s="24"/>
    </row>
    <row r="256" spans="1:11" ht="16.5" customHeight="1">
      <c r="A256" s="322"/>
      <c r="B256" s="324"/>
      <c r="C256" s="324"/>
      <c r="D256" s="326"/>
      <c r="E256" s="327"/>
      <c r="F256" s="328"/>
      <c r="G256" s="329"/>
      <c r="H256" s="338"/>
    </row>
    <row r="257" spans="1:11" ht="16.5" customHeight="1">
      <c r="A257" s="323"/>
      <c r="B257" s="325"/>
      <c r="C257" s="325"/>
      <c r="D257" s="326"/>
      <c r="E257" s="330"/>
      <c r="F257" s="331"/>
      <c r="G257" s="332"/>
      <c r="H257" s="333"/>
      <c r="K257" s="24"/>
    </row>
    <row r="258" spans="1:11" ht="16.5" customHeight="1">
      <c r="A258" s="322"/>
      <c r="B258" s="324"/>
      <c r="C258" s="324"/>
      <c r="D258" s="326"/>
      <c r="E258" s="327"/>
      <c r="F258" s="328"/>
      <c r="G258" s="329"/>
      <c r="H258" s="333"/>
      <c r="K258" s="24"/>
    </row>
    <row r="259" spans="1:11" ht="16.5" customHeight="1">
      <c r="A259" s="323"/>
      <c r="B259" s="325"/>
      <c r="C259" s="325"/>
      <c r="D259" s="326"/>
      <c r="E259" s="330"/>
      <c r="F259" s="331"/>
      <c r="G259" s="332"/>
      <c r="H259" s="333"/>
      <c r="K259" s="24"/>
    </row>
    <row r="260" spans="1:11" ht="16.5" customHeight="1">
      <c r="A260" s="322"/>
      <c r="B260" s="324"/>
      <c r="C260" s="325"/>
      <c r="D260" s="326"/>
      <c r="E260" s="337"/>
      <c r="F260" s="326"/>
      <c r="G260" s="326"/>
      <c r="H260" s="333"/>
      <c r="K260" s="24"/>
    </row>
    <row r="261" spans="1:11" ht="16.5" customHeight="1">
      <c r="A261" s="323"/>
      <c r="B261" s="325"/>
      <c r="C261" s="325"/>
      <c r="D261" s="326"/>
      <c r="E261" s="326"/>
      <c r="F261" s="326"/>
      <c r="G261" s="326"/>
      <c r="H261" s="333"/>
      <c r="K261" s="24"/>
    </row>
    <row r="262" spans="1:11" ht="16.5" customHeight="1">
      <c r="A262" s="322"/>
      <c r="B262" s="324"/>
      <c r="C262" s="325"/>
      <c r="D262" s="326"/>
      <c r="E262" s="327"/>
      <c r="F262" s="328"/>
      <c r="G262" s="329"/>
      <c r="H262" s="338"/>
      <c r="I262" s="4"/>
    </row>
    <row r="263" spans="1:11" ht="16.5" customHeight="1">
      <c r="A263" s="323"/>
      <c r="B263" s="325"/>
      <c r="C263" s="325"/>
      <c r="D263" s="326"/>
      <c r="E263" s="330"/>
      <c r="F263" s="331"/>
      <c r="G263" s="332"/>
      <c r="H263" s="333"/>
    </row>
    <row r="264" spans="1:11" ht="16.5" customHeight="1">
      <c r="A264" s="322"/>
      <c r="B264" s="324"/>
      <c r="C264" s="325"/>
      <c r="D264" s="326"/>
      <c r="E264" s="327"/>
      <c r="F264" s="328"/>
      <c r="G264" s="329"/>
      <c r="H264" s="333"/>
    </row>
    <row r="265" spans="1:11" ht="16.5" customHeight="1">
      <c r="A265" s="323"/>
      <c r="B265" s="325"/>
      <c r="C265" s="325"/>
      <c r="D265" s="326"/>
      <c r="E265" s="330"/>
      <c r="F265" s="331"/>
      <c r="G265" s="332"/>
      <c r="H265" s="333"/>
    </row>
    <row r="266" spans="1:11" ht="16.5" customHeight="1">
      <c r="A266" s="322"/>
      <c r="B266" s="324"/>
      <c r="C266" s="325"/>
      <c r="D266" s="326"/>
      <c r="E266" s="327"/>
      <c r="F266" s="328"/>
      <c r="G266" s="329"/>
      <c r="H266" s="333"/>
    </row>
    <row r="267" spans="1:11" ht="16.5" customHeight="1">
      <c r="A267" s="323"/>
      <c r="B267" s="325"/>
      <c r="C267" s="325"/>
      <c r="D267" s="326"/>
      <c r="E267" s="330"/>
      <c r="F267" s="331"/>
      <c r="G267" s="332"/>
      <c r="H267" s="333"/>
    </row>
    <row r="268" spans="1:11" ht="16.5" customHeight="1">
      <c r="A268" s="322"/>
      <c r="B268" s="324"/>
      <c r="C268" s="325"/>
      <c r="D268" s="326"/>
      <c r="E268" s="327"/>
      <c r="F268" s="328"/>
      <c r="G268" s="329"/>
      <c r="H268" s="333"/>
    </row>
    <row r="269" spans="1:11" ht="16.5" customHeight="1">
      <c r="A269" s="323"/>
      <c r="B269" s="325"/>
      <c r="C269" s="325"/>
      <c r="D269" s="326"/>
      <c r="E269" s="330"/>
      <c r="F269" s="331"/>
      <c r="G269" s="332"/>
      <c r="H269" s="333"/>
    </row>
    <row r="270" spans="1:11" ht="16.5" customHeight="1">
      <c r="A270" s="322"/>
      <c r="B270" s="324"/>
      <c r="C270" s="325"/>
      <c r="D270" s="326"/>
      <c r="E270" s="327"/>
      <c r="F270" s="328"/>
      <c r="G270" s="329"/>
      <c r="H270" s="333"/>
    </row>
    <row r="271" spans="1:11" ht="16.5" customHeight="1">
      <c r="A271" s="323"/>
      <c r="B271" s="325"/>
      <c r="C271" s="325"/>
      <c r="D271" s="326"/>
      <c r="E271" s="330"/>
      <c r="F271" s="331"/>
      <c r="G271" s="332"/>
      <c r="H271" s="333"/>
    </row>
    <row r="272" spans="1:11" ht="16.5" customHeight="1">
      <c r="A272" s="322"/>
      <c r="B272" s="324"/>
      <c r="C272" s="326"/>
      <c r="D272" s="326"/>
      <c r="E272" s="327"/>
      <c r="F272" s="328"/>
      <c r="G272" s="329"/>
      <c r="H272" s="333"/>
    </row>
    <row r="273" spans="1:11" ht="16.5" customHeight="1">
      <c r="A273" s="323"/>
      <c r="B273" s="325"/>
      <c r="C273" s="326"/>
      <c r="D273" s="326"/>
      <c r="E273" s="330"/>
      <c r="F273" s="331"/>
      <c r="G273" s="332"/>
      <c r="H273" s="333"/>
    </row>
    <row r="274" spans="1:11" ht="16.5" customHeight="1">
      <c r="A274" s="322"/>
      <c r="B274" s="324"/>
      <c r="C274" s="325"/>
      <c r="D274" s="326"/>
      <c r="E274" s="337"/>
      <c r="F274" s="326"/>
      <c r="G274" s="326"/>
      <c r="H274" s="333"/>
      <c r="I274" s="3"/>
      <c r="K274" s="23"/>
    </row>
    <row r="275" spans="1:11" ht="16.5" customHeight="1">
      <c r="A275" s="323"/>
      <c r="B275" s="325"/>
      <c r="C275" s="325"/>
      <c r="D275" s="326"/>
      <c r="E275" s="326"/>
      <c r="F275" s="326"/>
      <c r="G275" s="326"/>
      <c r="H275" s="333"/>
    </row>
    <row r="276" spans="1:11" ht="16.5" customHeight="1">
      <c r="A276" s="322"/>
      <c r="B276" s="324"/>
      <c r="C276" s="325"/>
      <c r="D276" s="326"/>
      <c r="E276" s="327"/>
      <c r="F276" s="328"/>
      <c r="G276" s="329"/>
      <c r="H276" s="333"/>
    </row>
    <row r="277" spans="1:11" ht="16.5" customHeight="1">
      <c r="A277" s="323"/>
      <c r="B277" s="325"/>
      <c r="C277" s="325"/>
      <c r="D277" s="326"/>
      <c r="E277" s="330"/>
      <c r="F277" s="331"/>
      <c r="G277" s="332"/>
      <c r="H277" s="333"/>
    </row>
    <row r="278" spans="1:11" ht="16.5" customHeight="1">
      <c r="A278" s="322"/>
      <c r="B278" s="324"/>
      <c r="C278" s="324"/>
      <c r="D278" s="326"/>
      <c r="E278" s="327"/>
      <c r="F278" s="328"/>
      <c r="G278" s="329"/>
      <c r="H278" s="333"/>
    </row>
    <row r="279" spans="1:11" ht="16.5" customHeight="1">
      <c r="A279" s="323"/>
      <c r="B279" s="325"/>
      <c r="C279" s="325"/>
      <c r="D279" s="326"/>
      <c r="E279" s="330"/>
      <c r="F279" s="331"/>
      <c r="G279" s="332"/>
      <c r="H279" s="333"/>
    </row>
    <row r="280" spans="1:11" ht="16.5" customHeight="1">
      <c r="A280" s="335"/>
      <c r="B280" s="324"/>
      <c r="C280" s="325"/>
      <c r="D280" s="326"/>
      <c r="E280" s="327"/>
      <c r="F280" s="328"/>
      <c r="G280" s="329"/>
      <c r="H280" s="333"/>
    </row>
    <row r="281" spans="1:11" ht="16.5" customHeight="1">
      <c r="A281" s="336"/>
      <c r="B281" s="325"/>
      <c r="C281" s="325"/>
      <c r="D281" s="326"/>
      <c r="E281" s="330"/>
      <c r="F281" s="331"/>
      <c r="G281" s="332"/>
      <c r="H281" s="333"/>
    </row>
    <row r="282" spans="1:11" ht="16.5" customHeight="1">
      <c r="A282" s="334"/>
      <c r="B282" s="324"/>
      <c r="C282" s="324"/>
      <c r="D282" s="326"/>
      <c r="E282" s="327"/>
      <c r="F282" s="328"/>
      <c r="G282" s="329"/>
      <c r="H282" s="333"/>
    </row>
    <row r="283" spans="1:11" ht="16.5" customHeight="1">
      <c r="A283" s="323"/>
      <c r="B283" s="325"/>
      <c r="C283" s="325"/>
      <c r="D283" s="326"/>
      <c r="E283" s="330"/>
      <c r="F283" s="331"/>
      <c r="G283" s="332"/>
      <c r="H283" s="333"/>
    </row>
    <row r="284" spans="1:11" ht="16.5" customHeight="1">
      <c r="A284" s="322"/>
      <c r="B284" s="324"/>
      <c r="C284" s="325"/>
      <c r="D284" s="326"/>
      <c r="E284" s="327"/>
      <c r="F284" s="328"/>
      <c r="G284" s="329"/>
      <c r="H284" s="333"/>
    </row>
    <row r="285" spans="1:11" ht="16.5" customHeight="1">
      <c r="A285" s="323"/>
      <c r="B285" s="325"/>
      <c r="C285" s="325"/>
      <c r="D285" s="326"/>
      <c r="E285" s="330"/>
      <c r="F285" s="331"/>
      <c r="G285" s="332"/>
      <c r="H285" s="333"/>
    </row>
    <row r="286" spans="1:11" ht="16.5" customHeight="1">
      <c r="A286" s="313"/>
      <c r="B286" s="314"/>
      <c r="C286" s="307"/>
      <c r="D286" s="309"/>
      <c r="E286" s="315"/>
      <c r="F286" s="316"/>
      <c r="G286" s="317"/>
      <c r="H286" s="321"/>
    </row>
    <row r="287" spans="1:11" ht="16.5" customHeight="1">
      <c r="A287" s="305"/>
      <c r="B287" s="307"/>
      <c r="C287" s="307"/>
      <c r="D287" s="309"/>
      <c r="E287" s="318"/>
      <c r="F287" s="319"/>
      <c r="G287" s="320"/>
      <c r="H287" s="311"/>
    </row>
    <row r="288" spans="1:11" ht="16.5" customHeight="1">
      <c r="A288" s="313"/>
      <c r="B288" s="314"/>
      <c r="C288" s="307"/>
      <c r="D288" s="309"/>
      <c r="E288" s="315"/>
      <c r="F288" s="316"/>
      <c r="G288" s="317"/>
      <c r="H288" s="321"/>
    </row>
    <row r="289" spans="1:8" ht="16.5" customHeight="1">
      <c r="A289" s="305"/>
      <c r="B289" s="307"/>
      <c r="C289" s="307"/>
      <c r="D289" s="309"/>
      <c r="E289" s="318"/>
      <c r="F289" s="319"/>
      <c r="G289" s="320"/>
      <c r="H289" s="311"/>
    </row>
    <row r="290" spans="1:8">
      <c r="A290" s="305"/>
      <c r="B290" s="307"/>
      <c r="C290" s="307"/>
      <c r="D290" s="309"/>
      <c r="E290" s="309"/>
      <c r="F290" s="309"/>
      <c r="G290" s="309"/>
      <c r="H290" s="311"/>
    </row>
    <row r="291" spans="1:8">
      <c r="A291" s="305"/>
      <c r="B291" s="307"/>
      <c r="C291" s="307"/>
      <c r="D291" s="309"/>
      <c r="E291" s="309"/>
      <c r="F291" s="309"/>
      <c r="G291" s="309"/>
      <c r="H291" s="311"/>
    </row>
    <row r="292" spans="1:8" ht="16.5" customHeight="1">
      <c r="A292" s="313"/>
      <c r="B292" s="314"/>
      <c r="C292" s="307"/>
      <c r="D292" s="309"/>
      <c r="E292" s="315"/>
      <c r="F292" s="316"/>
      <c r="G292" s="317"/>
      <c r="H292" s="311"/>
    </row>
    <row r="293" spans="1:8" ht="16.5" customHeight="1">
      <c r="A293" s="305"/>
      <c r="B293" s="307"/>
      <c r="C293" s="307"/>
      <c r="D293" s="309"/>
      <c r="E293" s="318"/>
      <c r="F293" s="319"/>
      <c r="G293" s="320"/>
      <c r="H293" s="311"/>
    </row>
    <row r="294" spans="1:8" ht="16.5" customHeight="1">
      <c r="A294" s="313"/>
      <c r="B294" s="314"/>
      <c r="C294" s="307"/>
      <c r="D294" s="309"/>
      <c r="E294" s="315"/>
      <c r="F294" s="316"/>
      <c r="G294" s="317"/>
      <c r="H294" s="311"/>
    </row>
    <row r="295" spans="1:8" ht="16.5" customHeight="1">
      <c r="A295" s="305"/>
      <c r="B295" s="307"/>
      <c r="C295" s="307"/>
      <c r="D295" s="309"/>
      <c r="E295" s="318"/>
      <c r="F295" s="319"/>
      <c r="G295" s="320"/>
      <c r="H295" s="311"/>
    </row>
    <row r="296" spans="1:8" ht="16.5" customHeight="1">
      <c r="A296" s="313"/>
      <c r="B296" s="314"/>
      <c r="C296" s="307"/>
      <c r="D296" s="309"/>
      <c r="E296" s="315"/>
      <c r="F296" s="316"/>
      <c r="G296" s="317"/>
      <c r="H296" s="321"/>
    </row>
    <row r="297" spans="1:8" ht="16.5" customHeight="1">
      <c r="A297" s="305"/>
      <c r="B297" s="307"/>
      <c r="C297" s="307"/>
      <c r="D297" s="309"/>
      <c r="E297" s="318"/>
      <c r="F297" s="319"/>
      <c r="G297" s="320"/>
      <c r="H297" s="311"/>
    </row>
    <row r="298" spans="1:8" ht="16.5" customHeight="1">
      <c r="A298" s="313"/>
      <c r="B298" s="314"/>
      <c r="C298" s="307"/>
      <c r="D298" s="309"/>
      <c r="E298" s="315"/>
      <c r="F298" s="316"/>
      <c r="G298" s="317"/>
      <c r="H298" s="321"/>
    </row>
    <row r="299" spans="1:8" ht="16.5" customHeight="1">
      <c r="A299" s="305"/>
      <c r="B299" s="307"/>
      <c r="C299" s="307"/>
      <c r="D299" s="309"/>
      <c r="E299" s="318"/>
      <c r="F299" s="319"/>
      <c r="G299" s="320"/>
      <c r="H299" s="311"/>
    </row>
    <row r="300" spans="1:8">
      <c r="A300" s="305"/>
      <c r="B300" s="307"/>
      <c r="C300" s="307"/>
      <c r="D300" s="309"/>
      <c r="E300" s="309"/>
      <c r="F300" s="309"/>
      <c r="G300" s="309"/>
      <c r="H300" s="311"/>
    </row>
    <row r="301" spans="1:8">
      <c r="A301" s="305"/>
      <c r="B301" s="307"/>
      <c r="C301" s="307"/>
      <c r="D301" s="309"/>
      <c r="E301" s="309"/>
      <c r="F301" s="309"/>
      <c r="G301" s="309"/>
      <c r="H301" s="311"/>
    </row>
    <row r="302" spans="1:8" ht="16.5" customHeight="1">
      <c r="A302" s="313"/>
      <c r="B302" s="314"/>
      <c r="C302" s="307"/>
      <c r="D302" s="309"/>
      <c r="E302" s="315"/>
      <c r="F302" s="316"/>
      <c r="G302" s="317"/>
      <c r="H302" s="311"/>
    </row>
    <row r="303" spans="1:8" ht="16.5" customHeight="1">
      <c r="A303" s="305"/>
      <c r="B303" s="307"/>
      <c r="C303" s="307"/>
      <c r="D303" s="309"/>
      <c r="E303" s="318"/>
      <c r="F303" s="319"/>
      <c r="G303" s="320"/>
      <c r="H303" s="311"/>
    </row>
    <row r="304" spans="1:8" ht="16.5" customHeight="1">
      <c r="A304" s="313"/>
      <c r="B304" s="314"/>
      <c r="C304" s="307"/>
      <c r="D304" s="309"/>
      <c r="E304" s="315"/>
      <c r="F304" s="316"/>
      <c r="G304" s="317"/>
      <c r="H304" s="321"/>
    </row>
    <row r="305" spans="1:8" ht="16.5" customHeight="1">
      <c r="A305" s="305"/>
      <c r="B305" s="307"/>
      <c r="C305" s="307"/>
      <c r="D305" s="309"/>
      <c r="E305" s="318"/>
      <c r="F305" s="319"/>
      <c r="G305" s="320"/>
      <c r="H305" s="311"/>
    </row>
    <row r="306" spans="1:8" ht="16.5" customHeight="1">
      <c r="A306" s="313"/>
      <c r="B306" s="314"/>
      <c r="C306" s="307"/>
      <c r="D306" s="309"/>
      <c r="E306" s="315"/>
      <c r="F306" s="316"/>
      <c r="G306" s="317"/>
      <c r="H306" s="321"/>
    </row>
    <row r="307" spans="1:8" ht="16.5" customHeight="1">
      <c r="A307" s="305"/>
      <c r="B307" s="307"/>
      <c r="C307" s="307"/>
      <c r="D307" s="309"/>
      <c r="E307" s="318"/>
      <c r="F307" s="319"/>
      <c r="G307" s="320"/>
      <c r="H307" s="311"/>
    </row>
    <row r="308" spans="1:8">
      <c r="A308" s="305"/>
      <c r="B308" s="307"/>
      <c r="C308" s="307"/>
      <c r="D308" s="309"/>
      <c r="E308" s="309"/>
      <c r="F308" s="309"/>
      <c r="G308" s="309"/>
      <c r="H308" s="311"/>
    </row>
    <row r="309" spans="1:8">
      <c r="A309" s="305"/>
      <c r="B309" s="307"/>
      <c r="C309" s="307"/>
      <c r="D309" s="309"/>
      <c r="E309" s="309"/>
      <c r="F309" s="309"/>
      <c r="G309" s="309"/>
      <c r="H309" s="311"/>
    </row>
    <row r="310" spans="1:8">
      <c r="A310" s="305"/>
      <c r="B310" s="307"/>
      <c r="C310" s="307"/>
      <c r="D310" s="309"/>
      <c r="E310" s="309"/>
      <c r="F310" s="309"/>
      <c r="G310" s="309"/>
      <c r="H310" s="311"/>
    </row>
    <row r="311" spans="1:8" ht="17.25" thickBot="1">
      <c r="A311" s="306"/>
      <c r="B311" s="308"/>
      <c r="C311" s="308"/>
      <c r="D311" s="310"/>
      <c r="E311" s="310"/>
      <c r="F311" s="310"/>
      <c r="G311" s="310"/>
      <c r="H311" s="312"/>
    </row>
  </sheetData>
  <mergeCells count="913">
    <mergeCell ref="A310:A311"/>
    <mergeCell ref="B310:B311"/>
    <mergeCell ref="C310:C311"/>
    <mergeCell ref="D310:D311"/>
    <mergeCell ref="E310:G311"/>
    <mergeCell ref="H310:H311"/>
    <mergeCell ref="A308:A309"/>
    <mergeCell ref="B308:B309"/>
    <mergeCell ref="C308:C309"/>
    <mergeCell ref="D308:D309"/>
    <mergeCell ref="E308:G309"/>
    <mergeCell ref="H308:H309"/>
    <mergeCell ref="A306:A307"/>
    <mergeCell ref="B306:B307"/>
    <mergeCell ref="C306:C307"/>
    <mergeCell ref="D306:D307"/>
    <mergeCell ref="E306:G307"/>
    <mergeCell ref="H306:H307"/>
    <mergeCell ref="A304:A305"/>
    <mergeCell ref="B304:B305"/>
    <mergeCell ref="C304:C305"/>
    <mergeCell ref="D304:D305"/>
    <mergeCell ref="E304:G305"/>
    <mergeCell ref="H304:H305"/>
    <mergeCell ref="A302:A303"/>
    <mergeCell ref="B302:B303"/>
    <mergeCell ref="C302:C303"/>
    <mergeCell ref="D302:D303"/>
    <mergeCell ref="E302:G303"/>
    <mergeCell ref="H302:H303"/>
    <mergeCell ref="A300:A301"/>
    <mergeCell ref="B300:B301"/>
    <mergeCell ref="C300:C301"/>
    <mergeCell ref="D300:D301"/>
    <mergeCell ref="E300:G301"/>
    <mergeCell ref="H300:H301"/>
    <mergeCell ref="A298:A299"/>
    <mergeCell ref="B298:B299"/>
    <mergeCell ref="C298:C299"/>
    <mergeCell ref="D298:D299"/>
    <mergeCell ref="E298:G299"/>
    <mergeCell ref="H298:H299"/>
    <mergeCell ref="A296:A297"/>
    <mergeCell ref="B296:B297"/>
    <mergeCell ref="C296:C297"/>
    <mergeCell ref="D296:D297"/>
    <mergeCell ref="E296:G297"/>
    <mergeCell ref="H296:H297"/>
    <mergeCell ref="A294:A295"/>
    <mergeCell ref="B294:B295"/>
    <mergeCell ref="C294:C295"/>
    <mergeCell ref="D294:D295"/>
    <mergeCell ref="E294:G295"/>
    <mergeCell ref="H294:H295"/>
    <mergeCell ref="A292:A293"/>
    <mergeCell ref="B292:B293"/>
    <mergeCell ref="C292:C293"/>
    <mergeCell ref="D292:D293"/>
    <mergeCell ref="E292:G293"/>
    <mergeCell ref="H292:H293"/>
    <mergeCell ref="A290:A291"/>
    <mergeCell ref="B290:B291"/>
    <mergeCell ref="C290:C291"/>
    <mergeCell ref="D290:D291"/>
    <mergeCell ref="E290:G291"/>
    <mergeCell ref="H290:H291"/>
    <mergeCell ref="A288:A289"/>
    <mergeCell ref="B288:B289"/>
    <mergeCell ref="C288:C289"/>
    <mergeCell ref="D288:D289"/>
    <mergeCell ref="E288:G289"/>
    <mergeCell ref="H288:H289"/>
    <mergeCell ref="A286:A287"/>
    <mergeCell ref="B286:B287"/>
    <mergeCell ref="C286:C287"/>
    <mergeCell ref="D286:D287"/>
    <mergeCell ref="E286:G287"/>
    <mergeCell ref="H286:H287"/>
    <mergeCell ref="A284:A285"/>
    <mergeCell ref="B284:B285"/>
    <mergeCell ref="C284:C285"/>
    <mergeCell ref="D284:D285"/>
    <mergeCell ref="E284:G285"/>
    <mergeCell ref="H284:H285"/>
    <mergeCell ref="A282:A283"/>
    <mergeCell ref="B282:B283"/>
    <mergeCell ref="C282:C283"/>
    <mergeCell ref="D282:D283"/>
    <mergeCell ref="E282:G283"/>
    <mergeCell ref="H282:H283"/>
    <mergeCell ref="A280:A281"/>
    <mergeCell ref="B280:B281"/>
    <mergeCell ref="C280:C281"/>
    <mergeCell ref="D280:D281"/>
    <mergeCell ref="E280:G281"/>
    <mergeCell ref="H280:H281"/>
    <mergeCell ref="A278:A279"/>
    <mergeCell ref="B278:B279"/>
    <mergeCell ref="C278:C279"/>
    <mergeCell ref="D278:D279"/>
    <mergeCell ref="E278:G279"/>
    <mergeCell ref="H278:H279"/>
    <mergeCell ref="A276:A277"/>
    <mergeCell ref="B276:B277"/>
    <mergeCell ref="C276:C277"/>
    <mergeCell ref="D276:D277"/>
    <mergeCell ref="E276:G277"/>
    <mergeCell ref="H276:H277"/>
    <mergeCell ref="A274:A275"/>
    <mergeCell ref="B274:B275"/>
    <mergeCell ref="C274:C275"/>
    <mergeCell ref="D274:D275"/>
    <mergeCell ref="E274:G275"/>
    <mergeCell ref="H274:H275"/>
    <mergeCell ref="A272:A273"/>
    <mergeCell ref="B272:B273"/>
    <mergeCell ref="C272:C273"/>
    <mergeCell ref="D272:D273"/>
    <mergeCell ref="E272:G273"/>
    <mergeCell ref="H272:H273"/>
    <mergeCell ref="A270:A271"/>
    <mergeCell ref="B270:B271"/>
    <mergeCell ref="C270:C271"/>
    <mergeCell ref="D270:D271"/>
    <mergeCell ref="E270:G271"/>
    <mergeCell ref="H270:H271"/>
    <mergeCell ref="A268:A269"/>
    <mergeCell ref="B268:B269"/>
    <mergeCell ref="C268:C269"/>
    <mergeCell ref="D268:D269"/>
    <mergeCell ref="E268:G269"/>
    <mergeCell ref="H268:H269"/>
    <mergeCell ref="A266:A267"/>
    <mergeCell ref="B266:B267"/>
    <mergeCell ref="C266:C267"/>
    <mergeCell ref="D266:D267"/>
    <mergeCell ref="E266:G267"/>
    <mergeCell ref="H266:H267"/>
    <mergeCell ref="A264:A265"/>
    <mergeCell ref="B264:B265"/>
    <mergeCell ref="C264:C265"/>
    <mergeCell ref="D264:D265"/>
    <mergeCell ref="E264:G265"/>
    <mergeCell ref="H264:H265"/>
    <mergeCell ref="A262:A263"/>
    <mergeCell ref="B262:B263"/>
    <mergeCell ref="C262:C263"/>
    <mergeCell ref="D262:D263"/>
    <mergeCell ref="E262:G263"/>
    <mergeCell ref="H262:H263"/>
    <mergeCell ref="A260:A261"/>
    <mergeCell ref="B260:B261"/>
    <mergeCell ref="C260:C261"/>
    <mergeCell ref="D260:D261"/>
    <mergeCell ref="E260:G261"/>
    <mergeCell ref="H260:H261"/>
    <mergeCell ref="A258:A259"/>
    <mergeCell ref="B258:B259"/>
    <mergeCell ref="C258:C259"/>
    <mergeCell ref="D258:D259"/>
    <mergeCell ref="E258:G259"/>
    <mergeCell ref="H258:H259"/>
    <mergeCell ref="A256:A257"/>
    <mergeCell ref="B256:B257"/>
    <mergeCell ref="C256:C257"/>
    <mergeCell ref="D256:D257"/>
    <mergeCell ref="E256:G257"/>
    <mergeCell ref="H256:H257"/>
    <mergeCell ref="A254:A255"/>
    <mergeCell ref="B254:B255"/>
    <mergeCell ref="C254:C255"/>
    <mergeCell ref="D254:D255"/>
    <mergeCell ref="E254:G255"/>
    <mergeCell ref="H254:H255"/>
    <mergeCell ref="A252:A253"/>
    <mergeCell ref="B252:B253"/>
    <mergeCell ref="C252:C253"/>
    <mergeCell ref="D252:D253"/>
    <mergeCell ref="E252:G253"/>
    <mergeCell ref="H252:H253"/>
    <mergeCell ref="A250:A251"/>
    <mergeCell ref="B250:B251"/>
    <mergeCell ref="C250:C251"/>
    <mergeCell ref="D250:D251"/>
    <mergeCell ref="E250:G251"/>
    <mergeCell ref="H250:H251"/>
    <mergeCell ref="A248:A249"/>
    <mergeCell ref="B248:B249"/>
    <mergeCell ref="C248:C249"/>
    <mergeCell ref="D248:D249"/>
    <mergeCell ref="E248:G249"/>
    <mergeCell ref="H248:H249"/>
    <mergeCell ref="A246:A247"/>
    <mergeCell ref="B246:B247"/>
    <mergeCell ref="C246:C247"/>
    <mergeCell ref="D246:D247"/>
    <mergeCell ref="E246:G247"/>
    <mergeCell ref="H246:H247"/>
    <mergeCell ref="A244:A245"/>
    <mergeCell ref="B244:B245"/>
    <mergeCell ref="C244:C245"/>
    <mergeCell ref="D244:D245"/>
    <mergeCell ref="E244:G245"/>
    <mergeCell ref="H244:H245"/>
    <mergeCell ref="A242:A243"/>
    <mergeCell ref="B242:B243"/>
    <mergeCell ref="C242:C243"/>
    <mergeCell ref="D242:D243"/>
    <mergeCell ref="E242:G243"/>
    <mergeCell ref="H242:H243"/>
    <mergeCell ref="A240:A241"/>
    <mergeCell ref="B240:B241"/>
    <mergeCell ref="C240:C241"/>
    <mergeCell ref="D240:D241"/>
    <mergeCell ref="E240:G241"/>
    <mergeCell ref="H240:H241"/>
    <mergeCell ref="A238:A239"/>
    <mergeCell ref="B238:B239"/>
    <mergeCell ref="C238:C239"/>
    <mergeCell ref="D238:D239"/>
    <mergeCell ref="E238:G239"/>
    <mergeCell ref="H238:H239"/>
    <mergeCell ref="A236:A237"/>
    <mergeCell ref="B236:B237"/>
    <mergeCell ref="C236:C237"/>
    <mergeCell ref="D236:D237"/>
    <mergeCell ref="E236:G237"/>
    <mergeCell ref="H236:H237"/>
    <mergeCell ref="A234:A235"/>
    <mergeCell ref="B234:B235"/>
    <mergeCell ref="C234:C235"/>
    <mergeCell ref="D234:D235"/>
    <mergeCell ref="E234:G235"/>
    <mergeCell ref="H234:H235"/>
    <mergeCell ref="A232:A233"/>
    <mergeCell ref="B232:B233"/>
    <mergeCell ref="C232:C233"/>
    <mergeCell ref="D232:D233"/>
    <mergeCell ref="E232:G233"/>
    <mergeCell ref="H232:H233"/>
    <mergeCell ref="A230:A231"/>
    <mergeCell ref="B230:B231"/>
    <mergeCell ref="C230:C231"/>
    <mergeCell ref="D230:D231"/>
    <mergeCell ref="E230:G231"/>
    <mergeCell ref="H230:H231"/>
    <mergeCell ref="A228:A229"/>
    <mergeCell ref="B228:B229"/>
    <mergeCell ref="C228:C229"/>
    <mergeCell ref="D228:D229"/>
    <mergeCell ref="E228:G229"/>
    <mergeCell ref="H228:H229"/>
    <mergeCell ref="A226:A227"/>
    <mergeCell ref="B226:B227"/>
    <mergeCell ref="C226:C227"/>
    <mergeCell ref="D226:D227"/>
    <mergeCell ref="E226:G227"/>
    <mergeCell ref="H226:H227"/>
    <mergeCell ref="A224:A225"/>
    <mergeCell ref="B224:B225"/>
    <mergeCell ref="C224:C225"/>
    <mergeCell ref="D224:D225"/>
    <mergeCell ref="E224:G225"/>
    <mergeCell ref="H224:H225"/>
    <mergeCell ref="A222:A223"/>
    <mergeCell ref="B222:B223"/>
    <mergeCell ref="C222:C223"/>
    <mergeCell ref="D222:D223"/>
    <mergeCell ref="E222:G223"/>
    <mergeCell ref="H222:H223"/>
    <mergeCell ref="A220:A221"/>
    <mergeCell ref="B220:B221"/>
    <mergeCell ref="C220:C221"/>
    <mergeCell ref="D220:D221"/>
    <mergeCell ref="E220:G221"/>
    <mergeCell ref="H220:H221"/>
    <mergeCell ref="A218:A219"/>
    <mergeCell ref="B218:B219"/>
    <mergeCell ref="C218:C219"/>
    <mergeCell ref="D218:D219"/>
    <mergeCell ref="E218:G219"/>
    <mergeCell ref="H218:H219"/>
    <mergeCell ref="A216:A217"/>
    <mergeCell ref="B216:B217"/>
    <mergeCell ref="C216:C217"/>
    <mergeCell ref="D216:D217"/>
    <mergeCell ref="E216:G217"/>
    <mergeCell ref="H216:H217"/>
    <mergeCell ref="A214:A215"/>
    <mergeCell ref="B214:B215"/>
    <mergeCell ref="C214:C215"/>
    <mergeCell ref="D214:D215"/>
    <mergeCell ref="E214:G215"/>
    <mergeCell ref="H214:H215"/>
    <mergeCell ref="A212:A213"/>
    <mergeCell ref="B212:B213"/>
    <mergeCell ref="C212:C213"/>
    <mergeCell ref="D212:D213"/>
    <mergeCell ref="E212:G213"/>
    <mergeCell ref="H212:H213"/>
    <mergeCell ref="A210:A211"/>
    <mergeCell ref="B210:B211"/>
    <mergeCell ref="C210:C211"/>
    <mergeCell ref="D210:D211"/>
    <mergeCell ref="E210:G211"/>
    <mergeCell ref="H210:H211"/>
    <mergeCell ref="A208:A209"/>
    <mergeCell ref="B208:B209"/>
    <mergeCell ref="C208:C209"/>
    <mergeCell ref="D208:D209"/>
    <mergeCell ref="E208:G209"/>
    <mergeCell ref="H208:H209"/>
    <mergeCell ref="A206:A207"/>
    <mergeCell ref="B206:B207"/>
    <mergeCell ref="C206:C207"/>
    <mergeCell ref="D206:D207"/>
    <mergeCell ref="E206:G207"/>
    <mergeCell ref="H206:H207"/>
    <mergeCell ref="A204:A205"/>
    <mergeCell ref="B204:B205"/>
    <mergeCell ref="C204:C205"/>
    <mergeCell ref="D204:D205"/>
    <mergeCell ref="E204:G205"/>
    <mergeCell ref="H204:H205"/>
    <mergeCell ref="A202:A203"/>
    <mergeCell ref="B202:B203"/>
    <mergeCell ref="C202:C203"/>
    <mergeCell ref="D202:D203"/>
    <mergeCell ref="E202:G203"/>
    <mergeCell ref="H202:H203"/>
    <mergeCell ref="A200:A201"/>
    <mergeCell ref="B200:B201"/>
    <mergeCell ref="C200:C201"/>
    <mergeCell ref="D200:D201"/>
    <mergeCell ref="E200:G201"/>
    <mergeCell ref="H200:H201"/>
    <mergeCell ref="A198:A199"/>
    <mergeCell ref="B198:B199"/>
    <mergeCell ref="C198:C199"/>
    <mergeCell ref="D198:D199"/>
    <mergeCell ref="E198:G199"/>
    <mergeCell ref="H198:H199"/>
    <mergeCell ref="A196:A197"/>
    <mergeCell ref="B196:B197"/>
    <mergeCell ref="C196:C197"/>
    <mergeCell ref="D196:D197"/>
    <mergeCell ref="E196:G197"/>
    <mergeCell ref="H196:H197"/>
    <mergeCell ref="A194:A195"/>
    <mergeCell ref="B194:B195"/>
    <mergeCell ref="C194:C195"/>
    <mergeCell ref="D194:D195"/>
    <mergeCell ref="E194:G195"/>
    <mergeCell ref="H194:H195"/>
    <mergeCell ref="A192:A193"/>
    <mergeCell ref="B192:B193"/>
    <mergeCell ref="C192:C193"/>
    <mergeCell ref="D192:D193"/>
    <mergeCell ref="E192:G193"/>
    <mergeCell ref="H192:H193"/>
    <mergeCell ref="A190:A191"/>
    <mergeCell ref="B190:B191"/>
    <mergeCell ref="C190:C191"/>
    <mergeCell ref="D190:D191"/>
    <mergeCell ref="E190:G191"/>
    <mergeCell ref="H190:H191"/>
    <mergeCell ref="A188:A189"/>
    <mergeCell ref="B188:B189"/>
    <mergeCell ref="C188:C189"/>
    <mergeCell ref="D188:D189"/>
    <mergeCell ref="E188:G189"/>
    <mergeCell ref="H188:H189"/>
    <mergeCell ref="A186:A187"/>
    <mergeCell ref="B186:B187"/>
    <mergeCell ref="C186:C187"/>
    <mergeCell ref="D186:D187"/>
    <mergeCell ref="E186:G187"/>
    <mergeCell ref="H186:H187"/>
    <mergeCell ref="A184:A185"/>
    <mergeCell ref="B184:B185"/>
    <mergeCell ref="C184:C185"/>
    <mergeCell ref="D184:D185"/>
    <mergeCell ref="E184:G185"/>
    <mergeCell ref="H184:H185"/>
    <mergeCell ref="A182:A183"/>
    <mergeCell ref="B182:B183"/>
    <mergeCell ref="C182:C183"/>
    <mergeCell ref="D182:D183"/>
    <mergeCell ref="E182:G183"/>
    <mergeCell ref="H182:H183"/>
    <mergeCell ref="A180:A181"/>
    <mergeCell ref="B180:B181"/>
    <mergeCell ref="C180:C181"/>
    <mergeCell ref="D180:D181"/>
    <mergeCell ref="E180:G181"/>
    <mergeCell ref="H180:H181"/>
    <mergeCell ref="A178:A179"/>
    <mergeCell ref="B178:B179"/>
    <mergeCell ref="C178:C179"/>
    <mergeCell ref="D178:D179"/>
    <mergeCell ref="E178:G179"/>
    <mergeCell ref="H178:H179"/>
    <mergeCell ref="A176:A177"/>
    <mergeCell ref="B176:B177"/>
    <mergeCell ref="C176:C177"/>
    <mergeCell ref="D176:D177"/>
    <mergeCell ref="E176:G177"/>
    <mergeCell ref="H176:H177"/>
    <mergeCell ref="A174:A175"/>
    <mergeCell ref="B174:B175"/>
    <mergeCell ref="C174:C175"/>
    <mergeCell ref="D174:D175"/>
    <mergeCell ref="E174:G175"/>
    <mergeCell ref="H174:H175"/>
    <mergeCell ref="A172:A173"/>
    <mergeCell ref="B172:B173"/>
    <mergeCell ref="C172:C173"/>
    <mergeCell ref="D172:D173"/>
    <mergeCell ref="E172:G173"/>
    <mergeCell ref="H172:H173"/>
    <mergeCell ref="A170:A171"/>
    <mergeCell ref="B170:B171"/>
    <mergeCell ref="C170:C171"/>
    <mergeCell ref="D170:D171"/>
    <mergeCell ref="E170:G171"/>
    <mergeCell ref="H170:H171"/>
    <mergeCell ref="A168:A169"/>
    <mergeCell ref="B168:B169"/>
    <mergeCell ref="C168:C169"/>
    <mergeCell ref="D168:D169"/>
    <mergeCell ref="E168:G169"/>
    <mergeCell ref="H168:H169"/>
    <mergeCell ref="A166:A167"/>
    <mergeCell ref="B166:B167"/>
    <mergeCell ref="C166:C167"/>
    <mergeCell ref="D166:D167"/>
    <mergeCell ref="E166:G167"/>
    <mergeCell ref="H166:H167"/>
    <mergeCell ref="A164:A165"/>
    <mergeCell ref="B164:B165"/>
    <mergeCell ref="C164:C165"/>
    <mergeCell ref="D164:D165"/>
    <mergeCell ref="E164:G165"/>
    <mergeCell ref="H164:H165"/>
    <mergeCell ref="A162:A163"/>
    <mergeCell ref="B162:B163"/>
    <mergeCell ref="C162:C163"/>
    <mergeCell ref="D162:D163"/>
    <mergeCell ref="E162:G163"/>
    <mergeCell ref="H162:H163"/>
    <mergeCell ref="A160:A161"/>
    <mergeCell ref="B160:B161"/>
    <mergeCell ref="C160:C161"/>
    <mergeCell ref="D160:D161"/>
    <mergeCell ref="E160:G161"/>
    <mergeCell ref="H160:H161"/>
    <mergeCell ref="A152:A153"/>
    <mergeCell ref="B152:B153"/>
    <mergeCell ref="C152:C153"/>
    <mergeCell ref="D152:D153"/>
    <mergeCell ref="E152:G153"/>
    <mergeCell ref="H152:H153"/>
    <mergeCell ref="A154:H157"/>
    <mergeCell ref="A158:A159"/>
    <mergeCell ref="B158:B159"/>
    <mergeCell ref="C158:C159"/>
    <mergeCell ref="D158:D159"/>
    <mergeCell ref="E158:G159"/>
    <mergeCell ref="H158:H159"/>
    <mergeCell ref="A150:A151"/>
    <mergeCell ref="B150:B151"/>
    <mergeCell ref="C150:C151"/>
    <mergeCell ref="D150:D151"/>
    <mergeCell ref="E150:G151"/>
    <mergeCell ref="H150:H151"/>
    <mergeCell ref="A148:A149"/>
    <mergeCell ref="B148:B149"/>
    <mergeCell ref="C148:C149"/>
    <mergeCell ref="D148:D149"/>
    <mergeCell ref="E148:G149"/>
    <mergeCell ref="H148:H149"/>
    <mergeCell ref="A146:A147"/>
    <mergeCell ref="B146:B147"/>
    <mergeCell ref="C146:C147"/>
    <mergeCell ref="D146:D147"/>
    <mergeCell ref="E146:G147"/>
    <mergeCell ref="H146:H147"/>
    <mergeCell ref="A144:A145"/>
    <mergeCell ref="B144:B145"/>
    <mergeCell ref="C144:C145"/>
    <mergeCell ref="D144:D145"/>
    <mergeCell ref="E144:G145"/>
    <mergeCell ref="H144:H145"/>
    <mergeCell ref="A142:A143"/>
    <mergeCell ref="B142:B143"/>
    <mergeCell ref="C142:C143"/>
    <mergeCell ref="D142:D143"/>
    <mergeCell ref="E142:G143"/>
    <mergeCell ref="H142:H143"/>
    <mergeCell ref="A140:A141"/>
    <mergeCell ref="B140:B141"/>
    <mergeCell ref="C140:C141"/>
    <mergeCell ref="D140:D141"/>
    <mergeCell ref="E140:G141"/>
    <mergeCell ref="H140:H141"/>
    <mergeCell ref="A138:A139"/>
    <mergeCell ref="B138:B139"/>
    <mergeCell ref="C138:C139"/>
    <mergeCell ref="D138:D139"/>
    <mergeCell ref="E138:G139"/>
    <mergeCell ref="H138:H139"/>
    <mergeCell ref="A136:A137"/>
    <mergeCell ref="B136:B137"/>
    <mergeCell ref="C136:C137"/>
    <mergeCell ref="D136:D137"/>
    <mergeCell ref="E136:G137"/>
    <mergeCell ref="H136:H137"/>
    <mergeCell ref="A134:A135"/>
    <mergeCell ref="B134:B135"/>
    <mergeCell ref="C134:C135"/>
    <mergeCell ref="D134:D135"/>
    <mergeCell ref="E134:G135"/>
    <mergeCell ref="H134:H135"/>
    <mergeCell ref="A132:A133"/>
    <mergeCell ref="B132:B133"/>
    <mergeCell ref="C132:C133"/>
    <mergeCell ref="D132:D133"/>
    <mergeCell ref="E132:G133"/>
    <mergeCell ref="H132:H133"/>
    <mergeCell ref="A130:A131"/>
    <mergeCell ref="B130:B131"/>
    <mergeCell ref="C130:C131"/>
    <mergeCell ref="D130:D131"/>
    <mergeCell ref="E130:G131"/>
    <mergeCell ref="H130:H131"/>
    <mergeCell ref="A128:A129"/>
    <mergeCell ref="B128:B129"/>
    <mergeCell ref="C128:C129"/>
    <mergeCell ref="D128:D129"/>
    <mergeCell ref="E128:G129"/>
    <mergeCell ref="H128:H129"/>
    <mergeCell ref="A126:A127"/>
    <mergeCell ref="B126:B127"/>
    <mergeCell ref="C126:C127"/>
    <mergeCell ref="D126:D127"/>
    <mergeCell ref="E126:G127"/>
    <mergeCell ref="H126:H127"/>
    <mergeCell ref="A122:A123"/>
    <mergeCell ref="B122:G123"/>
    <mergeCell ref="H122:H123"/>
    <mergeCell ref="A124:A125"/>
    <mergeCell ref="B124:B125"/>
    <mergeCell ref="C124:C125"/>
    <mergeCell ref="D124:D125"/>
    <mergeCell ref="E124:G125"/>
    <mergeCell ref="H124:H125"/>
    <mergeCell ref="A120:A121"/>
    <mergeCell ref="B120:B121"/>
    <mergeCell ref="C120:C121"/>
    <mergeCell ref="D120:D121"/>
    <mergeCell ref="E120:G121"/>
    <mergeCell ref="H120:H121"/>
    <mergeCell ref="A118:A119"/>
    <mergeCell ref="B118:B119"/>
    <mergeCell ref="C118:C119"/>
    <mergeCell ref="D118:D119"/>
    <mergeCell ref="E118:G119"/>
    <mergeCell ref="H118:H119"/>
    <mergeCell ref="A116:A117"/>
    <mergeCell ref="B116:B117"/>
    <mergeCell ref="C116:C117"/>
    <mergeCell ref="D116:D117"/>
    <mergeCell ref="E116:G117"/>
    <mergeCell ref="H116:H117"/>
    <mergeCell ref="A114:A115"/>
    <mergeCell ref="B114:B115"/>
    <mergeCell ref="C114:C115"/>
    <mergeCell ref="D114:D115"/>
    <mergeCell ref="E114:G115"/>
    <mergeCell ref="H114:H115"/>
    <mergeCell ref="A112:A113"/>
    <mergeCell ref="B112:B113"/>
    <mergeCell ref="C112:C113"/>
    <mergeCell ref="D112:D113"/>
    <mergeCell ref="E112:G113"/>
    <mergeCell ref="H112:H113"/>
    <mergeCell ref="A110:A111"/>
    <mergeCell ref="B110:B111"/>
    <mergeCell ref="C110:C111"/>
    <mergeCell ref="D110:D111"/>
    <mergeCell ref="E110:G111"/>
    <mergeCell ref="H110:H111"/>
    <mergeCell ref="A108:A109"/>
    <mergeCell ref="B108:B109"/>
    <mergeCell ref="C108:C109"/>
    <mergeCell ref="D108:D109"/>
    <mergeCell ref="E108:G109"/>
    <mergeCell ref="H108:H109"/>
    <mergeCell ref="A106:A107"/>
    <mergeCell ref="B106:B107"/>
    <mergeCell ref="C106:C107"/>
    <mergeCell ref="D106:D107"/>
    <mergeCell ref="E106:G107"/>
    <mergeCell ref="H106:H107"/>
    <mergeCell ref="A104:A105"/>
    <mergeCell ref="B104:B105"/>
    <mergeCell ref="C104:C105"/>
    <mergeCell ref="D104:D105"/>
    <mergeCell ref="E104:G105"/>
    <mergeCell ref="H104:H105"/>
    <mergeCell ref="A102:A103"/>
    <mergeCell ref="B102:B103"/>
    <mergeCell ref="C102:C103"/>
    <mergeCell ref="D102:D103"/>
    <mergeCell ref="E102:G103"/>
    <mergeCell ref="H102:H103"/>
    <mergeCell ref="A100:A101"/>
    <mergeCell ref="B100:B101"/>
    <mergeCell ref="C100:C101"/>
    <mergeCell ref="D100:D101"/>
    <mergeCell ref="E100:G101"/>
    <mergeCell ref="H100:H101"/>
    <mergeCell ref="A98:A99"/>
    <mergeCell ref="B98:B99"/>
    <mergeCell ref="C98:C99"/>
    <mergeCell ref="D98:D99"/>
    <mergeCell ref="E98:G99"/>
    <mergeCell ref="H98:H99"/>
    <mergeCell ref="A96:A97"/>
    <mergeCell ref="B96:B97"/>
    <mergeCell ref="C96:C97"/>
    <mergeCell ref="D96:D97"/>
    <mergeCell ref="E96:G97"/>
    <mergeCell ref="H96:H97"/>
    <mergeCell ref="A94:A95"/>
    <mergeCell ref="B94:B95"/>
    <mergeCell ref="C94:C95"/>
    <mergeCell ref="D94:D95"/>
    <mergeCell ref="E94:G95"/>
    <mergeCell ref="H94:H95"/>
    <mergeCell ref="A92:A93"/>
    <mergeCell ref="B92:B93"/>
    <mergeCell ref="C92:C93"/>
    <mergeCell ref="D92:D93"/>
    <mergeCell ref="E92:G93"/>
    <mergeCell ref="H92:H93"/>
    <mergeCell ref="A88:A89"/>
    <mergeCell ref="B88:G89"/>
    <mergeCell ref="H88:H89"/>
    <mergeCell ref="A90:A91"/>
    <mergeCell ref="B90:B91"/>
    <mergeCell ref="C90:C91"/>
    <mergeCell ref="D90:D91"/>
    <mergeCell ref="E90:G91"/>
    <mergeCell ref="H90:H91"/>
    <mergeCell ref="A86:A87"/>
    <mergeCell ref="B86:B87"/>
    <mergeCell ref="C86:C87"/>
    <mergeCell ref="D86:D87"/>
    <mergeCell ref="E86:G87"/>
    <mergeCell ref="H86:H87"/>
    <mergeCell ref="A84:A85"/>
    <mergeCell ref="B84:B85"/>
    <mergeCell ref="C84:C85"/>
    <mergeCell ref="D84:D85"/>
    <mergeCell ref="E84:G85"/>
    <mergeCell ref="H84:H85"/>
    <mergeCell ref="A82:A83"/>
    <mergeCell ref="B82:B83"/>
    <mergeCell ref="C82:C83"/>
    <mergeCell ref="D82:D83"/>
    <mergeCell ref="E82:G83"/>
    <mergeCell ref="H82:H83"/>
    <mergeCell ref="A80:A81"/>
    <mergeCell ref="B80:B81"/>
    <mergeCell ref="C80:C81"/>
    <mergeCell ref="D80:D81"/>
    <mergeCell ref="E80:G81"/>
    <mergeCell ref="H80:H81"/>
    <mergeCell ref="A78:A79"/>
    <mergeCell ref="B78:B79"/>
    <mergeCell ref="C78:C79"/>
    <mergeCell ref="D78:D79"/>
    <mergeCell ref="E78:G79"/>
    <mergeCell ref="H78:H79"/>
    <mergeCell ref="A76:A77"/>
    <mergeCell ref="B76:B77"/>
    <mergeCell ref="C76:C77"/>
    <mergeCell ref="D76:D77"/>
    <mergeCell ref="E76:G77"/>
    <mergeCell ref="H76:H77"/>
    <mergeCell ref="A74:A75"/>
    <mergeCell ref="B74:B75"/>
    <mergeCell ref="C74:C75"/>
    <mergeCell ref="D74:D75"/>
    <mergeCell ref="E74:G75"/>
    <mergeCell ref="H74:H75"/>
    <mergeCell ref="A72:A73"/>
    <mergeCell ref="B72:B73"/>
    <mergeCell ref="C72:C73"/>
    <mergeCell ref="D72:D73"/>
    <mergeCell ref="E72:G73"/>
    <mergeCell ref="H72:H73"/>
    <mergeCell ref="A70:A71"/>
    <mergeCell ref="B70:B71"/>
    <mergeCell ref="C70:C71"/>
    <mergeCell ref="D70:D71"/>
    <mergeCell ref="E70:G71"/>
    <mergeCell ref="H70:H71"/>
    <mergeCell ref="A68:A69"/>
    <mergeCell ref="B68:B69"/>
    <mergeCell ref="C68:C69"/>
    <mergeCell ref="D68:D69"/>
    <mergeCell ref="E68:G69"/>
    <mergeCell ref="H68:H69"/>
    <mergeCell ref="A66:A67"/>
    <mergeCell ref="B66:B67"/>
    <mergeCell ref="C66:C67"/>
    <mergeCell ref="D66:D67"/>
    <mergeCell ref="E66:G67"/>
    <mergeCell ref="H66:H67"/>
    <mergeCell ref="A64:A65"/>
    <mergeCell ref="B64:B65"/>
    <mergeCell ref="C64:C65"/>
    <mergeCell ref="D64:D65"/>
    <mergeCell ref="E64:G65"/>
    <mergeCell ref="H64:H65"/>
    <mergeCell ref="A60:A61"/>
    <mergeCell ref="B60:H61"/>
    <mergeCell ref="A62:A63"/>
    <mergeCell ref="B62:B63"/>
    <mergeCell ref="C62:C63"/>
    <mergeCell ref="D62:D63"/>
    <mergeCell ref="E62:G63"/>
    <mergeCell ref="H62:H63"/>
    <mergeCell ref="A58:A59"/>
    <mergeCell ref="B58:B59"/>
    <mergeCell ref="C58:C59"/>
    <mergeCell ref="D58:D59"/>
    <mergeCell ref="E58:G59"/>
    <mergeCell ref="H58:H59"/>
    <mergeCell ref="A56:A57"/>
    <mergeCell ref="B56:B57"/>
    <mergeCell ref="C56:C57"/>
    <mergeCell ref="D56:D57"/>
    <mergeCell ref="E56:G57"/>
    <mergeCell ref="H56:H57"/>
    <mergeCell ref="A54:A55"/>
    <mergeCell ref="B54:B55"/>
    <mergeCell ref="C54:C55"/>
    <mergeCell ref="D54:D55"/>
    <mergeCell ref="E54:G55"/>
    <mergeCell ref="H54:H55"/>
    <mergeCell ref="A52:A53"/>
    <mergeCell ref="B52:B53"/>
    <mergeCell ref="C52:C53"/>
    <mergeCell ref="D52:D53"/>
    <mergeCell ref="E52:G53"/>
    <mergeCell ref="H52:H53"/>
    <mergeCell ref="A50:A51"/>
    <mergeCell ref="B50:B51"/>
    <mergeCell ref="C50:C51"/>
    <mergeCell ref="D50:D51"/>
    <mergeCell ref="E50:G51"/>
    <mergeCell ref="H50:H51"/>
    <mergeCell ref="A48:A49"/>
    <mergeCell ref="B48:B49"/>
    <mergeCell ref="C48:C49"/>
    <mergeCell ref="D48:D49"/>
    <mergeCell ref="E48:G49"/>
    <mergeCell ref="H48:H49"/>
    <mergeCell ref="A46:A47"/>
    <mergeCell ref="B46:B47"/>
    <mergeCell ref="C46:C47"/>
    <mergeCell ref="D46:D47"/>
    <mergeCell ref="E46:G47"/>
    <mergeCell ref="H46:H47"/>
    <mergeCell ref="A44:A45"/>
    <mergeCell ref="B44:B45"/>
    <mergeCell ref="C44:C45"/>
    <mergeCell ref="D44:D45"/>
    <mergeCell ref="E44:G45"/>
    <mergeCell ref="H44:H45"/>
    <mergeCell ref="A42:A43"/>
    <mergeCell ref="B42:B43"/>
    <mergeCell ref="C42:C43"/>
    <mergeCell ref="D42:D43"/>
    <mergeCell ref="E42:G43"/>
    <mergeCell ref="H42:H43"/>
    <mergeCell ref="A40:A41"/>
    <mergeCell ref="B40:B41"/>
    <mergeCell ref="C40:C41"/>
    <mergeCell ref="D40:D41"/>
    <mergeCell ref="E40:G41"/>
    <mergeCell ref="H40:H41"/>
    <mergeCell ref="A38:A39"/>
    <mergeCell ref="B38:B39"/>
    <mergeCell ref="C38:C39"/>
    <mergeCell ref="D38:D39"/>
    <mergeCell ref="E38:G39"/>
    <mergeCell ref="H38:H39"/>
    <mergeCell ref="A36:A37"/>
    <mergeCell ref="B36:B37"/>
    <mergeCell ref="C36:C37"/>
    <mergeCell ref="D36:D37"/>
    <mergeCell ref="E36:G37"/>
    <mergeCell ref="H36:H37"/>
    <mergeCell ref="A34:A35"/>
    <mergeCell ref="B34:B35"/>
    <mergeCell ref="C34:C35"/>
    <mergeCell ref="D34:D35"/>
    <mergeCell ref="E34:G35"/>
    <mergeCell ref="H34:H35"/>
    <mergeCell ref="A32:A33"/>
    <mergeCell ref="B32:B33"/>
    <mergeCell ref="C32:C33"/>
    <mergeCell ref="D32:D33"/>
    <mergeCell ref="E32:G33"/>
    <mergeCell ref="H32:H33"/>
    <mergeCell ref="A30:A31"/>
    <mergeCell ref="B30:B31"/>
    <mergeCell ref="C30:C31"/>
    <mergeCell ref="D30:D31"/>
    <mergeCell ref="E30:G31"/>
    <mergeCell ref="H30:H31"/>
    <mergeCell ref="A26:A27"/>
    <mergeCell ref="B26:H27"/>
    <mergeCell ref="A28:A29"/>
    <mergeCell ref="B28:B29"/>
    <mergeCell ref="C28:C29"/>
    <mergeCell ref="D28:D29"/>
    <mergeCell ref="E28:G29"/>
    <mergeCell ref="H28:H29"/>
    <mergeCell ref="A24:A25"/>
    <mergeCell ref="B24:B25"/>
    <mergeCell ref="C24:C25"/>
    <mergeCell ref="D24:D25"/>
    <mergeCell ref="E24:G25"/>
    <mergeCell ref="H24:H25"/>
    <mergeCell ref="A22:A23"/>
    <mergeCell ref="B22:B23"/>
    <mergeCell ref="C22:C23"/>
    <mergeCell ref="D22:D23"/>
    <mergeCell ref="E22:G23"/>
    <mergeCell ref="H22:H23"/>
    <mergeCell ref="A20:A21"/>
    <mergeCell ref="B20:B21"/>
    <mergeCell ref="C20:C21"/>
    <mergeCell ref="D20:D21"/>
    <mergeCell ref="E20:G21"/>
    <mergeCell ref="H20:H21"/>
    <mergeCell ref="A18:A19"/>
    <mergeCell ref="B18:B19"/>
    <mergeCell ref="C18:C19"/>
    <mergeCell ref="D18:D19"/>
    <mergeCell ref="E18:G19"/>
    <mergeCell ref="H18:H19"/>
    <mergeCell ref="A16:A17"/>
    <mergeCell ref="B16:B17"/>
    <mergeCell ref="C16:C17"/>
    <mergeCell ref="D16:D17"/>
    <mergeCell ref="E16:G17"/>
    <mergeCell ref="H16:H17"/>
    <mergeCell ref="A14:A15"/>
    <mergeCell ref="B14:B15"/>
    <mergeCell ref="C14:C15"/>
    <mergeCell ref="D14:D15"/>
    <mergeCell ref="E14:G15"/>
    <mergeCell ref="H14:H15"/>
    <mergeCell ref="A12:A13"/>
    <mergeCell ref="B12:B13"/>
    <mergeCell ref="C12:C13"/>
    <mergeCell ref="D12:D13"/>
    <mergeCell ref="E12:G13"/>
    <mergeCell ref="H12:H13"/>
    <mergeCell ref="A10:A11"/>
    <mergeCell ref="B10:B11"/>
    <mergeCell ref="C10:C11"/>
    <mergeCell ref="D10:D11"/>
    <mergeCell ref="E10:G11"/>
    <mergeCell ref="H10:H11"/>
    <mergeCell ref="A8:A9"/>
    <mergeCell ref="B8:B9"/>
    <mergeCell ref="C8:C9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A3:H3"/>
    <mergeCell ref="A4:A5"/>
    <mergeCell ref="B4:B5"/>
    <mergeCell ref="C4:C5"/>
    <mergeCell ref="D4:D5"/>
    <mergeCell ref="E4:G5"/>
    <mergeCell ref="H4:H5"/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</mergeCells>
  <phoneticPr fontId="1" type="noConversion"/>
  <pageMargins left="0" right="0" top="0" bottom="0" header="0" footer="0"/>
  <pageSetup paperSize="9" scale="3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295"/>
  <sheetViews>
    <sheetView showGridLines="0" zoomScale="115" zoomScaleNormal="115" workbookViewId="0">
      <pane xSplit="8" ySplit="2" topLeftCell="I138" activePane="bottomRight" state="frozen"/>
      <selection pane="topRight" activeCell="I1" sqref="I1"/>
      <selection pane="bottomLeft" activeCell="A3" sqref="A3"/>
      <selection pane="bottomRight" activeCell="E8" sqref="E8:G9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0" max="11" width="9.5" bestFit="1" customWidth="1"/>
    <col min="12" max="12" width="11" bestFit="1" customWidth="1"/>
  </cols>
  <sheetData>
    <row r="1" spans="1:18" ht="35.25" customHeight="1" thickBot="1">
      <c r="A1" s="388" t="s">
        <v>1236</v>
      </c>
      <c r="B1" s="389"/>
      <c r="C1" s="402" t="s">
        <v>27</v>
      </c>
      <c r="D1" s="403"/>
      <c r="E1" s="21" t="s">
        <v>26</v>
      </c>
      <c r="F1" s="20">
        <f>H1/26</f>
        <v>601653.84615384613</v>
      </c>
      <c r="G1" s="21" t="s">
        <v>4</v>
      </c>
      <c r="H1" s="22">
        <f>SUM(D4:D295)</f>
        <v>15643000</v>
      </c>
      <c r="I1" s="392"/>
      <c r="J1" s="338"/>
      <c r="K1" s="394"/>
      <c r="L1" s="396"/>
      <c r="M1" s="377"/>
      <c r="N1" s="379"/>
      <c r="O1" s="381"/>
      <c r="P1" s="383"/>
      <c r="Q1" s="377"/>
      <c r="R1" s="376"/>
    </row>
    <row r="2" spans="1:18" ht="17.25" thickBot="1">
      <c r="A2" s="27" t="s">
        <v>0</v>
      </c>
      <c r="B2" s="28" t="s">
        <v>1</v>
      </c>
      <c r="C2" s="28" t="s">
        <v>2</v>
      </c>
      <c r="D2" s="29" t="s">
        <v>3</v>
      </c>
      <c r="E2" s="385" t="s">
        <v>25</v>
      </c>
      <c r="F2" s="386"/>
      <c r="G2" s="387"/>
      <c r="H2" s="25" t="s">
        <v>5</v>
      </c>
      <c r="I2" s="393"/>
      <c r="J2" s="333"/>
      <c r="K2" s="395"/>
      <c r="L2" s="397"/>
      <c r="M2" s="378"/>
      <c r="N2" s="380"/>
      <c r="O2" s="382"/>
      <c r="P2" s="384"/>
      <c r="Q2" s="378"/>
      <c r="R2" s="376"/>
    </row>
    <row r="3" spans="1:18" ht="36" customHeight="1">
      <c r="A3" s="441" t="s">
        <v>1059</v>
      </c>
      <c r="B3" s="442"/>
      <c r="C3" s="442"/>
      <c r="D3" s="442"/>
      <c r="E3" s="442"/>
      <c r="F3" s="442"/>
      <c r="G3" s="442"/>
      <c r="H3" s="443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322" t="s">
        <v>1006</v>
      </c>
      <c r="B4" s="444" t="s">
        <v>1008</v>
      </c>
      <c r="C4" s="325"/>
      <c r="D4" s="326">
        <v>43000</v>
      </c>
      <c r="E4" s="327" t="s">
        <v>1009</v>
      </c>
      <c r="F4" s="328"/>
      <c r="G4" s="329"/>
      <c r="H4" s="398" t="s">
        <v>1011</v>
      </c>
      <c r="J4" s="42" t="s">
        <v>932</v>
      </c>
    </row>
    <row r="5" spans="1:18" ht="16.5" customHeight="1">
      <c r="A5" s="323"/>
      <c r="B5" s="445"/>
      <c r="C5" s="325"/>
      <c r="D5" s="326"/>
      <c r="E5" s="330"/>
      <c r="F5" s="331"/>
      <c r="G5" s="332"/>
      <c r="H5" s="399"/>
      <c r="J5" s="43"/>
    </row>
    <row r="6" spans="1:18" ht="16.5" customHeight="1">
      <c r="A6" s="322" t="s">
        <v>1006</v>
      </c>
      <c r="B6" s="439" t="s">
        <v>1007</v>
      </c>
      <c r="C6" s="341"/>
      <c r="D6" s="343">
        <v>53000</v>
      </c>
      <c r="E6" s="327" t="s">
        <v>1010</v>
      </c>
      <c r="F6" s="345"/>
      <c r="G6" s="346"/>
      <c r="H6" s="398" t="s">
        <v>1011</v>
      </c>
      <c r="J6" s="43" t="s">
        <v>933</v>
      </c>
    </row>
    <row r="7" spans="1:18" ht="16.5" customHeight="1">
      <c r="A7" s="323"/>
      <c r="B7" s="440"/>
      <c r="C7" s="352"/>
      <c r="D7" s="344"/>
      <c r="E7" s="347"/>
      <c r="F7" s="348"/>
      <c r="G7" s="349"/>
      <c r="H7" s="399"/>
      <c r="J7" s="43" t="s">
        <v>999</v>
      </c>
    </row>
    <row r="8" spans="1:18" ht="16.5" customHeight="1">
      <c r="A8" s="322" t="s">
        <v>1006</v>
      </c>
      <c r="B8" s="439" t="s">
        <v>1012</v>
      </c>
      <c r="C8" s="353"/>
      <c r="D8" s="343">
        <v>140000</v>
      </c>
      <c r="E8" s="327" t="s">
        <v>1013</v>
      </c>
      <c r="F8" s="345"/>
      <c r="G8" s="346"/>
      <c r="H8" s="398" t="s">
        <v>145</v>
      </c>
      <c r="J8" s="43" t="s">
        <v>935</v>
      </c>
    </row>
    <row r="9" spans="1:18" ht="14.25" customHeight="1">
      <c r="A9" s="323"/>
      <c r="B9" s="440"/>
      <c r="C9" s="352"/>
      <c r="D9" s="344"/>
      <c r="E9" s="347"/>
      <c r="F9" s="348"/>
      <c r="G9" s="349"/>
      <c r="H9" s="399"/>
    </row>
    <row r="10" spans="1:18" ht="16.5" customHeight="1">
      <c r="A10" s="335" t="s">
        <v>1014</v>
      </c>
      <c r="B10" s="439" t="s">
        <v>1015</v>
      </c>
      <c r="C10" s="353"/>
      <c r="D10" s="343">
        <v>170000</v>
      </c>
      <c r="E10" s="327" t="s">
        <v>1019</v>
      </c>
      <c r="F10" s="345"/>
      <c r="G10" s="346"/>
      <c r="H10" s="398" t="s">
        <v>145</v>
      </c>
    </row>
    <row r="11" spans="1:18" ht="16.5" customHeight="1">
      <c r="A11" s="336"/>
      <c r="B11" s="440"/>
      <c r="C11" s="352"/>
      <c r="D11" s="344"/>
      <c r="E11" s="347"/>
      <c r="F11" s="348"/>
      <c r="G11" s="349"/>
      <c r="H11" s="399"/>
    </row>
    <row r="12" spans="1:18" ht="16.5" customHeight="1">
      <c r="A12" s="335" t="s">
        <v>1014</v>
      </c>
      <c r="B12" s="444" t="s">
        <v>1016</v>
      </c>
      <c r="C12" s="324"/>
      <c r="D12" s="326">
        <v>320000</v>
      </c>
      <c r="E12" s="327" t="s">
        <v>1017</v>
      </c>
      <c r="F12" s="328"/>
      <c r="G12" s="329"/>
      <c r="H12" s="398" t="s">
        <v>1018</v>
      </c>
    </row>
    <row r="13" spans="1:18" ht="16.5" customHeight="1">
      <c r="A13" s="336"/>
      <c r="B13" s="445"/>
      <c r="C13" s="325"/>
      <c r="D13" s="326"/>
      <c r="E13" s="330"/>
      <c r="F13" s="331"/>
      <c r="G13" s="332"/>
      <c r="H13" s="399"/>
    </row>
    <row r="14" spans="1:18" ht="16.5" customHeight="1">
      <c r="A14" s="322" t="s">
        <v>1020</v>
      </c>
      <c r="B14" s="444" t="s">
        <v>1021</v>
      </c>
      <c r="C14" s="324" t="s">
        <v>1023</v>
      </c>
      <c r="D14" s="326">
        <v>1100000</v>
      </c>
      <c r="E14" s="327" t="s">
        <v>1024</v>
      </c>
      <c r="F14" s="328"/>
      <c r="G14" s="329"/>
      <c r="H14" s="398" t="s">
        <v>145</v>
      </c>
    </row>
    <row r="15" spans="1:18" ht="16.5" customHeight="1">
      <c r="A15" s="323"/>
      <c r="B15" s="445"/>
      <c r="C15" s="325"/>
      <c r="D15" s="326"/>
      <c r="E15" s="330"/>
      <c r="F15" s="331"/>
      <c r="G15" s="332"/>
      <c r="H15" s="399"/>
    </row>
    <row r="16" spans="1:18" ht="16.5" customHeight="1">
      <c r="A16" s="322" t="s">
        <v>1020</v>
      </c>
      <c r="B16" s="439" t="s">
        <v>1025</v>
      </c>
      <c r="C16" s="324" t="s">
        <v>1022</v>
      </c>
      <c r="D16" s="343">
        <v>550000</v>
      </c>
      <c r="E16" s="327" t="s">
        <v>1026</v>
      </c>
      <c r="F16" s="345"/>
      <c r="G16" s="346"/>
      <c r="H16" s="398" t="s">
        <v>145</v>
      </c>
    </row>
    <row r="17" spans="1:11" ht="39" customHeight="1">
      <c r="A17" s="323"/>
      <c r="B17" s="440"/>
      <c r="C17" s="325"/>
      <c r="D17" s="344"/>
      <c r="E17" s="347"/>
      <c r="F17" s="348"/>
      <c r="G17" s="349"/>
      <c r="H17" s="399"/>
    </row>
    <row r="18" spans="1:11" ht="16.5" customHeight="1">
      <c r="A18" s="322" t="s">
        <v>1027</v>
      </c>
      <c r="B18" s="439" t="s">
        <v>1030</v>
      </c>
      <c r="C18" s="341"/>
      <c r="D18" s="326">
        <v>110000</v>
      </c>
      <c r="E18" s="327" t="s">
        <v>1031</v>
      </c>
      <c r="F18" s="328"/>
      <c r="G18" s="329"/>
      <c r="H18" s="398" t="s">
        <v>145</v>
      </c>
    </row>
    <row r="19" spans="1:11" ht="16.5" customHeight="1">
      <c r="A19" s="323"/>
      <c r="B19" s="440"/>
      <c r="C19" s="342"/>
      <c r="D19" s="326"/>
      <c r="E19" s="330"/>
      <c r="F19" s="331"/>
      <c r="G19" s="332"/>
      <c r="H19" s="399"/>
    </row>
    <row r="20" spans="1:11" ht="16.5" customHeight="1">
      <c r="A20" s="322" t="s">
        <v>1027</v>
      </c>
      <c r="B20" s="439" t="s">
        <v>1032</v>
      </c>
      <c r="C20" s="341" t="s">
        <v>1037</v>
      </c>
      <c r="D20" s="343">
        <v>100000</v>
      </c>
      <c r="E20" s="327" t="s">
        <v>1036</v>
      </c>
      <c r="F20" s="345"/>
      <c r="G20" s="346"/>
      <c r="H20" s="398" t="s">
        <v>145</v>
      </c>
    </row>
    <row r="21" spans="1:11" ht="16.5" customHeight="1">
      <c r="A21" s="323"/>
      <c r="B21" s="440"/>
      <c r="C21" s="342"/>
      <c r="D21" s="344"/>
      <c r="E21" s="347"/>
      <c r="F21" s="348"/>
      <c r="G21" s="349"/>
      <c r="H21" s="399"/>
    </row>
    <row r="22" spans="1:11" ht="16.5" customHeight="1">
      <c r="A22" s="322" t="s">
        <v>1027</v>
      </c>
      <c r="B22" s="439" t="s">
        <v>1033</v>
      </c>
      <c r="C22" s="341" t="s">
        <v>813</v>
      </c>
      <c r="D22" s="343">
        <v>110000</v>
      </c>
      <c r="E22" s="327" t="s">
        <v>1035</v>
      </c>
      <c r="F22" s="345"/>
      <c r="G22" s="346"/>
      <c r="H22" s="398" t="s">
        <v>145</v>
      </c>
    </row>
    <row r="23" spans="1:11" ht="16.5" customHeight="1">
      <c r="A23" s="323"/>
      <c r="B23" s="440"/>
      <c r="C23" s="352"/>
      <c r="D23" s="344"/>
      <c r="E23" s="347"/>
      <c r="F23" s="348"/>
      <c r="G23" s="349"/>
      <c r="H23" s="399"/>
    </row>
    <row r="24" spans="1:11" ht="16.5" customHeight="1">
      <c r="A24" s="322" t="s">
        <v>1027</v>
      </c>
      <c r="B24" s="444" t="s">
        <v>1034</v>
      </c>
      <c r="C24" s="324" t="s">
        <v>1023</v>
      </c>
      <c r="D24" s="326">
        <v>120000</v>
      </c>
      <c r="E24" s="327" t="s">
        <v>1038</v>
      </c>
      <c r="F24" s="328"/>
      <c r="G24" s="329"/>
      <c r="H24" s="398" t="s">
        <v>145</v>
      </c>
    </row>
    <row r="25" spans="1:11" ht="16.5" customHeight="1">
      <c r="A25" s="323"/>
      <c r="B25" s="445"/>
      <c r="C25" s="325"/>
      <c r="D25" s="326"/>
      <c r="E25" s="330"/>
      <c r="F25" s="331"/>
      <c r="G25" s="332"/>
      <c r="H25" s="399"/>
    </row>
    <row r="26" spans="1:11" ht="16.5" customHeight="1">
      <c r="A26" s="335" t="s">
        <v>1041</v>
      </c>
      <c r="B26" s="444" t="s">
        <v>1039</v>
      </c>
      <c r="C26" s="325"/>
      <c r="D26" s="326">
        <v>210000</v>
      </c>
      <c r="E26" s="327" t="s">
        <v>1040</v>
      </c>
      <c r="F26" s="328"/>
      <c r="G26" s="329"/>
      <c r="H26" s="398" t="s">
        <v>145</v>
      </c>
    </row>
    <row r="27" spans="1:11" ht="16.5" customHeight="1">
      <c r="A27" s="336"/>
      <c r="B27" s="445"/>
      <c r="C27" s="325"/>
      <c r="D27" s="326"/>
      <c r="E27" s="330"/>
      <c r="F27" s="331"/>
      <c r="G27" s="332"/>
      <c r="H27" s="399"/>
    </row>
    <row r="28" spans="1:11" ht="16.5" customHeight="1">
      <c r="A28" s="335" t="s">
        <v>1041</v>
      </c>
      <c r="B28" s="444" t="s">
        <v>1043</v>
      </c>
      <c r="C28" s="324"/>
      <c r="D28" s="326">
        <v>125000</v>
      </c>
      <c r="E28" s="327" t="s">
        <v>1044</v>
      </c>
      <c r="F28" s="328"/>
      <c r="G28" s="329"/>
      <c r="H28" s="360" t="s">
        <v>1045</v>
      </c>
    </row>
    <row r="29" spans="1:11" ht="16.5" customHeight="1">
      <c r="A29" s="336"/>
      <c r="B29" s="445"/>
      <c r="C29" s="325"/>
      <c r="D29" s="326"/>
      <c r="E29" s="330"/>
      <c r="F29" s="331"/>
      <c r="G29" s="332"/>
      <c r="H29" s="359"/>
      <c r="K29" s="24"/>
    </row>
    <row r="30" spans="1:11" ht="16.5" customHeight="1">
      <c r="A30" s="335" t="s">
        <v>1041</v>
      </c>
      <c r="B30" s="444" t="s">
        <v>1042</v>
      </c>
      <c r="C30" s="341"/>
      <c r="D30" s="326">
        <v>50000</v>
      </c>
      <c r="E30" s="364" t="s">
        <v>1046</v>
      </c>
      <c r="F30" s="365"/>
      <c r="G30" s="366"/>
      <c r="H30" s="360" t="s">
        <v>1047</v>
      </c>
    </row>
    <row r="31" spans="1:11" ht="23.25" customHeight="1">
      <c r="A31" s="336"/>
      <c r="B31" s="445"/>
      <c r="C31" s="342"/>
      <c r="D31" s="326"/>
      <c r="E31" s="347"/>
      <c r="F31" s="348"/>
      <c r="G31" s="349"/>
      <c r="H31" s="359"/>
    </row>
    <row r="32" spans="1:11" ht="16.5" customHeight="1">
      <c r="A32" s="335" t="s">
        <v>1048</v>
      </c>
      <c r="B32" s="444" t="s">
        <v>1049</v>
      </c>
      <c r="C32" s="341"/>
      <c r="D32" s="326">
        <v>350000</v>
      </c>
      <c r="E32" s="364" t="s">
        <v>1050</v>
      </c>
      <c r="F32" s="365"/>
      <c r="G32" s="366"/>
      <c r="H32" s="360" t="s">
        <v>1051</v>
      </c>
    </row>
    <row r="33" spans="1:11" ht="22.5" customHeight="1">
      <c r="A33" s="336"/>
      <c r="B33" s="445"/>
      <c r="C33" s="352"/>
      <c r="D33" s="326"/>
      <c r="E33" s="347"/>
      <c r="F33" s="348"/>
      <c r="G33" s="349"/>
      <c r="H33" s="359"/>
      <c r="K33" s="24"/>
    </row>
    <row r="34" spans="1:11" ht="16.5" customHeight="1">
      <c r="A34" s="335" t="s">
        <v>1048</v>
      </c>
      <c r="B34" s="444" t="s">
        <v>1052</v>
      </c>
      <c r="C34" s="353"/>
      <c r="D34" s="343">
        <v>88000</v>
      </c>
      <c r="E34" s="327" t="s">
        <v>1053</v>
      </c>
      <c r="F34" s="345"/>
      <c r="G34" s="346"/>
      <c r="H34" s="360" t="s">
        <v>1051</v>
      </c>
    </row>
    <row r="35" spans="1:11" ht="16.5" customHeight="1">
      <c r="A35" s="336"/>
      <c r="B35" s="445"/>
      <c r="C35" s="352"/>
      <c r="D35" s="344"/>
      <c r="E35" s="347"/>
      <c r="F35" s="348"/>
      <c r="G35" s="349"/>
      <c r="H35" s="359"/>
    </row>
    <row r="36" spans="1:11" ht="16.5" customHeight="1">
      <c r="A36" s="335" t="s">
        <v>1048</v>
      </c>
      <c r="B36" s="439" t="s">
        <v>41</v>
      </c>
      <c r="C36" s="341" t="s">
        <v>1029</v>
      </c>
      <c r="D36" s="326">
        <v>270000</v>
      </c>
      <c r="E36" s="327" t="s">
        <v>1028</v>
      </c>
      <c r="F36" s="345"/>
      <c r="G36" s="346"/>
      <c r="H36" s="398" t="s">
        <v>145</v>
      </c>
    </row>
    <row r="37" spans="1:11" ht="16.5" customHeight="1">
      <c r="A37" s="336"/>
      <c r="B37" s="440"/>
      <c r="C37" s="342"/>
      <c r="D37" s="326"/>
      <c r="E37" s="347"/>
      <c r="F37" s="348"/>
      <c r="G37" s="349"/>
      <c r="H37" s="399"/>
    </row>
    <row r="38" spans="1:11" ht="16.5" customHeight="1">
      <c r="A38" s="335" t="s">
        <v>1048</v>
      </c>
      <c r="B38" s="444" t="s">
        <v>1054</v>
      </c>
      <c r="C38" s="341"/>
      <c r="D38" s="343">
        <v>61000</v>
      </c>
      <c r="E38" s="327"/>
      <c r="F38" s="328"/>
      <c r="G38" s="329"/>
      <c r="H38" s="360" t="s">
        <v>1058</v>
      </c>
      <c r="K38" s="24"/>
    </row>
    <row r="39" spans="1:11" ht="16.5" customHeight="1">
      <c r="A39" s="336"/>
      <c r="B39" s="445"/>
      <c r="C39" s="342"/>
      <c r="D39" s="344"/>
      <c r="E39" s="330"/>
      <c r="F39" s="331"/>
      <c r="G39" s="332"/>
      <c r="H39" s="359"/>
      <c r="K39" s="24"/>
    </row>
    <row r="40" spans="1:11" ht="16.5" customHeight="1">
      <c r="A40" s="335" t="s">
        <v>1048</v>
      </c>
      <c r="B40" s="444" t="s">
        <v>1055</v>
      </c>
      <c r="C40" s="341"/>
      <c r="D40" s="326">
        <v>80000</v>
      </c>
      <c r="E40" s="337" t="s">
        <v>1056</v>
      </c>
      <c r="F40" s="326"/>
      <c r="G40" s="326"/>
      <c r="H40" s="359" t="s">
        <v>1057</v>
      </c>
      <c r="I40" s="4"/>
    </row>
    <row r="41" spans="1:11" ht="16.5" customHeight="1">
      <c r="A41" s="336"/>
      <c r="B41" s="445"/>
      <c r="C41" s="342"/>
      <c r="D41" s="326"/>
      <c r="E41" s="326"/>
      <c r="F41" s="326"/>
      <c r="G41" s="326"/>
      <c r="H41" s="359"/>
    </row>
    <row r="42" spans="1:11" ht="16.5" customHeight="1">
      <c r="A42" s="322"/>
      <c r="B42" s="490" t="s">
        <v>1106</v>
      </c>
      <c r="C42" s="491"/>
      <c r="D42" s="491"/>
      <c r="E42" s="491"/>
      <c r="F42" s="491"/>
      <c r="G42" s="491"/>
      <c r="H42" s="492"/>
    </row>
    <row r="43" spans="1:11" ht="57.75" customHeight="1">
      <c r="A43" s="323"/>
      <c r="B43" s="493"/>
      <c r="C43" s="494"/>
      <c r="D43" s="494"/>
      <c r="E43" s="494"/>
      <c r="F43" s="494"/>
      <c r="G43" s="494"/>
      <c r="H43" s="495"/>
    </row>
    <row r="44" spans="1:11" ht="16.5" customHeight="1">
      <c r="A44" s="322" t="s">
        <v>1060</v>
      </c>
      <c r="B44" s="496" t="s">
        <v>1061</v>
      </c>
      <c r="C44" s="325"/>
      <c r="D44" s="326">
        <v>240000</v>
      </c>
      <c r="E44" s="327" t="s">
        <v>1065</v>
      </c>
      <c r="F44" s="328"/>
      <c r="G44" s="329"/>
      <c r="H44" s="360" t="s">
        <v>145</v>
      </c>
    </row>
    <row r="45" spans="1:11" ht="16.5" customHeight="1">
      <c r="A45" s="323"/>
      <c r="B45" s="497"/>
      <c r="C45" s="325"/>
      <c r="D45" s="326"/>
      <c r="E45" s="330"/>
      <c r="F45" s="331"/>
      <c r="G45" s="332"/>
      <c r="H45" s="359"/>
    </row>
    <row r="46" spans="1:11" ht="16.5" customHeight="1">
      <c r="A46" s="322" t="s">
        <v>1060</v>
      </c>
      <c r="B46" s="496" t="s">
        <v>1062</v>
      </c>
      <c r="C46" s="325" t="s">
        <v>1063</v>
      </c>
      <c r="D46" s="326">
        <v>400000</v>
      </c>
      <c r="E46" s="327" t="s">
        <v>1064</v>
      </c>
      <c r="F46" s="328"/>
      <c r="G46" s="329"/>
      <c r="H46" s="360" t="s">
        <v>145</v>
      </c>
    </row>
    <row r="47" spans="1:11" ht="16.5" customHeight="1">
      <c r="A47" s="323"/>
      <c r="B47" s="497"/>
      <c r="C47" s="325"/>
      <c r="D47" s="326"/>
      <c r="E47" s="330"/>
      <c r="F47" s="331"/>
      <c r="G47" s="332"/>
      <c r="H47" s="359"/>
    </row>
    <row r="48" spans="1:11" ht="16.5" customHeight="1">
      <c r="A48" s="322" t="s">
        <v>1066</v>
      </c>
      <c r="B48" s="496" t="s">
        <v>1067</v>
      </c>
      <c r="C48" s="325" t="s">
        <v>1070</v>
      </c>
      <c r="D48" s="326">
        <v>410000</v>
      </c>
      <c r="E48" s="327" t="s">
        <v>1068</v>
      </c>
      <c r="F48" s="328"/>
      <c r="G48" s="329"/>
      <c r="H48" s="360" t="s">
        <v>145</v>
      </c>
    </row>
    <row r="49" spans="1:8" ht="16.5" customHeight="1">
      <c r="A49" s="323"/>
      <c r="B49" s="497"/>
      <c r="C49" s="325"/>
      <c r="D49" s="326"/>
      <c r="E49" s="330"/>
      <c r="F49" s="331"/>
      <c r="G49" s="332"/>
      <c r="H49" s="359"/>
    </row>
    <row r="50" spans="1:8" ht="16.5" customHeight="1">
      <c r="A50" s="322" t="s">
        <v>1066</v>
      </c>
      <c r="B50" s="496" t="s">
        <v>1069</v>
      </c>
      <c r="C50" s="341" t="s">
        <v>1071</v>
      </c>
      <c r="D50" s="326">
        <v>177000</v>
      </c>
      <c r="E50" s="327" t="s">
        <v>1072</v>
      </c>
      <c r="F50" s="328"/>
      <c r="G50" s="329"/>
      <c r="H50" s="360" t="s">
        <v>145</v>
      </c>
    </row>
    <row r="51" spans="1:8" ht="16.5" customHeight="1">
      <c r="A51" s="323"/>
      <c r="B51" s="497"/>
      <c r="C51" s="342"/>
      <c r="D51" s="326"/>
      <c r="E51" s="330"/>
      <c r="F51" s="331"/>
      <c r="G51" s="332"/>
      <c r="H51" s="359"/>
    </row>
    <row r="52" spans="1:8" ht="16.5" customHeight="1">
      <c r="A52" s="322" t="s">
        <v>1066</v>
      </c>
      <c r="B52" s="496" t="s">
        <v>1073</v>
      </c>
      <c r="C52" s="341" t="s">
        <v>1074</v>
      </c>
      <c r="D52" s="326">
        <v>180000</v>
      </c>
      <c r="E52" s="327" t="s">
        <v>1075</v>
      </c>
      <c r="F52" s="328"/>
      <c r="G52" s="329"/>
      <c r="H52" s="360" t="s">
        <v>145</v>
      </c>
    </row>
    <row r="53" spans="1:8" ht="16.5" customHeight="1">
      <c r="A53" s="323"/>
      <c r="B53" s="497"/>
      <c r="C53" s="342"/>
      <c r="D53" s="326"/>
      <c r="E53" s="330"/>
      <c r="F53" s="331"/>
      <c r="G53" s="332"/>
      <c r="H53" s="359"/>
    </row>
    <row r="54" spans="1:8" ht="16.5" customHeight="1">
      <c r="A54" s="322" t="s">
        <v>1066</v>
      </c>
      <c r="B54" s="496" t="s">
        <v>1076</v>
      </c>
      <c r="C54" s="324" t="s">
        <v>1077</v>
      </c>
      <c r="D54" s="343">
        <v>70000</v>
      </c>
      <c r="E54" s="327" t="s">
        <v>1078</v>
      </c>
      <c r="F54" s="328"/>
      <c r="G54" s="329"/>
      <c r="H54" s="360" t="s">
        <v>1079</v>
      </c>
    </row>
    <row r="55" spans="1:8" ht="16.5" customHeight="1">
      <c r="A55" s="323"/>
      <c r="B55" s="497"/>
      <c r="C55" s="325"/>
      <c r="D55" s="344"/>
      <c r="E55" s="330"/>
      <c r="F55" s="331"/>
      <c r="G55" s="332"/>
      <c r="H55" s="359"/>
    </row>
    <row r="56" spans="1:8" ht="16.5" customHeight="1">
      <c r="A56" s="322" t="s">
        <v>1080</v>
      </c>
      <c r="B56" s="496" t="s">
        <v>1081</v>
      </c>
      <c r="C56" s="324" t="s">
        <v>1082</v>
      </c>
      <c r="D56" s="326">
        <v>173000</v>
      </c>
      <c r="E56" s="327" t="s">
        <v>1083</v>
      </c>
      <c r="F56" s="328"/>
      <c r="G56" s="329"/>
      <c r="H56" s="360" t="s">
        <v>145</v>
      </c>
    </row>
    <row r="57" spans="1:8" ht="16.5" customHeight="1">
      <c r="A57" s="323"/>
      <c r="B57" s="497"/>
      <c r="C57" s="325"/>
      <c r="D57" s="326"/>
      <c r="E57" s="330"/>
      <c r="F57" s="331"/>
      <c r="G57" s="332"/>
      <c r="H57" s="359"/>
    </row>
    <row r="58" spans="1:8" ht="16.5" customHeight="1">
      <c r="A58" s="322" t="s">
        <v>1084</v>
      </c>
      <c r="B58" s="496" t="s">
        <v>1085</v>
      </c>
      <c r="C58" s="341" t="s">
        <v>1101</v>
      </c>
      <c r="D58" s="326">
        <v>265000</v>
      </c>
      <c r="E58" s="327" t="s">
        <v>1086</v>
      </c>
      <c r="F58" s="328"/>
      <c r="G58" s="329"/>
      <c r="H58" s="360" t="s">
        <v>145</v>
      </c>
    </row>
    <row r="59" spans="1:8" ht="16.5" customHeight="1">
      <c r="A59" s="323"/>
      <c r="B59" s="497"/>
      <c r="C59" s="342"/>
      <c r="D59" s="326"/>
      <c r="E59" s="330"/>
      <c r="F59" s="331"/>
      <c r="G59" s="332"/>
      <c r="H59" s="359"/>
    </row>
    <row r="60" spans="1:8" ht="16.5" customHeight="1">
      <c r="A60" s="322" t="s">
        <v>1084</v>
      </c>
      <c r="B60" s="496" t="s">
        <v>1100</v>
      </c>
      <c r="C60" s="324"/>
      <c r="D60" s="326">
        <v>200000</v>
      </c>
      <c r="E60" s="327" t="s">
        <v>1087</v>
      </c>
      <c r="F60" s="328"/>
      <c r="G60" s="329"/>
      <c r="H60" s="360" t="s">
        <v>145</v>
      </c>
    </row>
    <row r="61" spans="1:8" ht="20.25" customHeight="1">
      <c r="A61" s="323"/>
      <c r="B61" s="497"/>
      <c r="C61" s="325"/>
      <c r="D61" s="326"/>
      <c r="E61" s="330"/>
      <c r="F61" s="331"/>
      <c r="G61" s="332"/>
      <c r="H61" s="359"/>
    </row>
    <row r="62" spans="1:8" ht="16.5" customHeight="1">
      <c r="A62" s="335" t="s">
        <v>1088</v>
      </c>
      <c r="B62" s="496" t="s">
        <v>1089</v>
      </c>
      <c r="C62" s="341"/>
      <c r="D62" s="326">
        <v>135000</v>
      </c>
      <c r="E62" s="327" t="s">
        <v>1091</v>
      </c>
      <c r="F62" s="345"/>
      <c r="G62" s="346"/>
      <c r="H62" s="360" t="s">
        <v>1090</v>
      </c>
    </row>
    <row r="63" spans="1:8" ht="16.5" customHeight="1">
      <c r="A63" s="336"/>
      <c r="B63" s="497"/>
      <c r="C63" s="352"/>
      <c r="D63" s="326"/>
      <c r="E63" s="347"/>
      <c r="F63" s="348"/>
      <c r="G63" s="349"/>
      <c r="H63" s="359"/>
    </row>
    <row r="64" spans="1:8" ht="16.5" customHeight="1">
      <c r="A64" s="335" t="s">
        <v>1088</v>
      </c>
      <c r="B64" s="496" t="s">
        <v>1096</v>
      </c>
      <c r="C64" s="324" t="s">
        <v>1098</v>
      </c>
      <c r="D64" s="326">
        <v>640000</v>
      </c>
      <c r="E64" s="327"/>
      <c r="F64" s="328"/>
      <c r="G64" s="329"/>
      <c r="H64" s="360" t="s">
        <v>145</v>
      </c>
    </row>
    <row r="65" spans="1:8" ht="16.5" customHeight="1">
      <c r="A65" s="336"/>
      <c r="B65" s="497"/>
      <c r="C65" s="325"/>
      <c r="D65" s="326"/>
      <c r="E65" s="330"/>
      <c r="F65" s="331"/>
      <c r="G65" s="332"/>
      <c r="H65" s="359"/>
    </row>
    <row r="66" spans="1:8" ht="16.5" customHeight="1">
      <c r="A66" s="335" t="s">
        <v>1088</v>
      </c>
      <c r="B66" s="496" t="s">
        <v>1097</v>
      </c>
      <c r="C66" s="324" t="s">
        <v>1099</v>
      </c>
      <c r="D66" s="326">
        <v>115000</v>
      </c>
      <c r="E66" s="327" t="s">
        <v>1102</v>
      </c>
      <c r="F66" s="328"/>
      <c r="G66" s="329"/>
      <c r="H66" s="360" t="s">
        <v>145</v>
      </c>
    </row>
    <row r="67" spans="1:8" ht="16.5" customHeight="1">
      <c r="A67" s="336"/>
      <c r="B67" s="497"/>
      <c r="C67" s="325"/>
      <c r="D67" s="326"/>
      <c r="E67" s="330"/>
      <c r="F67" s="331"/>
      <c r="G67" s="332"/>
      <c r="H67" s="359"/>
    </row>
    <row r="68" spans="1:8" ht="16.5" customHeight="1">
      <c r="A68" s="335" t="s">
        <v>1088</v>
      </c>
      <c r="B68" s="496" t="s">
        <v>1092</v>
      </c>
      <c r="C68" s="324"/>
      <c r="D68" s="343">
        <v>70000</v>
      </c>
      <c r="E68" s="327" t="s">
        <v>1103</v>
      </c>
      <c r="F68" s="328"/>
      <c r="G68" s="329"/>
      <c r="H68" s="360" t="s">
        <v>145</v>
      </c>
    </row>
    <row r="69" spans="1:8" ht="16.5" customHeight="1">
      <c r="A69" s="336"/>
      <c r="B69" s="497"/>
      <c r="C69" s="325"/>
      <c r="D69" s="344"/>
      <c r="E69" s="330"/>
      <c r="F69" s="331"/>
      <c r="G69" s="332"/>
      <c r="H69" s="359"/>
    </row>
    <row r="70" spans="1:8" ht="16.5" customHeight="1">
      <c r="A70" s="322" t="s">
        <v>1093</v>
      </c>
      <c r="B70" s="496" t="s">
        <v>1094</v>
      </c>
      <c r="C70" s="324"/>
      <c r="D70" s="343">
        <v>10000</v>
      </c>
      <c r="E70" s="327" t="s">
        <v>1095</v>
      </c>
      <c r="F70" s="328"/>
      <c r="G70" s="329"/>
      <c r="H70" s="360" t="s">
        <v>145</v>
      </c>
    </row>
    <row r="71" spans="1:8" ht="16.5" customHeight="1">
      <c r="A71" s="323"/>
      <c r="B71" s="497"/>
      <c r="C71" s="325"/>
      <c r="D71" s="344"/>
      <c r="E71" s="330"/>
      <c r="F71" s="331"/>
      <c r="G71" s="332"/>
      <c r="H71" s="359"/>
    </row>
    <row r="72" spans="1:8" ht="16.5" customHeight="1">
      <c r="A72" s="322"/>
      <c r="B72" s="490" t="s">
        <v>1170</v>
      </c>
      <c r="C72" s="491"/>
      <c r="D72" s="491"/>
      <c r="E72" s="491"/>
      <c r="F72" s="491"/>
      <c r="G72" s="491"/>
      <c r="H72" s="492"/>
    </row>
    <row r="73" spans="1:8" ht="57.75" customHeight="1">
      <c r="A73" s="323"/>
      <c r="B73" s="493"/>
      <c r="C73" s="494"/>
      <c r="D73" s="494"/>
      <c r="E73" s="494"/>
      <c r="F73" s="494"/>
      <c r="G73" s="494"/>
      <c r="H73" s="495"/>
    </row>
    <row r="74" spans="1:8" ht="16.5" customHeight="1">
      <c r="A74" s="322" t="s">
        <v>1104</v>
      </c>
      <c r="B74" s="498" t="s">
        <v>1105</v>
      </c>
      <c r="C74" s="341" t="s">
        <v>1114</v>
      </c>
      <c r="D74" s="326">
        <v>195000</v>
      </c>
      <c r="E74" s="327" t="s">
        <v>1108</v>
      </c>
      <c r="F74" s="345"/>
      <c r="G74" s="346"/>
      <c r="H74" s="359" t="s">
        <v>1109</v>
      </c>
    </row>
    <row r="75" spans="1:8" ht="35.25" customHeight="1">
      <c r="A75" s="323"/>
      <c r="B75" s="499"/>
      <c r="C75" s="352"/>
      <c r="D75" s="326"/>
      <c r="E75" s="347"/>
      <c r="F75" s="348"/>
      <c r="G75" s="349"/>
      <c r="H75" s="359"/>
    </row>
    <row r="76" spans="1:8" ht="16.5" customHeight="1">
      <c r="A76" s="322" t="s">
        <v>1104</v>
      </c>
      <c r="B76" s="498" t="s">
        <v>1111</v>
      </c>
      <c r="C76" s="325" t="s">
        <v>1115</v>
      </c>
      <c r="D76" s="326">
        <v>210000</v>
      </c>
      <c r="E76" s="327" t="s">
        <v>1110</v>
      </c>
      <c r="F76" s="328"/>
      <c r="G76" s="329"/>
      <c r="H76" s="359" t="s">
        <v>1113</v>
      </c>
    </row>
    <row r="77" spans="1:8" ht="16.5" customHeight="1">
      <c r="A77" s="323"/>
      <c r="B77" s="499"/>
      <c r="C77" s="325"/>
      <c r="D77" s="326"/>
      <c r="E77" s="330"/>
      <c r="F77" s="331"/>
      <c r="G77" s="332"/>
      <c r="H77" s="359"/>
    </row>
    <row r="78" spans="1:8" ht="16.5" customHeight="1">
      <c r="A78" s="322" t="s">
        <v>1104</v>
      </c>
      <c r="B78" s="498" t="s">
        <v>1107</v>
      </c>
      <c r="C78" s="324"/>
      <c r="D78" s="326">
        <v>190000</v>
      </c>
      <c r="E78" s="327" t="s">
        <v>1112</v>
      </c>
      <c r="F78" s="328"/>
      <c r="G78" s="329"/>
      <c r="H78" s="359" t="s">
        <v>1109</v>
      </c>
    </row>
    <row r="79" spans="1:8" ht="16.5" customHeight="1">
      <c r="A79" s="323"/>
      <c r="B79" s="499"/>
      <c r="C79" s="325"/>
      <c r="D79" s="326"/>
      <c r="E79" s="330"/>
      <c r="F79" s="331"/>
      <c r="G79" s="332"/>
      <c r="H79" s="359"/>
    </row>
    <row r="80" spans="1:8" ht="16.5" customHeight="1">
      <c r="A80" s="322" t="s">
        <v>1104</v>
      </c>
      <c r="B80" s="498" t="s">
        <v>1116</v>
      </c>
      <c r="C80" s="324"/>
      <c r="D80" s="326">
        <v>11000</v>
      </c>
      <c r="E80" s="327" t="s">
        <v>1117</v>
      </c>
      <c r="F80" s="328"/>
      <c r="G80" s="329"/>
      <c r="H80" s="359" t="s">
        <v>1118</v>
      </c>
    </row>
    <row r="81" spans="1:12" ht="16.5" customHeight="1">
      <c r="A81" s="323"/>
      <c r="B81" s="499"/>
      <c r="C81" s="325"/>
      <c r="D81" s="326"/>
      <c r="E81" s="330"/>
      <c r="F81" s="331"/>
      <c r="G81" s="332"/>
      <c r="H81" s="359"/>
    </row>
    <row r="82" spans="1:12" ht="16.5" customHeight="1">
      <c r="A82" s="335" t="s">
        <v>1119</v>
      </c>
      <c r="B82" s="498" t="s">
        <v>1120</v>
      </c>
      <c r="C82" s="341"/>
      <c r="D82" s="343">
        <v>340000</v>
      </c>
      <c r="E82" s="327" t="s">
        <v>1121</v>
      </c>
      <c r="F82" s="345"/>
      <c r="G82" s="346"/>
      <c r="H82" s="359" t="s">
        <v>205</v>
      </c>
    </row>
    <row r="83" spans="1:12" ht="16.5" customHeight="1">
      <c r="A83" s="340"/>
      <c r="B83" s="499"/>
      <c r="C83" s="352"/>
      <c r="D83" s="344"/>
      <c r="E83" s="347"/>
      <c r="F83" s="348"/>
      <c r="G83" s="349"/>
      <c r="H83" s="359"/>
    </row>
    <row r="84" spans="1:12" ht="16.5" customHeight="1">
      <c r="A84" s="322" t="s">
        <v>1122</v>
      </c>
      <c r="B84" s="498" t="s">
        <v>1123</v>
      </c>
      <c r="C84" s="324" t="s">
        <v>1124</v>
      </c>
      <c r="D84" s="343">
        <v>640000</v>
      </c>
      <c r="E84" s="327" t="s">
        <v>1125</v>
      </c>
      <c r="F84" s="328"/>
      <c r="G84" s="329"/>
      <c r="H84" s="359" t="s">
        <v>145</v>
      </c>
      <c r="L84" s="23"/>
    </row>
    <row r="85" spans="1:12" ht="27" customHeight="1">
      <c r="A85" s="323"/>
      <c r="B85" s="499"/>
      <c r="C85" s="325"/>
      <c r="D85" s="344"/>
      <c r="E85" s="330"/>
      <c r="F85" s="331"/>
      <c r="G85" s="332"/>
      <c r="H85" s="359"/>
    </row>
    <row r="86" spans="1:12" ht="16.5" customHeight="1">
      <c r="A86" s="322" t="s">
        <v>1122</v>
      </c>
      <c r="B86" s="498" t="s">
        <v>1126</v>
      </c>
      <c r="C86" s="325" t="s">
        <v>1127</v>
      </c>
      <c r="D86" s="326">
        <v>500000</v>
      </c>
      <c r="E86" s="327" t="s">
        <v>1131</v>
      </c>
      <c r="F86" s="328"/>
      <c r="G86" s="329"/>
      <c r="H86" s="359" t="s">
        <v>145</v>
      </c>
    </row>
    <row r="87" spans="1:12" ht="24.75" customHeight="1">
      <c r="A87" s="323"/>
      <c r="B87" s="499"/>
      <c r="C87" s="325"/>
      <c r="D87" s="326"/>
      <c r="E87" s="330"/>
      <c r="F87" s="331"/>
      <c r="G87" s="332"/>
      <c r="H87" s="359"/>
    </row>
    <row r="88" spans="1:12" ht="16.5" customHeight="1">
      <c r="A88" s="322" t="s">
        <v>1122</v>
      </c>
      <c r="B88" s="498" t="s">
        <v>1132</v>
      </c>
      <c r="C88" s="325" t="s">
        <v>1133</v>
      </c>
      <c r="D88" s="326">
        <v>180000</v>
      </c>
      <c r="E88" s="327" t="s">
        <v>1134</v>
      </c>
      <c r="F88" s="328"/>
      <c r="G88" s="329"/>
      <c r="H88" s="359" t="s">
        <v>145</v>
      </c>
    </row>
    <row r="89" spans="1:12" ht="16.5" customHeight="1">
      <c r="A89" s="323"/>
      <c r="B89" s="499"/>
      <c r="C89" s="325"/>
      <c r="D89" s="326"/>
      <c r="E89" s="330"/>
      <c r="F89" s="331"/>
      <c r="G89" s="332"/>
      <c r="H89" s="359"/>
    </row>
    <row r="90" spans="1:12" ht="16.5" customHeight="1">
      <c r="A90" s="322" t="s">
        <v>1122</v>
      </c>
      <c r="B90" s="498" t="s">
        <v>1128</v>
      </c>
      <c r="C90" s="341" t="s">
        <v>1129</v>
      </c>
      <c r="D90" s="343">
        <v>300000</v>
      </c>
      <c r="E90" s="327" t="s">
        <v>1130</v>
      </c>
      <c r="F90" s="328"/>
      <c r="G90" s="329"/>
      <c r="H90" s="359" t="s">
        <v>145</v>
      </c>
    </row>
    <row r="91" spans="1:12" ht="16.5" customHeight="1">
      <c r="A91" s="323"/>
      <c r="B91" s="499"/>
      <c r="C91" s="352"/>
      <c r="D91" s="344"/>
      <c r="E91" s="330"/>
      <c r="F91" s="331"/>
      <c r="G91" s="332"/>
      <c r="H91" s="359"/>
    </row>
    <row r="92" spans="1:12" ht="16.5" customHeight="1">
      <c r="A92" s="322" t="s">
        <v>1135</v>
      </c>
      <c r="B92" s="498" t="s">
        <v>1142</v>
      </c>
      <c r="C92" s="341" t="s">
        <v>1143</v>
      </c>
      <c r="D92" s="343">
        <v>570000</v>
      </c>
      <c r="E92" s="327" t="s">
        <v>1144</v>
      </c>
      <c r="F92" s="345"/>
      <c r="G92" s="346"/>
      <c r="H92" s="360" t="s">
        <v>1148</v>
      </c>
    </row>
    <row r="93" spans="1:12" ht="16.5" customHeight="1">
      <c r="A93" s="323"/>
      <c r="B93" s="499"/>
      <c r="C93" s="352"/>
      <c r="D93" s="344"/>
      <c r="E93" s="347"/>
      <c r="F93" s="348"/>
      <c r="G93" s="349"/>
      <c r="H93" s="359"/>
    </row>
    <row r="94" spans="1:12" ht="16.5" customHeight="1">
      <c r="A94" s="322" t="s">
        <v>1135</v>
      </c>
      <c r="B94" s="498" t="s">
        <v>1139</v>
      </c>
      <c r="C94" s="324"/>
      <c r="D94" s="326">
        <v>170000</v>
      </c>
      <c r="E94" s="327" t="s">
        <v>1140</v>
      </c>
      <c r="F94" s="328"/>
      <c r="G94" s="329"/>
      <c r="H94" s="360" t="s">
        <v>1138</v>
      </c>
    </row>
    <row r="95" spans="1:12" ht="16.5" customHeight="1">
      <c r="A95" s="323"/>
      <c r="B95" s="499"/>
      <c r="C95" s="325"/>
      <c r="D95" s="326"/>
      <c r="E95" s="330"/>
      <c r="F95" s="331"/>
      <c r="G95" s="332"/>
      <c r="H95" s="359"/>
    </row>
    <row r="96" spans="1:12" ht="16.5" customHeight="1">
      <c r="A96" s="322" t="s">
        <v>1135</v>
      </c>
      <c r="B96" s="498" t="s">
        <v>1136</v>
      </c>
      <c r="C96" s="324" t="s">
        <v>1151</v>
      </c>
      <c r="D96" s="343">
        <v>100000</v>
      </c>
      <c r="E96" s="327" t="s">
        <v>1137</v>
      </c>
      <c r="F96" s="328"/>
      <c r="G96" s="329"/>
      <c r="H96" s="360" t="s">
        <v>1138</v>
      </c>
    </row>
    <row r="97" spans="1:8" ht="36.75" customHeight="1">
      <c r="A97" s="323"/>
      <c r="B97" s="499"/>
      <c r="C97" s="325"/>
      <c r="D97" s="344"/>
      <c r="E97" s="330"/>
      <c r="F97" s="331"/>
      <c r="G97" s="332"/>
      <c r="H97" s="359"/>
    </row>
    <row r="98" spans="1:8">
      <c r="A98" s="322" t="s">
        <v>1135</v>
      </c>
      <c r="B98" s="498" t="s">
        <v>1149</v>
      </c>
      <c r="C98" s="325" t="s">
        <v>1150</v>
      </c>
      <c r="D98" s="343">
        <v>150000</v>
      </c>
      <c r="E98" s="337" t="s">
        <v>1152</v>
      </c>
      <c r="F98" s="326"/>
      <c r="G98" s="326"/>
      <c r="H98" s="333" t="s">
        <v>1147</v>
      </c>
    </row>
    <row r="99" spans="1:8">
      <c r="A99" s="323"/>
      <c r="B99" s="499"/>
      <c r="C99" s="325"/>
      <c r="D99" s="344"/>
      <c r="E99" s="326"/>
      <c r="F99" s="326"/>
      <c r="G99" s="326"/>
      <c r="H99" s="333"/>
    </row>
    <row r="100" spans="1:8">
      <c r="A100" s="322" t="s">
        <v>1135</v>
      </c>
      <c r="B100" s="498" t="s">
        <v>1141</v>
      </c>
      <c r="C100" s="324" t="s">
        <v>1146</v>
      </c>
      <c r="D100" s="343">
        <v>130000</v>
      </c>
      <c r="E100" s="337" t="s">
        <v>1145</v>
      </c>
      <c r="F100" s="326"/>
      <c r="G100" s="326"/>
      <c r="H100" s="359" t="s">
        <v>146</v>
      </c>
    </row>
    <row r="101" spans="1:8">
      <c r="A101" s="323"/>
      <c r="B101" s="499"/>
      <c r="C101" s="325"/>
      <c r="D101" s="344"/>
      <c r="E101" s="326"/>
      <c r="F101" s="326"/>
      <c r="G101" s="326"/>
      <c r="H101" s="359"/>
    </row>
    <row r="102" spans="1:8">
      <c r="A102" s="322" t="s">
        <v>1153</v>
      </c>
      <c r="B102" s="498" t="s">
        <v>1154</v>
      </c>
      <c r="C102" s="325" t="s">
        <v>1155</v>
      </c>
      <c r="D102" s="343">
        <v>100000</v>
      </c>
      <c r="E102" s="337" t="s">
        <v>1156</v>
      </c>
      <c r="F102" s="326"/>
      <c r="G102" s="326"/>
      <c r="H102" s="359" t="s">
        <v>1157</v>
      </c>
    </row>
    <row r="103" spans="1:8">
      <c r="A103" s="323"/>
      <c r="B103" s="499"/>
      <c r="C103" s="325"/>
      <c r="D103" s="344"/>
      <c r="E103" s="326"/>
      <c r="F103" s="326"/>
      <c r="G103" s="326"/>
      <c r="H103" s="359"/>
    </row>
    <row r="104" spans="1:8">
      <c r="A104" s="322" t="s">
        <v>1153</v>
      </c>
      <c r="B104" s="498" t="s">
        <v>1158</v>
      </c>
      <c r="C104" s="325" t="s">
        <v>1162</v>
      </c>
      <c r="D104" s="343">
        <v>220000</v>
      </c>
      <c r="E104" s="337" t="s">
        <v>1159</v>
      </c>
      <c r="F104" s="326"/>
      <c r="G104" s="326"/>
      <c r="H104" s="359" t="s">
        <v>1160</v>
      </c>
    </row>
    <row r="105" spans="1:8">
      <c r="A105" s="323"/>
      <c r="B105" s="499"/>
      <c r="C105" s="325"/>
      <c r="D105" s="344"/>
      <c r="E105" s="326"/>
      <c r="F105" s="326"/>
      <c r="G105" s="326"/>
      <c r="H105" s="359"/>
    </row>
    <row r="106" spans="1:8">
      <c r="A106" s="322" t="s">
        <v>1161</v>
      </c>
      <c r="B106" s="500" t="s">
        <v>1164</v>
      </c>
      <c r="C106" s="325" t="s">
        <v>1165</v>
      </c>
      <c r="D106" s="326">
        <v>850000</v>
      </c>
      <c r="E106" s="337" t="s">
        <v>1166</v>
      </c>
      <c r="F106" s="326"/>
      <c r="G106" s="326"/>
      <c r="H106" s="359" t="s">
        <v>1163</v>
      </c>
    </row>
    <row r="107" spans="1:8" ht="60.75" customHeight="1">
      <c r="A107" s="323"/>
      <c r="B107" s="501"/>
      <c r="C107" s="325"/>
      <c r="D107" s="326"/>
      <c r="E107" s="326"/>
      <c r="F107" s="326"/>
      <c r="G107" s="326"/>
      <c r="H107" s="359"/>
    </row>
    <row r="108" spans="1:8">
      <c r="A108" s="322" t="s">
        <v>1161</v>
      </c>
      <c r="B108" s="498" t="s">
        <v>1167</v>
      </c>
      <c r="C108" s="325"/>
      <c r="D108" s="326">
        <v>35000</v>
      </c>
      <c r="E108" s="337" t="s">
        <v>1168</v>
      </c>
      <c r="F108" s="326"/>
      <c r="G108" s="326"/>
      <c r="H108" s="360" t="s">
        <v>1169</v>
      </c>
    </row>
    <row r="109" spans="1:8">
      <c r="A109" s="323"/>
      <c r="B109" s="499"/>
      <c r="C109" s="325"/>
      <c r="D109" s="326"/>
      <c r="E109" s="326"/>
      <c r="F109" s="326"/>
      <c r="G109" s="326"/>
      <c r="H109" s="359"/>
    </row>
    <row r="110" spans="1:8" ht="16.5" customHeight="1">
      <c r="A110" s="322"/>
      <c r="B110" s="490" t="s">
        <v>1265</v>
      </c>
      <c r="C110" s="491"/>
      <c r="D110" s="491"/>
      <c r="E110" s="491"/>
      <c r="F110" s="491"/>
      <c r="G110" s="491"/>
      <c r="H110" s="492"/>
    </row>
    <row r="111" spans="1:8" ht="57.75" customHeight="1">
      <c r="A111" s="323"/>
      <c r="B111" s="493"/>
      <c r="C111" s="494"/>
      <c r="D111" s="494"/>
      <c r="E111" s="494"/>
      <c r="F111" s="494"/>
      <c r="G111" s="494"/>
      <c r="H111" s="495"/>
    </row>
    <row r="112" spans="1:8">
      <c r="A112" s="322" t="s">
        <v>1171</v>
      </c>
      <c r="B112" s="478" t="s">
        <v>1172</v>
      </c>
      <c r="C112" s="324" t="s">
        <v>1173</v>
      </c>
      <c r="D112" s="326">
        <v>850000</v>
      </c>
      <c r="E112" s="337"/>
      <c r="F112" s="326"/>
      <c r="G112" s="326"/>
      <c r="H112" s="360" t="s">
        <v>145</v>
      </c>
    </row>
    <row r="113" spans="1:8">
      <c r="A113" s="323"/>
      <c r="B113" s="479"/>
      <c r="C113" s="325"/>
      <c r="D113" s="326"/>
      <c r="E113" s="326"/>
      <c r="F113" s="326"/>
      <c r="G113" s="326"/>
      <c r="H113" s="359"/>
    </row>
    <row r="114" spans="1:8">
      <c r="A114" s="322" t="s">
        <v>1171</v>
      </c>
      <c r="B114" s="478" t="s">
        <v>1174</v>
      </c>
      <c r="C114" s="325"/>
      <c r="D114" s="326">
        <v>50000</v>
      </c>
      <c r="E114" s="337" t="s">
        <v>1176</v>
      </c>
      <c r="F114" s="326"/>
      <c r="G114" s="326"/>
      <c r="H114" s="360" t="s">
        <v>1175</v>
      </c>
    </row>
    <row r="115" spans="1:8">
      <c r="A115" s="323"/>
      <c r="B115" s="479"/>
      <c r="C115" s="325"/>
      <c r="D115" s="326"/>
      <c r="E115" s="326"/>
      <c r="F115" s="326"/>
      <c r="G115" s="326"/>
      <c r="H115" s="359"/>
    </row>
    <row r="116" spans="1:8">
      <c r="A116" s="322" t="s">
        <v>1171</v>
      </c>
      <c r="B116" s="478" t="s">
        <v>1177</v>
      </c>
      <c r="C116" s="325" t="s">
        <v>1178</v>
      </c>
      <c r="D116" s="326">
        <v>70000</v>
      </c>
      <c r="E116" s="337" t="s">
        <v>1180</v>
      </c>
      <c r="F116" s="326"/>
      <c r="G116" s="326"/>
      <c r="H116" s="360" t="s">
        <v>1179</v>
      </c>
    </row>
    <row r="117" spans="1:8">
      <c r="A117" s="323"/>
      <c r="B117" s="479"/>
      <c r="C117" s="325"/>
      <c r="D117" s="326"/>
      <c r="E117" s="326"/>
      <c r="F117" s="326"/>
      <c r="G117" s="326"/>
      <c r="H117" s="359"/>
    </row>
    <row r="118" spans="1:8" ht="16.5" customHeight="1">
      <c r="A118" s="322" t="s">
        <v>1182</v>
      </c>
      <c r="B118" s="470" t="s">
        <v>1183</v>
      </c>
      <c r="C118" s="324"/>
      <c r="D118" s="326">
        <v>220000</v>
      </c>
      <c r="E118" s="327" t="s">
        <v>1184</v>
      </c>
      <c r="F118" s="328"/>
      <c r="G118" s="329"/>
      <c r="H118" s="359" t="s">
        <v>1181</v>
      </c>
    </row>
    <row r="119" spans="1:8">
      <c r="A119" s="323"/>
      <c r="B119" s="471"/>
      <c r="C119" s="325"/>
      <c r="D119" s="326"/>
      <c r="E119" s="330"/>
      <c r="F119" s="331"/>
      <c r="G119" s="332"/>
      <c r="H119" s="359"/>
    </row>
    <row r="120" spans="1:8" ht="16.5" customHeight="1">
      <c r="A120" s="322" t="s">
        <v>1182</v>
      </c>
      <c r="B120" s="470" t="s">
        <v>1183</v>
      </c>
      <c r="C120" s="353"/>
      <c r="D120" s="343">
        <v>77000</v>
      </c>
      <c r="E120" s="327" t="s">
        <v>1186</v>
      </c>
      <c r="F120" s="345"/>
      <c r="G120" s="346"/>
      <c r="H120" s="359" t="s">
        <v>1185</v>
      </c>
    </row>
    <row r="121" spans="1:8">
      <c r="A121" s="323"/>
      <c r="B121" s="480"/>
      <c r="C121" s="352"/>
      <c r="D121" s="344"/>
      <c r="E121" s="347"/>
      <c r="F121" s="348"/>
      <c r="G121" s="349"/>
      <c r="H121" s="359"/>
    </row>
    <row r="122" spans="1:8">
      <c r="A122" s="322" t="s">
        <v>1182</v>
      </c>
      <c r="B122" s="478" t="s">
        <v>1187</v>
      </c>
      <c r="C122" s="324"/>
      <c r="D122" s="326">
        <v>30000</v>
      </c>
      <c r="E122" s="337"/>
      <c r="F122" s="326"/>
      <c r="G122" s="326"/>
      <c r="H122" s="359" t="s">
        <v>1188</v>
      </c>
    </row>
    <row r="123" spans="1:8">
      <c r="A123" s="323"/>
      <c r="B123" s="479"/>
      <c r="C123" s="325"/>
      <c r="D123" s="326"/>
      <c r="E123" s="326"/>
      <c r="F123" s="326"/>
      <c r="G123" s="326"/>
      <c r="H123" s="359"/>
    </row>
    <row r="124" spans="1:8">
      <c r="A124" s="322" t="s">
        <v>1189</v>
      </c>
      <c r="B124" s="470" t="s">
        <v>1190</v>
      </c>
      <c r="C124" s="324" t="s">
        <v>1194</v>
      </c>
      <c r="D124" s="326">
        <v>240000</v>
      </c>
      <c r="E124" s="327" t="s">
        <v>1197</v>
      </c>
      <c r="F124" s="328"/>
      <c r="G124" s="329"/>
      <c r="H124" s="359" t="s">
        <v>1191</v>
      </c>
    </row>
    <row r="125" spans="1:8">
      <c r="A125" s="323"/>
      <c r="B125" s="471"/>
      <c r="C125" s="325"/>
      <c r="D125" s="326"/>
      <c r="E125" s="330"/>
      <c r="F125" s="331"/>
      <c r="G125" s="332"/>
      <c r="H125" s="359"/>
    </row>
    <row r="126" spans="1:8">
      <c r="A126" s="322" t="s">
        <v>1189</v>
      </c>
      <c r="B126" s="478" t="s">
        <v>1192</v>
      </c>
      <c r="C126" s="324" t="s">
        <v>1193</v>
      </c>
      <c r="D126" s="326">
        <v>210000</v>
      </c>
      <c r="E126" s="327"/>
      <c r="F126" s="328"/>
      <c r="G126" s="329"/>
      <c r="H126" s="359" t="s">
        <v>1208</v>
      </c>
    </row>
    <row r="127" spans="1:8">
      <c r="A127" s="323"/>
      <c r="B127" s="479"/>
      <c r="C127" s="325"/>
      <c r="D127" s="326"/>
      <c r="E127" s="330"/>
      <c r="F127" s="331"/>
      <c r="G127" s="332"/>
      <c r="H127" s="359"/>
    </row>
    <row r="128" spans="1:8">
      <c r="A128" s="322" t="s">
        <v>1189</v>
      </c>
      <c r="B128" s="478" t="s">
        <v>1195</v>
      </c>
      <c r="C128" s="325" t="s">
        <v>1196</v>
      </c>
      <c r="D128" s="326">
        <v>325000</v>
      </c>
      <c r="E128" s="337" t="s">
        <v>1198</v>
      </c>
      <c r="F128" s="326"/>
      <c r="G128" s="326"/>
      <c r="H128" s="359" t="s">
        <v>1208</v>
      </c>
    </row>
    <row r="129" spans="1:8">
      <c r="A129" s="323"/>
      <c r="B129" s="479"/>
      <c r="C129" s="325"/>
      <c r="D129" s="326"/>
      <c r="E129" s="326"/>
      <c r="F129" s="326"/>
      <c r="G129" s="326"/>
      <c r="H129" s="359"/>
    </row>
    <row r="130" spans="1:8">
      <c r="A130" s="322" t="s">
        <v>1189</v>
      </c>
      <c r="B130" s="478" t="s">
        <v>1199</v>
      </c>
      <c r="C130" s="325"/>
      <c r="D130" s="326">
        <v>190000</v>
      </c>
      <c r="E130" s="337" t="s">
        <v>1200</v>
      </c>
      <c r="F130" s="326"/>
      <c r="G130" s="326"/>
      <c r="H130" s="360" t="s">
        <v>1191</v>
      </c>
    </row>
    <row r="131" spans="1:8">
      <c r="A131" s="323"/>
      <c r="B131" s="479"/>
      <c r="C131" s="325"/>
      <c r="D131" s="326"/>
      <c r="E131" s="326"/>
      <c r="F131" s="326"/>
      <c r="G131" s="326"/>
      <c r="H131" s="359"/>
    </row>
    <row r="132" spans="1:8">
      <c r="A132" s="322" t="s">
        <v>1189</v>
      </c>
      <c r="B132" s="478" t="s">
        <v>1199</v>
      </c>
      <c r="C132" s="324"/>
      <c r="D132" s="326">
        <v>14000</v>
      </c>
      <c r="E132" s="327"/>
      <c r="F132" s="328"/>
      <c r="G132" s="329"/>
      <c r="H132" s="359" t="s">
        <v>1201</v>
      </c>
    </row>
    <row r="133" spans="1:8">
      <c r="A133" s="323"/>
      <c r="B133" s="479"/>
      <c r="C133" s="325"/>
      <c r="D133" s="326"/>
      <c r="E133" s="330"/>
      <c r="F133" s="331"/>
      <c r="G133" s="332"/>
      <c r="H133" s="359"/>
    </row>
    <row r="134" spans="1:8">
      <c r="A134" s="322" t="s">
        <v>1202</v>
      </c>
      <c r="B134" s="478" t="s">
        <v>1203</v>
      </c>
      <c r="C134" s="324" t="s">
        <v>1204</v>
      </c>
      <c r="D134" s="326">
        <v>330000</v>
      </c>
      <c r="E134" s="337" t="s">
        <v>1205</v>
      </c>
      <c r="F134" s="326"/>
      <c r="G134" s="326"/>
      <c r="H134" s="359" t="s">
        <v>1210</v>
      </c>
    </row>
    <row r="135" spans="1:8">
      <c r="A135" s="323"/>
      <c r="B135" s="479"/>
      <c r="C135" s="325"/>
      <c r="D135" s="326"/>
      <c r="E135" s="326"/>
      <c r="F135" s="326"/>
      <c r="G135" s="326"/>
      <c r="H135" s="359"/>
    </row>
    <row r="136" spans="1:8">
      <c r="A136" s="322" t="s">
        <v>1202</v>
      </c>
      <c r="B136" s="478" t="s">
        <v>1206</v>
      </c>
      <c r="C136" s="325"/>
      <c r="D136" s="326">
        <v>210000</v>
      </c>
      <c r="E136" s="337" t="s">
        <v>1207</v>
      </c>
      <c r="F136" s="326"/>
      <c r="G136" s="326"/>
      <c r="H136" s="359" t="s">
        <v>1208</v>
      </c>
    </row>
    <row r="137" spans="1:8">
      <c r="A137" s="323"/>
      <c r="B137" s="479"/>
      <c r="C137" s="325"/>
      <c r="D137" s="326"/>
      <c r="E137" s="326"/>
      <c r="F137" s="326"/>
      <c r="G137" s="326"/>
      <c r="H137" s="359"/>
    </row>
    <row r="138" spans="1:8">
      <c r="A138" s="322" t="s">
        <v>1209</v>
      </c>
      <c r="B138" s="478" t="s">
        <v>1214</v>
      </c>
      <c r="C138" s="325" t="s">
        <v>1230</v>
      </c>
      <c r="D138" s="343">
        <v>225000</v>
      </c>
      <c r="E138" s="337" t="s">
        <v>1213</v>
      </c>
      <c r="F138" s="326"/>
      <c r="G138" s="326"/>
      <c r="H138" s="360" t="s">
        <v>1211</v>
      </c>
    </row>
    <row r="139" spans="1:8">
      <c r="A139" s="323"/>
      <c r="B139" s="479"/>
      <c r="C139" s="325"/>
      <c r="D139" s="344"/>
      <c r="E139" s="326"/>
      <c r="F139" s="326"/>
      <c r="G139" s="326"/>
      <c r="H139" s="359"/>
    </row>
    <row r="140" spans="1:8">
      <c r="A140" s="322" t="s">
        <v>1209</v>
      </c>
      <c r="B140" s="478" t="s">
        <v>1212</v>
      </c>
      <c r="C140" s="324" t="s">
        <v>1227</v>
      </c>
      <c r="D140" s="326">
        <v>195000</v>
      </c>
      <c r="E140" s="337" t="s">
        <v>1215</v>
      </c>
      <c r="F140" s="326"/>
      <c r="G140" s="326"/>
      <c r="H140" s="359" t="s">
        <v>145</v>
      </c>
    </row>
    <row r="141" spans="1:8">
      <c r="A141" s="323"/>
      <c r="B141" s="479"/>
      <c r="C141" s="325"/>
      <c r="D141" s="326"/>
      <c r="E141" s="326"/>
      <c r="F141" s="326"/>
      <c r="G141" s="326"/>
      <c r="H141" s="359"/>
    </row>
    <row r="142" spans="1:8">
      <c r="A142" s="322" t="s">
        <v>1209</v>
      </c>
      <c r="B142" s="478" t="s">
        <v>1218</v>
      </c>
      <c r="C142" s="324"/>
      <c r="D142" s="326">
        <v>5000</v>
      </c>
      <c r="E142" s="337" t="s">
        <v>1217</v>
      </c>
      <c r="F142" s="326"/>
      <c r="G142" s="326"/>
      <c r="H142" s="360" t="s">
        <v>1216</v>
      </c>
    </row>
    <row r="143" spans="1:8">
      <c r="A143" s="323"/>
      <c r="B143" s="479"/>
      <c r="C143" s="325"/>
      <c r="D143" s="326"/>
      <c r="E143" s="326"/>
      <c r="F143" s="326"/>
      <c r="G143" s="326"/>
      <c r="H143" s="359"/>
    </row>
    <row r="144" spans="1:8">
      <c r="A144" s="322" t="s">
        <v>1209</v>
      </c>
      <c r="B144" s="478" t="s">
        <v>1219</v>
      </c>
      <c r="C144" s="325"/>
      <c r="D144" s="326">
        <v>11000</v>
      </c>
      <c r="E144" s="337" t="s">
        <v>1220</v>
      </c>
      <c r="F144" s="326"/>
      <c r="G144" s="326"/>
      <c r="H144" s="359" t="s">
        <v>1208</v>
      </c>
    </row>
    <row r="145" spans="1:10">
      <c r="A145" s="323"/>
      <c r="B145" s="479"/>
      <c r="C145" s="325"/>
      <c r="D145" s="326"/>
      <c r="E145" s="326"/>
      <c r="F145" s="326"/>
      <c r="G145" s="326"/>
      <c r="H145" s="359"/>
    </row>
    <row r="146" spans="1:10">
      <c r="A146" s="322" t="s">
        <v>1209</v>
      </c>
      <c r="B146" s="478" t="s">
        <v>1221</v>
      </c>
      <c r="C146" s="325" t="s">
        <v>1229</v>
      </c>
      <c r="D146" s="326">
        <v>110000</v>
      </c>
      <c r="E146" s="337" t="s">
        <v>1222</v>
      </c>
      <c r="F146" s="326"/>
      <c r="G146" s="326"/>
      <c r="H146" s="360" t="s">
        <v>1223</v>
      </c>
    </row>
    <row r="147" spans="1:10">
      <c r="A147" s="323"/>
      <c r="B147" s="479"/>
      <c r="C147" s="325"/>
      <c r="D147" s="326"/>
      <c r="E147" s="326"/>
      <c r="F147" s="326"/>
      <c r="G147" s="326"/>
      <c r="H147" s="359"/>
    </row>
    <row r="148" spans="1:10">
      <c r="A148" s="322" t="s">
        <v>1224</v>
      </c>
      <c r="B148" s="478" t="s">
        <v>1219</v>
      </c>
      <c r="C148" s="325" t="s">
        <v>1228</v>
      </c>
      <c r="D148" s="326">
        <v>85000</v>
      </c>
      <c r="E148" s="337" t="s">
        <v>1225</v>
      </c>
      <c r="F148" s="326"/>
      <c r="G148" s="326"/>
      <c r="H148" s="359" t="s">
        <v>1226</v>
      </c>
    </row>
    <row r="149" spans="1:10">
      <c r="A149" s="323"/>
      <c r="B149" s="479"/>
      <c r="C149" s="325"/>
      <c r="D149" s="326"/>
      <c r="E149" s="326"/>
      <c r="F149" s="326"/>
      <c r="G149" s="326"/>
      <c r="H149" s="359"/>
    </row>
    <row r="150" spans="1:10" ht="16.5" customHeight="1">
      <c r="A150" s="322" t="s">
        <v>1231</v>
      </c>
      <c r="B150" s="324" t="s">
        <v>1232</v>
      </c>
      <c r="C150" s="324"/>
      <c r="D150" s="326">
        <v>170000</v>
      </c>
      <c r="E150" s="337" t="s">
        <v>1233</v>
      </c>
      <c r="F150" s="326"/>
      <c r="G150" s="326"/>
      <c r="H150" s="360" t="s">
        <v>1234</v>
      </c>
    </row>
    <row r="151" spans="1:10">
      <c r="A151" s="323"/>
      <c r="B151" s="325"/>
      <c r="C151" s="325"/>
      <c r="D151" s="326"/>
      <c r="E151" s="326"/>
      <c r="F151" s="326"/>
      <c r="G151" s="326"/>
      <c r="H151" s="359"/>
      <c r="J151">
        <v>15643000</v>
      </c>
    </row>
    <row r="152" spans="1:10">
      <c r="A152" s="322"/>
      <c r="B152" s="324"/>
      <c r="C152" s="325"/>
      <c r="D152" s="326"/>
      <c r="E152" s="337"/>
      <c r="F152" s="326"/>
      <c r="G152" s="326"/>
      <c r="H152" s="333"/>
    </row>
    <row r="153" spans="1:10">
      <c r="A153" s="323"/>
      <c r="B153" s="325"/>
      <c r="C153" s="325"/>
      <c r="D153" s="326"/>
      <c r="E153" s="326"/>
      <c r="F153" s="326"/>
      <c r="G153" s="326"/>
      <c r="H153" s="333"/>
    </row>
    <row r="154" spans="1:10">
      <c r="A154" s="502" t="s">
        <v>1266</v>
      </c>
      <c r="B154" s="503"/>
      <c r="C154" s="503"/>
      <c r="D154" s="503"/>
      <c r="E154" s="503"/>
      <c r="F154" s="503"/>
      <c r="G154" s="503"/>
      <c r="H154" s="504"/>
    </row>
    <row r="155" spans="1:10">
      <c r="A155" s="505"/>
      <c r="B155" s="506"/>
      <c r="C155" s="506"/>
      <c r="D155" s="506"/>
      <c r="E155" s="506"/>
      <c r="F155" s="506"/>
      <c r="G155" s="506"/>
      <c r="H155" s="507"/>
    </row>
    <row r="156" spans="1:10">
      <c r="A156" s="505"/>
      <c r="B156" s="506"/>
      <c r="C156" s="506"/>
      <c r="D156" s="506"/>
      <c r="E156" s="506"/>
      <c r="F156" s="506"/>
      <c r="G156" s="506"/>
      <c r="H156" s="507"/>
    </row>
    <row r="157" spans="1:10">
      <c r="A157" s="508"/>
      <c r="B157" s="509"/>
      <c r="C157" s="509"/>
      <c r="D157" s="509"/>
      <c r="E157" s="509"/>
      <c r="F157" s="509"/>
      <c r="G157" s="509"/>
      <c r="H157" s="510"/>
    </row>
    <row r="158" spans="1:10">
      <c r="A158" s="323"/>
      <c r="B158" s="324"/>
      <c r="C158" s="325"/>
      <c r="D158" s="326"/>
      <c r="E158" s="337"/>
      <c r="F158" s="326"/>
      <c r="G158" s="326"/>
      <c r="H158" s="333"/>
    </row>
    <row r="159" spans="1:10">
      <c r="A159" s="323"/>
      <c r="B159" s="325"/>
      <c r="C159" s="325"/>
      <c r="D159" s="326"/>
      <c r="E159" s="326"/>
      <c r="F159" s="326"/>
      <c r="G159" s="326"/>
      <c r="H159" s="333"/>
    </row>
    <row r="160" spans="1:10">
      <c r="A160" s="323"/>
      <c r="B160" s="324"/>
      <c r="C160" s="325"/>
      <c r="D160" s="326"/>
      <c r="E160" s="337"/>
      <c r="F160" s="326"/>
      <c r="G160" s="326"/>
      <c r="H160" s="338"/>
    </row>
    <row r="161" spans="1:8">
      <c r="A161" s="323"/>
      <c r="B161" s="325"/>
      <c r="C161" s="325"/>
      <c r="D161" s="326"/>
      <c r="E161" s="326"/>
      <c r="F161" s="326"/>
      <c r="G161" s="326"/>
      <c r="H161" s="333"/>
    </row>
    <row r="162" spans="1:8" ht="16.5" customHeight="1">
      <c r="A162" s="322"/>
      <c r="B162" s="324"/>
      <c r="C162" s="325"/>
      <c r="D162" s="326"/>
      <c r="E162" s="337"/>
      <c r="F162" s="326"/>
      <c r="G162" s="326"/>
      <c r="H162" s="333"/>
    </row>
    <row r="163" spans="1:8">
      <c r="A163" s="323"/>
      <c r="B163" s="325"/>
      <c r="C163" s="325"/>
      <c r="D163" s="326"/>
      <c r="E163" s="326"/>
      <c r="F163" s="326"/>
      <c r="G163" s="326"/>
      <c r="H163" s="333"/>
    </row>
    <row r="164" spans="1:8">
      <c r="A164" s="323"/>
      <c r="B164" s="324"/>
      <c r="C164" s="325"/>
      <c r="D164" s="326"/>
      <c r="E164" s="337"/>
      <c r="F164" s="326"/>
      <c r="G164" s="326"/>
      <c r="H164" s="333"/>
    </row>
    <row r="165" spans="1:8">
      <c r="A165" s="323"/>
      <c r="B165" s="325"/>
      <c r="C165" s="325"/>
      <c r="D165" s="326"/>
      <c r="E165" s="326"/>
      <c r="F165" s="326"/>
      <c r="G165" s="326"/>
      <c r="H165" s="333"/>
    </row>
    <row r="166" spans="1:8">
      <c r="A166" s="323"/>
      <c r="B166" s="325"/>
      <c r="C166" s="325"/>
      <c r="D166" s="326"/>
      <c r="E166" s="337"/>
      <c r="F166" s="326"/>
      <c r="G166" s="326"/>
      <c r="H166" s="333"/>
    </row>
    <row r="167" spans="1:8">
      <c r="A167" s="323"/>
      <c r="B167" s="325"/>
      <c r="C167" s="325"/>
      <c r="D167" s="326"/>
      <c r="E167" s="326"/>
      <c r="F167" s="326"/>
      <c r="G167" s="326"/>
      <c r="H167" s="333"/>
    </row>
    <row r="168" spans="1:8">
      <c r="A168" s="322"/>
      <c r="B168" s="325"/>
      <c r="C168" s="325"/>
      <c r="D168" s="326"/>
      <c r="E168" s="337"/>
      <c r="F168" s="326"/>
      <c r="G168" s="326"/>
      <c r="H168" s="333"/>
    </row>
    <row r="169" spans="1:8">
      <c r="A169" s="323"/>
      <c r="B169" s="325"/>
      <c r="C169" s="325"/>
      <c r="D169" s="326"/>
      <c r="E169" s="326"/>
      <c r="F169" s="326"/>
      <c r="G169" s="326"/>
      <c r="H169" s="333"/>
    </row>
    <row r="170" spans="1:8">
      <c r="A170" s="322"/>
      <c r="B170" s="325"/>
      <c r="C170" s="325"/>
      <c r="D170" s="326"/>
      <c r="E170" s="337"/>
      <c r="F170" s="326"/>
      <c r="G170" s="326"/>
      <c r="H170" s="333"/>
    </row>
    <row r="171" spans="1:8">
      <c r="A171" s="323"/>
      <c r="B171" s="325"/>
      <c r="C171" s="325"/>
      <c r="D171" s="326"/>
      <c r="E171" s="326"/>
      <c r="F171" s="326"/>
      <c r="G171" s="326"/>
      <c r="H171" s="333"/>
    </row>
    <row r="172" spans="1:8">
      <c r="A172" s="322"/>
      <c r="B172" s="324"/>
      <c r="C172" s="325"/>
      <c r="D172" s="326"/>
      <c r="E172" s="337"/>
      <c r="F172" s="326"/>
      <c r="G172" s="326"/>
      <c r="H172" s="333"/>
    </row>
    <row r="173" spans="1:8">
      <c r="A173" s="323"/>
      <c r="B173" s="325"/>
      <c r="C173" s="325"/>
      <c r="D173" s="326"/>
      <c r="E173" s="326"/>
      <c r="F173" s="326"/>
      <c r="G173" s="326"/>
      <c r="H173" s="333"/>
    </row>
    <row r="174" spans="1:8">
      <c r="A174" s="322"/>
      <c r="B174" s="324"/>
      <c r="C174" s="325"/>
      <c r="D174" s="326"/>
      <c r="E174" s="337"/>
      <c r="F174" s="326"/>
      <c r="G174" s="326"/>
      <c r="H174" s="338"/>
    </row>
    <row r="175" spans="1:8" s="30" customFormat="1">
      <c r="A175" s="323"/>
      <c r="B175" s="325"/>
      <c r="C175" s="325"/>
      <c r="D175" s="326"/>
      <c r="E175" s="326"/>
      <c r="F175" s="326"/>
      <c r="G175" s="326"/>
      <c r="H175" s="333"/>
    </row>
    <row r="176" spans="1:8">
      <c r="A176" s="323"/>
      <c r="B176" s="325"/>
      <c r="C176" s="325"/>
      <c r="D176" s="326"/>
      <c r="E176" s="337"/>
      <c r="F176" s="326"/>
      <c r="G176" s="326"/>
      <c r="H176" s="333"/>
    </row>
    <row r="177" spans="1:8">
      <c r="A177" s="323"/>
      <c r="B177" s="325"/>
      <c r="C177" s="325"/>
      <c r="D177" s="326"/>
      <c r="E177" s="326"/>
      <c r="F177" s="326"/>
      <c r="G177" s="326"/>
      <c r="H177" s="333"/>
    </row>
    <row r="178" spans="1:8">
      <c r="A178" s="322"/>
      <c r="B178" s="324"/>
      <c r="C178" s="325"/>
      <c r="D178" s="326"/>
      <c r="E178" s="337"/>
      <c r="F178" s="326"/>
      <c r="G178" s="326"/>
      <c r="H178" s="333"/>
    </row>
    <row r="179" spans="1:8">
      <c r="A179" s="323"/>
      <c r="B179" s="325"/>
      <c r="C179" s="325"/>
      <c r="D179" s="326"/>
      <c r="E179" s="326"/>
      <c r="F179" s="326"/>
      <c r="G179" s="326"/>
      <c r="H179" s="333"/>
    </row>
    <row r="180" spans="1:8">
      <c r="A180" s="323"/>
      <c r="B180" s="324"/>
      <c r="C180" s="325"/>
      <c r="D180" s="326"/>
      <c r="E180" s="337"/>
      <c r="F180" s="326"/>
      <c r="G180" s="326"/>
      <c r="H180" s="338"/>
    </row>
    <row r="181" spans="1:8" s="30" customFormat="1">
      <c r="A181" s="323"/>
      <c r="B181" s="325"/>
      <c r="C181" s="325"/>
      <c r="D181" s="326"/>
      <c r="E181" s="326"/>
      <c r="F181" s="326"/>
      <c r="G181" s="326"/>
      <c r="H181" s="333"/>
    </row>
    <row r="182" spans="1:8">
      <c r="A182" s="323"/>
      <c r="B182" s="324"/>
      <c r="C182" s="325"/>
      <c r="D182" s="326"/>
      <c r="E182" s="337"/>
      <c r="F182" s="326"/>
      <c r="G182" s="326"/>
      <c r="H182" s="338"/>
    </row>
    <row r="183" spans="1:8">
      <c r="A183" s="323"/>
      <c r="B183" s="325"/>
      <c r="C183" s="325"/>
      <c r="D183" s="326"/>
      <c r="E183" s="326"/>
      <c r="F183" s="326"/>
      <c r="G183" s="326"/>
      <c r="H183" s="333"/>
    </row>
    <row r="184" spans="1:8">
      <c r="A184" s="322"/>
      <c r="B184" s="324"/>
      <c r="C184" s="325"/>
      <c r="D184" s="326"/>
      <c r="E184" s="337"/>
      <c r="F184" s="326"/>
      <c r="G184" s="326"/>
      <c r="H184" s="333"/>
    </row>
    <row r="185" spans="1:8">
      <c r="A185" s="323"/>
      <c r="B185" s="325"/>
      <c r="C185" s="325"/>
      <c r="D185" s="326"/>
      <c r="E185" s="326"/>
      <c r="F185" s="326"/>
      <c r="G185" s="326"/>
      <c r="H185" s="333"/>
    </row>
    <row r="186" spans="1:8">
      <c r="A186" s="323"/>
      <c r="B186" s="324"/>
      <c r="C186" s="325"/>
      <c r="D186" s="326"/>
      <c r="E186" s="337"/>
      <c r="F186" s="326"/>
      <c r="G186" s="326"/>
      <c r="H186" s="333"/>
    </row>
    <row r="187" spans="1:8">
      <c r="A187" s="323"/>
      <c r="B187" s="325"/>
      <c r="C187" s="325"/>
      <c r="D187" s="326"/>
      <c r="E187" s="326"/>
      <c r="F187" s="326"/>
      <c r="G187" s="326"/>
      <c r="H187" s="333"/>
    </row>
    <row r="188" spans="1:8">
      <c r="A188" s="322"/>
      <c r="B188" s="324"/>
      <c r="C188" s="325"/>
      <c r="D188" s="326"/>
      <c r="E188" s="326"/>
      <c r="F188" s="326"/>
      <c r="G188" s="326"/>
      <c r="H188" s="333"/>
    </row>
    <row r="189" spans="1:8">
      <c r="A189" s="323"/>
      <c r="B189" s="325"/>
      <c r="C189" s="325"/>
      <c r="D189" s="326"/>
      <c r="E189" s="326"/>
      <c r="F189" s="326"/>
      <c r="G189" s="326"/>
      <c r="H189" s="333"/>
    </row>
    <row r="190" spans="1:8">
      <c r="A190" s="322"/>
      <c r="B190" s="324"/>
      <c r="C190" s="325"/>
      <c r="D190" s="326"/>
      <c r="E190" s="337"/>
      <c r="F190" s="326"/>
      <c r="G190" s="326"/>
      <c r="H190" s="338"/>
    </row>
    <row r="191" spans="1:8" s="30" customFormat="1">
      <c r="A191" s="323"/>
      <c r="B191" s="325"/>
      <c r="C191" s="325"/>
      <c r="D191" s="326"/>
      <c r="E191" s="326"/>
      <c r="F191" s="326"/>
      <c r="G191" s="326"/>
      <c r="H191" s="333"/>
    </row>
    <row r="192" spans="1:8">
      <c r="A192" s="323"/>
      <c r="B192" s="325"/>
      <c r="C192" s="325"/>
      <c r="D192" s="326"/>
      <c r="E192" s="337"/>
      <c r="F192" s="326"/>
      <c r="G192" s="326"/>
      <c r="H192" s="338"/>
    </row>
    <row r="193" spans="1:8">
      <c r="A193" s="323"/>
      <c r="B193" s="325"/>
      <c r="C193" s="325"/>
      <c r="D193" s="326"/>
      <c r="E193" s="326"/>
      <c r="F193" s="326"/>
      <c r="G193" s="326"/>
      <c r="H193" s="333"/>
    </row>
    <row r="194" spans="1:8">
      <c r="A194" s="322"/>
      <c r="B194" s="324"/>
      <c r="C194" s="325"/>
      <c r="D194" s="326"/>
      <c r="E194" s="337"/>
      <c r="F194" s="326"/>
      <c r="G194" s="326"/>
      <c r="H194" s="333"/>
    </row>
    <row r="195" spans="1:8">
      <c r="A195" s="323"/>
      <c r="B195" s="325"/>
      <c r="C195" s="325"/>
      <c r="D195" s="326"/>
      <c r="E195" s="326"/>
      <c r="F195" s="326"/>
      <c r="G195" s="326"/>
      <c r="H195" s="333"/>
    </row>
    <row r="196" spans="1:8">
      <c r="A196" s="322"/>
      <c r="B196" s="324"/>
      <c r="C196" s="325"/>
      <c r="D196" s="326"/>
      <c r="E196" s="337"/>
      <c r="F196" s="326"/>
      <c r="G196" s="326"/>
      <c r="H196" s="338"/>
    </row>
    <row r="197" spans="1:8" s="30" customFormat="1">
      <c r="A197" s="323"/>
      <c r="B197" s="325"/>
      <c r="C197" s="325"/>
      <c r="D197" s="326"/>
      <c r="E197" s="326"/>
      <c r="F197" s="326"/>
      <c r="G197" s="326"/>
      <c r="H197" s="333"/>
    </row>
    <row r="198" spans="1:8">
      <c r="A198" s="323"/>
      <c r="B198" s="324"/>
      <c r="C198" s="325"/>
      <c r="D198" s="326"/>
      <c r="E198" s="337"/>
      <c r="F198" s="326"/>
      <c r="G198" s="326"/>
      <c r="H198" s="338"/>
    </row>
    <row r="199" spans="1:8">
      <c r="A199" s="323"/>
      <c r="B199" s="325"/>
      <c r="C199" s="325"/>
      <c r="D199" s="326"/>
      <c r="E199" s="326"/>
      <c r="F199" s="326"/>
      <c r="G199" s="326"/>
      <c r="H199" s="333"/>
    </row>
    <row r="200" spans="1:8">
      <c r="A200" s="323"/>
      <c r="B200" s="325"/>
      <c r="C200" s="325"/>
      <c r="D200" s="326"/>
      <c r="E200" s="326"/>
      <c r="F200" s="326"/>
      <c r="G200" s="326"/>
      <c r="H200" s="338"/>
    </row>
    <row r="201" spans="1:8">
      <c r="A201" s="323"/>
      <c r="B201" s="325"/>
      <c r="C201" s="325"/>
      <c r="D201" s="326"/>
      <c r="E201" s="326"/>
      <c r="F201" s="326"/>
      <c r="G201" s="326"/>
      <c r="H201" s="333"/>
    </row>
    <row r="202" spans="1:8">
      <c r="A202" s="322"/>
      <c r="B202" s="325"/>
      <c r="C202" s="325"/>
      <c r="D202" s="326"/>
      <c r="E202" s="337"/>
      <c r="F202" s="326"/>
      <c r="G202" s="326"/>
      <c r="H202" s="338"/>
    </row>
    <row r="203" spans="1:8" s="30" customFormat="1">
      <c r="A203" s="323"/>
      <c r="B203" s="325"/>
      <c r="C203" s="325"/>
      <c r="D203" s="326"/>
      <c r="E203" s="326"/>
      <c r="F203" s="326"/>
      <c r="G203" s="326"/>
      <c r="H203" s="333"/>
    </row>
    <row r="204" spans="1:8">
      <c r="A204" s="322"/>
      <c r="B204" s="325"/>
      <c r="C204" s="325"/>
      <c r="D204" s="326"/>
      <c r="E204" s="337"/>
      <c r="F204" s="326"/>
      <c r="G204" s="326"/>
      <c r="H204" s="338"/>
    </row>
    <row r="205" spans="1:8">
      <c r="A205" s="323"/>
      <c r="B205" s="325"/>
      <c r="C205" s="325"/>
      <c r="D205" s="326"/>
      <c r="E205" s="326"/>
      <c r="F205" s="326"/>
      <c r="G205" s="326"/>
      <c r="H205" s="333"/>
    </row>
    <row r="206" spans="1:8">
      <c r="A206" s="323"/>
      <c r="B206" s="324"/>
      <c r="C206" s="325"/>
      <c r="D206" s="326"/>
      <c r="E206" s="337"/>
      <c r="F206" s="326"/>
      <c r="G206" s="326"/>
      <c r="H206" s="338"/>
    </row>
    <row r="207" spans="1:8">
      <c r="A207" s="323"/>
      <c r="B207" s="325"/>
      <c r="C207" s="325"/>
      <c r="D207" s="326"/>
      <c r="E207" s="326"/>
      <c r="F207" s="326"/>
      <c r="G207" s="326"/>
      <c r="H207" s="333"/>
    </row>
    <row r="208" spans="1:8" ht="16.5" customHeight="1">
      <c r="A208" s="322"/>
      <c r="B208" s="324"/>
      <c r="C208" s="324"/>
      <c r="D208" s="326"/>
      <c r="E208" s="327"/>
      <c r="F208" s="328"/>
      <c r="G208" s="329"/>
      <c r="H208" s="338"/>
    </row>
    <row r="209" spans="1:8" ht="16.5" customHeight="1">
      <c r="A209" s="323"/>
      <c r="B209" s="325"/>
      <c r="C209" s="325"/>
      <c r="D209" s="326"/>
      <c r="E209" s="330"/>
      <c r="F209" s="331"/>
      <c r="G209" s="332"/>
      <c r="H209" s="333"/>
    </row>
    <row r="210" spans="1:8" ht="16.5" customHeight="1">
      <c r="A210" s="322"/>
      <c r="B210" s="324"/>
      <c r="C210" s="325"/>
      <c r="D210" s="326"/>
      <c r="E210" s="326"/>
      <c r="F210" s="326"/>
      <c r="G210" s="326"/>
      <c r="H210" s="338"/>
    </row>
    <row r="211" spans="1:8" ht="16.5" customHeight="1">
      <c r="A211" s="323"/>
      <c r="B211" s="325"/>
      <c r="C211" s="325"/>
      <c r="D211" s="326"/>
      <c r="E211" s="326"/>
      <c r="F211" s="326"/>
      <c r="G211" s="326"/>
      <c r="H211" s="333"/>
    </row>
    <row r="212" spans="1:8" ht="16.5" customHeight="1">
      <c r="A212" s="336"/>
      <c r="B212" s="324"/>
      <c r="C212" s="324"/>
      <c r="D212" s="326"/>
      <c r="E212" s="327"/>
      <c r="F212" s="328"/>
      <c r="G212" s="329"/>
      <c r="H212" s="350"/>
    </row>
    <row r="213" spans="1:8" ht="16.5" customHeight="1">
      <c r="A213" s="323"/>
      <c r="B213" s="325"/>
      <c r="C213" s="325"/>
      <c r="D213" s="326"/>
      <c r="E213" s="330"/>
      <c r="F213" s="331"/>
      <c r="G213" s="332"/>
      <c r="H213" s="351"/>
    </row>
    <row r="214" spans="1:8" ht="16.5" customHeight="1">
      <c r="A214" s="322"/>
      <c r="B214" s="324"/>
      <c r="C214" s="325"/>
      <c r="D214" s="326"/>
      <c r="E214" s="337"/>
      <c r="F214" s="326"/>
      <c r="G214" s="326"/>
      <c r="H214" s="338"/>
    </row>
    <row r="215" spans="1:8" ht="16.5" customHeight="1">
      <c r="A215" s="323"/>
      <c r="B215" s="325"/>
      <c r="C215" s="325"/>
      <c r="D215" s="326"/>
      <c r="E215" s="326"/>
      <c r="F215" s="326"/>
      <c r="G215" s="326"/>
      <c r="H215" s="333"/>
    </row>
    <row r="216" spans="1:8" ht="16.5" customHeight="1">
      <c r="A216" s="335"/>
      <c r="B216" s="324"/>
      <c r="C216" s="341"/>
      <c r="D216" s="343"/>
      <c r="E216" s="327"/>
      <c r="F216" s="345"/>
      <c r="G216" s="346"/>
      <c r="H216" s="333"/>
    </row>
    <row r="217" spans="1:8" ht="16.5" customHeight="1">
      <c r="A217" s="336"/>
      <c r="B217" s="325"/>
      <c r="C217" s="342"/>
      <c r="D217" s="344"/>
      <c r="E217" s="347"/>
      <c r="F217" s="348"/>
      <c r="G217" s="349"/>
      <c r="H217" s="333"/>
    </row>
    <row r="218" spans="1:8" ht="16.5" customHeight="1">
      <c r="A218" s="322"/>
      <c r="B218" s="324"/>
      <c r="C218" s="325"/>
      <c r="D218" s="326"/>
      <c r="E218" s="327"/>
      <c r="F218" s="328"/>
      <c r="G218" s="329"/>
      <c r="H218" s="333"/>
    </row>
    <row r="219" spans="1:8" ht="16.5" customHeight="1">
      <c r="A219" s="323"/>
      <c r="B219" s="325"/>
      <c r="C219" s="325"/>
      <c r="D219" s="326"/>
      <c r="E219" s="330"/>
      <c r="F219" s="331"/>
      <c r="G219" s="332"/>
      <c r="H219" s="333"/>
    </row>
    <row r="220" spans="1:8" ht="16.5" customHeight="1">
      <c r="A220" s="322"/>
      <c r="B220" s="324"/>
      <c r="C220" s="324"/>
      <c r="D220" s="326"/>
      <c r="E220" s="327"/>
      <c r="F220" s="328"/>
      <c r="G220" s="329"/>
      <c r="H220" s="333"/>
    </row>
    <row r="221" spans="1:8" ht="16.5" customHeight="1">
      <c r="A221" s="323"/>
      <c r="B221" s="325"/>
      <c r="C221" s="325"/>
      <c r="D221" s="326"/>
      <c r="E221" s="330"/>
      <c r="F221" s="331"/>
      <c r="G221" s="332"/>
      <c r="H221" s="333"/>
    </row>
    <row r="222" spans="1:8" ht="16.5" customHeight="1">
      <c r="A222" s="322"/>
      <c r="B222" s="324"/>
      <c r="C222" s="325"/>
      <c r="D222" s="326"/>
      <c r="E222" s="327"/>
      <c r="F222" s="328"/>
      <c r="G222" s="329"/>
      <c r="H222" s="333"/>
    </row>
    <row r="223" spans="1:8" ht="16.5" customHeight="1">
      <c r="A223" s="323"/>
      <c r="B223" s="325"/>
      <c r="C223" s="325"/>
      <c r="D223" s="326"/>
      <c r="E223" s="330"/>
      <c r="F223" s="331"/>
      <c r="G223" s="332"/>
      <c r="H223" s="333"/>
    </row>
    <row r="224" spans="1:8" ht="16.5" customHeight="1">
      <c r="A224" s="322"/>
      <c r="B224" s="324"/>
      <c r="C224" s="325"/>
      <c r="D224" s="326"/>
      <c r="E224" s="327"/>
      <c r="F224" s="328"/>
      <c r="G224" s="329"/>
      <c r="H224" s="333"/>
    </row>
    <row r="225" spans="1:11" ht="17.25" customHeight="1">
      <c r="A225" s="323"/>
      <c r="B225" s="325"/>
      <c r="C225" s="325"/>
      <c r="D225" s="326"/>
      <c r="E225" s="330"/>
      <c r="F225" s="331"/>
      <c r="G225" s="332"/>
      <c r="H225" s="333"/>
    </row>
    <row r="226" spans="1:11" ht="16.5" customHeight="1">
      <c r="A226" s="322"/>
      <c r="B226" s="324"/>
      <c r="C226" s="325"/>
      <c r="D226" s="326"/>
      <c r="E226" s="327"/>
      <c r="F226" s="328"/>
      <c r="G226" s="329"/>
      <c r="H226" s="333"/>
    </row>
    <row r="227" spans="1:11" ht="16.5" customHeight="1">
      <c r="A227" s="323"/>
      <c r="B227" s="325"/>
      <c r="C227" s="325"/>
      <c r="D227" s="326"/>
      <c r="E227" s="330"/>
      <c r="F227" s="331"/>
      <c r="G227" s="332"/>
      <c r="H227" s="333"/>
    </row>
    <row r="228" spans="1:11" ht="16.5" customHeight="1">
      <c r="A228" s="322"/>
      <c r="B228" s="324"/>
      <c r="C228" s="324"/>
      <c r="D228" s="326"/>
      <c r="E228" s="327"/>
      <c r="F228" s="328"/>
      <c r="G228" s="329"/>
      <c r="H228" s="333"/>
    </row>
    <row r="229" spans="1:11" ht="16.5" customHeight="1">
      <c r="A229" s="323"/>
      <c r="B229" s="325"/>
      <c r="C229" s="325"/>
      <c r="D229" s="326"/>
      <c r="E229" s="330"/>
      <c r="F229" s="331"/>
      <c r="G229" s="332"/>
      <c r="H229" s="333"/>
    </row>
    <row r="230" spans="1:11" ht="16.5" customHeight="1">
      <c r="A230" s="322"/>
      <c r="B230" s="324"/>
      <c r="C230" s="324"/>
      <c r="D230" s="326"/>
      <c r="E230" s="327"/>
      <c r="F230" s="328"/>
      <c r="G230" s="329"/>
      <c r="H230" s="333"/>
    </row>
    <row r="231" spans="1:11" ht="16.5" customHeight="1">
      <c r="A231" s="323"/>
      <c r="B231" s="325"/>
      <c r="C231" s="325"/>
      <c r="D231" s="326"/>
      <c r="E231" s="330"/>
      <c r="F231" s="331"/>
      <c r="G231" s="332"/>
      <c r="H231" s="333"/>
    </row>
    <row r="232" spans="1:11" ht="16.5" customHeight="1">
      <c r="A232" s="322"/>
      <c r="B232" s="324"/>
      <c r="C232" s="325"/>
      <c r="D232" s="326"/>
      <c r="E232" s="337"/>
      <c r="F232" s="326"/>
      <c r="G232" s="326"/>
      <c r="H232" s="333"/>
    </row>
    <row r="233" spans="1:11" ht="16.5" customHeight="1">
      <c r="A233" s="323"/>
      <c r="B233" s="325"/>
      <c r="C233" s="325"/>
      <c r="D233" s="326"/>
      <c r="E233" s="326"/>
      <c r="F233" s="326"/>
      <c r="G233" s="326"/>
      <c r="H233" s="333"/>
    </row>
    <row r="234" spans="1:11" ht="16.5" customHeight="1">
      <c r="A234" s="322"/>
      <c r="B234" s="324"/>
      <c r="C234" s="324"/>
      <c r="D234" s="326"/>
      <c r="E234" s="337"/>
      <c r="F234" s="326"/>
      <c r="G234" s="326"/>
      <c r="H234" s="333"/>
    </row>
    <row r="235" spans="1:11" ht="16.5" customHeight="1">
      <c r="A235" s="323"/>
      <c r="B235" s="325"/>
      <c r="C235" s="325"/>
      <c r="D235" s="326"/>
      <c r="E235" s="326"/>
      <c r="F235" s="326"/>
      <c r="G235" s="326"/>
      <c r="H235" s="333"/>
    </row>
    <row r="236" spans="1:11" ht="16.5" customHeight="1">
      <c r="A236" s="339"/>
      <c r="B236" s="324"/>
      <c r="C236" s="324"/>
      <c r="D236" s="326"/>
      <c r="E236" s="327"/>
      <c r="F236" s="328"/>
      <c r="G236" s="329"/>
      <c r="H236" s="333"/>
    </row>
    <row r="237" spans="1:11" ht="16.5" customHeight="1">
      <c r="A237" s="340"/>
      <c r="B237" s="325"/>
      <c r="C237" s="325"/>
      <c r="D237" s="326"/>
      <c r="E237" s="330"/>
      <c r="F237" s="331"/>
      <c r="G237" s="332"/>
      <c r="H237" s="333"/>
    </row>
    <row r="238" spans="1:11" ht="16.5" customHeight="1">
      <c r="A238" s="322"/>
      <c r="B238" s="324"/>
      <c r="C238" s="324"/>
      <c r="D238" s="326"/>
      <c r="E238" s="327"/>
      <c r="F238" s="328"/>
      <c r="G238" s="329"/>
      <c r="H238" s="333"/>
    </row>
    <row r="239" spans="1:11" ht="16.5" customHeight="1">
      <c r="A239" s="323"/>
      <c r="B239" s="325"/>
      <c r="C239" s="325"/>
      <c r="D239" s="326"/>
      <c r="E239" s="330"/>
      <c r="F239" s="331"/>
      <c r="G239" s="332"/>
      <c r="H239" s="333"/>
      <c r="K239" s="24"/>
    </row>
    <row r="240" spans="1:11" ht="16.5" customHeight="1">
      <c r="A240" s="322"/>
      <c r="B240" s="324"/>
      <c r="C240" s="324"/>
      <c r="D240" s="326"/>
      <c r="E240" s="327"/>
      <c r="F240" s="328"/>
      <c r="G240" s="329"/>
      <c r="H240" s="338"/>
    </row>
    <row r="241" spans="1:11" ht="16.5" customHeight="1">
      <c r="A241" s="323"/>
      <c r="B241" s="325"/>
      <c r="C241" s="325"/>
      <c r="D241" s="326"/>
      <c r="E241" s="330"/>
      <c r="F241" s="331"/>
      <c r="G241" s="332"/>
      <c r="H241" s="333"/>
      <c r="K241" s="24"/>
    </row>
    <row r="242" spans="1:11" ht="16.5" customHeight="1">
      <c r="A242" s="322"/>
      <c r="B242" s="324"/>
      <c r="C242" s="324"/>
      <c r="D242" s="326"/>
      <c r="E242" s="327"/>
      <c r="F242" s="328"/>
      <c r="G242" s="329"/>
      <c r="H242" s="333"/>
      <c r="K242" s="24"/>
    </row>
    <row r="243" spans="1:11" ht="16.5" customHeight="1">
      <c r="A243" s="323"/>
      <c r="B243" s="325"/>
      <c r="C243" s="325"/>
      <c r="D243" s="326"/>
      <c r="E243" s="330"/>
      <c r="F243" s="331"/>
      <c r="G243" s="332"/>
      <c r="H243" s="333"/>
      <c r="K243" s="24"/>
    </row>
    <row r="244" spans="1:11" ht="16.5" customHeight="1">
      <c r="A244" s="322"/>
      <c r="B244" s="324"/>
      <c r="C244" s="325"/>
      <c r="D244" s="326"/>
      <c r="E244" s="337"/>
      <c r="F244" s="326"/>
      <c r="G244" s="326"/>
      <c r="H244" s="333"/>
      <c r="K244" s="24"/>
    </row>
    <row r="245" spans="1:11" ht="16.5" customHeight="1">
      <c r="A245" s="323"/>
      <c r="B245" s="325"/>
      <c r="C245" s="325"/>
      <c r="D245" s="326"/>
      <c r="E245" s="326"/>
      <c r="F245" s="326"/>
      <c r="G245" s="326"/>
      <c r="H245" s="333"/>
      <c r="K245" s="24"/>
    </row>
    <row r="246" spans="1:11" ht="16.5" customHeight="1">
      <c r="A246" s="322"/>
      <c r="B246" s="324"/>
      <c r="C246" s="325"/>
      <c r="D246" s="326"/>
      <c r="E246" s="327"/>
      <c r="F246" s="328"/>
      <c r="G246" s="329"/>
      <c r="H246" s="338"/>
      <c r="I246" s="4"/>
    </row>
    <row r="247" spans="1:11" ht="16.5" customHeight="1">
      <c r="A247" s="323"/>
      <c r="B247" s="325"/>
      <c r="C247" s="325"/>
      <c r="D247" s="326"/>
      <c r="E247" s="330"/>
      <c r="F247" s="331"/>
      <c r="G247" s="332"/>
      <c r="H247" s="333"/>
    </row>
    <row r="248" spans="1:11" ht="16.5" customHeight="1">
      <c r="A248" s="322"/>
      <c r="B248" s="324"/>
      <c r="C248" s="325"/>
      <c r="D248" s="326"/>
      <c r="E248" s="327"/>
      <c r="F248" s="328"/>
      <c r="G248" s="329"/>
      <c r="H248" s="333"/>
    </row>
    <row r="249" spans="1:11" ht="16.5" customHeight="1">
      <c r="A249" s="323"/>
      <c r="B249" s="325"/>
      <c r="C249" s="325"/>
      <c r="D249" s="326"/>
      <c r="E249" s="330"/>
      <c r="F249" s="331"/>
      <c r="G249" s="332"/>
      <c r="H249" s="333"/>
    </row>
    <row r="250" spans="1:11" ht="16.5" customHeight="1">
      <c r="A250" s="322"/>
      <c r="B250" s="324"/>
      <c r="C250" s="325"/>
      <c r="D250" s="326"/>
      <c r="E250" s="327"/>
      <c r="F250" s="328"/>
      <c r="G250" s="329"/>
      <c r="H250" s="333"/>
    </row>
    <row r="251" spans="1:11" ht="16.5" customHeight="1">
      <c r="A251" s="323"/>
      <c r="B251" s="325"/>
      <c r="C251" s="325"/>
      <c r="D251" s="326"/>
      <c r="E251" s="330"/>
      <c r="F251" s="331"/>
      <c r="G251" s="332"/>
      <c r="H251" s="333"/>
    </row>
    <row r="252" spans="1:11" ht="16.5" customHeight="1">
      <c r="A252" s="322"/>
      <c r="B252" s="324"/>
      <c r="C252" s="325"/>
      <c r="D252" s="326"/>
      <c r="E252" s="327"/>
      <c r="F252" s="328"/>
      <c r="G252" s="329"/>
      <c r="H252" s="333"/>
    </row>
    <row r="253" spans="1:11" ht="16.5" customHeight="1">
      <c r="A253" s="323"/>
      <c r="B253" s="325"/>
      <c r="C253" s="325"/>
      <c r="D253" s="326"/>
      <c r="E253" s="330"/>
      <c r="F253" s="331"/>
      <c r="G253" s="332"/>
      <c r="H253" s="333"/>
    </row>
    <row r="254" spans="1:11" ht="16.5" customHeight="1">
      <c r="A254" s="322"/>
      <c r="B254" s="324"/>
      <c r="C254" s="325"/>
      <c r="D254" s="326"/>
      <c r="E254" s="327"/>
      <c r="F254" s="328"/>
      <c r="G254" s="329"/>
      <c r="H254" s="333"/>
    </row>
    <row r="255" spans="1:11" ht="16.5" customHeight="1">
      <c r="A255" s="323"/>
      <c r="B255" s="325"/>
      <c r="C255" s="325"/>
      <c r="D255" s="326"/>
      <c r="E255" s="330"/>
      <c r="F255" s="331"/>
      <c r="G255" s="332"/>
      <c r="H255" s="333"/>
    </row>
    <row r="256" spans="1:11" ht="16.5" customHeight="1">
      <c r="A256" s="322"/>
      <c r="B256" s="324"/>
      <c r="C256" s="326"/>
      <c r="D256" s="326"/>
      <c r="E256" s="327"/>
      <c r="F256" s="328"/>
      <c r="G256" s="329"/>
      <c r="H256" s="333"/>
    </row>
    <row r="257" spans="1:11" ht="16.5" customHeight="1">
      <c r="A257" s="323"/>
      <c r="B257" s="325"/>
      <c r="C257" s="326"/>
      <c r="D257" s="326"/>
      <c r="E257" s="330"/>
      <c r="F257" s="331"/>
      <c r="G257" s="332"/>
      <c r="H257" s="333"/>
    </row>
    <row r="258" spans="1:11" ht="16.5" customHeight="1">
      <c r="A258" s="322"/>
      <c r="B258" s="324"/>
      <c r="C258" s="325"/>
      <c r="D258" s="326"/>
      <c r="E258" s="337"/>
      <c r="F258" s="326"/>
      <c r="G258" s="326"/>
      <c r="H258" s="333"/>
      <c r="I258" s="3"/>
      <c r="K258" s="23"/>
    </row>
    <row r="259" spans="1:11" ht="16.5" customHeight="1">
      <c r="A259" s="323"/>
      <c r="B259" s="325"/>
      <c r="C259" s="325"/>
      <c r="D259" s="326"/>
      <c r="E259" s="326"/>
      <c r="F259" s="326"/>
      <c r="G259" s="326"/>
      <c r="H259" s="333"/>
    </row>
    <row r="260" spans="1:11" ht="16.5" customHeight="1">
      <c r="A260" s="322"/>
      <c r="B260" s="324"/>
      <c r="C260" s="325"/>
      <c r="D260" s="326"/>
      <c r="E260" s="327"/>
      <c r="F260" s="328"/>
      <c r="G260" s="329"/>
      <c r="H260" s="333"/>
    </row>
    <row r="261" spans="1:11" ht="16.5" customHeight="1">
      <c r="A261" s="323"/>
      <c r="B261" s="325"/>
      <c r="C261" s="325"/>
      <c r="D261" s="326"/>
      <c r="E261" s="330"/>
      <c r="F261" s="331"/>
      <c r="G261" s="332"/>
      <c r="H261" s="333"/>
    </row>
    <row r="262" spans="1:11" ht="16.5" customHeight="1">
      <c r="A262" s="322"/>
      <c r="B262" s="324"/>
      <c r="C262" s="324"/>
      <c r="D262" s="326"/>
      <c r="E262" s="327"/>
      <c r="F262" s="328"/>
      <c r="G262" s="329"/>
      <c r="H262" s="333"/>
    </row>
    <row r="263" spans="1:11" ht="16.5" customHeight="1">
      <c r="A263" s="323"/>
      <c r="B263" s="325"/>
      <c r="C263" s="325"/>
      <c r="D263" s="326"/>
      <c r="E263" s="330"/>
      <c r="F263" s="331"/>
      <c r="G263" s="332"/>
      <c r="H263" s="333"/>
    </row>
    <row r="264" spans="1:11" ht="16.5" customHeight="1">
      <c r="A264" s="335"/>
      <c r="B264" s="324"/>
      <c r="C264" s="325"/>
      <c r="D264" s="326"/>
      <c r="E264" s="327"/>
      <c r="F264" s="328"/>
      <c r="G264" s="329"/>
      <c r="H264" s="333"/>
    </row>
    <row r="265" spans="1:11" ht="16.5" customHeight="1">
      <c r="A265" s="336"/>
      <c r="B265" s="325"/>
      <c r="C265" s="325"/>
      <c r="D265" s="326"/>
      <c r="E265" s="330"/>
      <c r="F265" s="331"/>
      <c r="G265" s="332"/>
      <c r="H265" s="333"/>
    </row>
    <row r="266" spans="1:11" ht="16.5" customHeight="1">
      <c r="A266" s="334"/>
      <c r="B266" s="324"/>
      <c r="C266" s="324"/>
      <c r="D266" s="326"/>
      <c r="E266" s="327"/>
      <c r="F266" s="328"/>
      <c r="G266" s="329"/>
      <c r="H266" s="333"/>
    </row>
    <row r="267" spans="1:11" ht="16.5" customHeight="1">
      <c r="A267" s="323"/>
      <c r="B267" s="325"/>
      <c r="C267" s="325"/>
      <c r="D267" s="326"/>
      <c r="E267" s="330"/>
      <c r="F267" s="331"/>
      <c r="G267" s="332"/>
      <c r="H267" s="333"/>
    </row>
    <row r="268" spans="1:11" ht="16.5" customHeight="1">
      <c r="A268" s="322"/>
      <c r="B268" s="324"/>
      <c r="C268" s="325"/>
      <c r="D268" s="326"/>
      <c r="E268" s="327"/>
      <c r="F268" s="328"/>
      <c r="G268" s="329"/>
      <c r="H268" s="333"/>
    </row>
    <row r="269" spans="1:11" ht="16.5" customHeight="1">
      <c r="A269" s="323"/>
      <c r="B269" s="325"/>
      <c r="C269" s="325"/>
      <c r="D269" s="326"/>
      <c r="E269" s="330"/>
      <c r="F269" s="331"/>
      <c r="G269" s="332"/>
      <c r="H269" s="333"/>
    </row>
    <row r="270" spans="1:11" ht="16.5" customHeight="1">
      <c r="A270" s="313"/>
      <c r="B270" s="314"/>
      <c r="C270" s="307"/>
      <c r="D270" s="309"/>
      <c r="E270" s="315"/>
      <c r="F270" s="316"/>
      <c r="G270" s="317"/>
      <c r="H270" s="321"/>
    </row>
    <row r="271" spans="1:11" ht="16.5" customHeight="1">
      <c r="A271" s="305"/>
      <c r="B271" s="307"/>
      <c r="C271" s="307"/>
      <c r="D271" s="309"/>
      <c r="E271" s="318"/>
      <c r="F271" s="319"/>
      <c r="G271" s="320"/>
      <c r="H271" s="311"/>
    </row>
    <row r="272" spans="1:11" ht="16.5" customHeight="1">
      <c r="A272" s="313"/>
      <c r="B272" s="314"/>
      <c r="C272" s="307"/>
      <c r="D272" s="309"/>
      <c r="E272" s="315"/>
      <c r="F272" s="316"/>
      <c r="G272" s="317"/>
      <c r="H272" s="321"/>
    </row>
    <row r="273" spans="1:8" ht="16.5" customHeight="1">
      <c r="A273" s="305"/>
      <c r="B273" s="307"/>
      <c r="C273" s="307"/>
      <c r="D273" s="309"/>
      <c r="E273" s="318"/>
      <c r="F273" s="319"/>
      <c r="G273" s="320"/>
      <c r="H273" s="311"/>
    </row>
    <row r="274" spans="1:8">
      <c r="A274" s="305"/>
      <c r="B274" s="307"/>
      <c r="C274" s="307"/>
      <c r="D274" s="309"/>
      <c r="E274" s="309"/>
      <c r="F274" s="309"/>
      <c r="G274" s="309"/>
      <c r="H274" s="311"/>
    </row>
    <row r="275" spans="1:8">
      <c r="A275" s="305"/>
      <c r="B275" s="307"/>
      <c r="C275" s="307"/>
      <c r="D275" s="309"/>
      <c r="E275" s="309"/>
      <c r="F275" s="309"/>
      <c r="G275" s="309"/>
      <c r="H275" s="311"/>
    </row>
    <row r="276" spans="1:8" ht="16.5" customHeight="1">
      <c r="A276" s="313"/>
      <c r="B276" s="314"/>
      <c r="C276" s="307"/>
      <c r="D276" s="309"/>
      <c r="E276" s="315"/>
      <c r="F276" s="316"/>
      <c r="G276" s="317"/>
      <c r="H276" s="311"/>
    </row>
    <row r="277" spans="1:8" ht="16.5" customHeight="1">
      <c r="A277" s="305"/>
      <c r="B277" s="307"/>
      <c r="C277" s="307"/>
      <c r="D277" s="309"/>
      <c r="E277" s="318"/>
      <c r="F277" s="319"/>
      <c r="G277" s="320"/>
      <c r="H277" s="311"/>
    </row>
    <row r="278" spans="1:8" ht="16.5" customHeight="1">
      <c r="A278" s="313"/>
      <c r="B278" s="314"/>
      <c r="C278" s="307"/>
      <c r="D278" s="309"/>
      <c r="E278" s="315"/>
      <c r="F278" s="316"/>
      <c r="G278" s="317"/>
      <c r="H278" s="311"/>
    </row>
    <row r="279" spans="1:8" ht="16.5" customHeight="1">
      <c r="A279" s="305"/>
      <c r="B279" s="307"/>
      <c r="C279" s="307"/>
      <c r="D279" s="309"/>
      <c r="E279" s="318"/>
      <c r="F279" s="319"/>
      <c r="G279" s="320"/>
      <c r="H279" s="311"/>
    </row>
    <row r="280" spans="1:8" ht="16.5" customHeight="1">
      <c r="A280" s="313"/>
      <c r="B280" s="314"/>
      <c r="C280" s="307"/>
      <c r="D280" s="309"/>
      <c r="E280" s="315"/>
      <c r="F280" s="316"/>
      <c r="G280" s="317"/>
      <c r="H280" s="321"/>
    </row>
    <row r="281" spans="1:8" ht="16.5" customHeight="1">
      <c r="A281" s="305"/>
      <c r="B281" s="307"/>
      <c r="C281" s="307"/>
      <c r="D281" s="309"/>
      <c r="E281" s="318"/>
      <c r="F281" s="319"/>
      <c r="G281" s="320"/>
      <c r="H281" s="311"/>
    </row>
    <row r="282" spans="1:8" ht="16.5" customHeight="1">
      <c r="A282" s="313"/>
      <c r="B282" s="314"/>
      <c r="C282" s="307"/>
      <c r="D282" s="309"/>
      <c r="E282" s="315"/>
      <c r="F282" s="316"/>
      <c r="G282" s="317"/>
      <c r="H282" s="321"/>
    </row>
    <row r="283" spans="1:8" ht="16.5" customHeight="1">
      <c r="A283" s="305"/>
      <c r="B283" s="307"/>
      <c r="C283" s="307"/>
      <c r="D283" s="309"/>
      <c r="E283" s="318"/>
      <c r="F283" s="319"/>
      <c r="G283" s="320"/>
      <c r="H283" s="311"/>
    </row>
    <row r="284" spans="1:8">
      <c r="A284" s="305"/>
      <c r="B284" s="307"/>
      <c r="C284" s="307"/>
      <c r="D284" s="309"/>
      <c r="E284" s="309"/>
      <c r="F284" s="309"/>
      <c r="G284" s="309"/>
      <c r="H284" s="311"/>
    </row>
    <row r="285" spans="1:8">
      <c r="A285" s="305"/>
      <c r="B285" s="307"/>
      <c r="C285" s="307"/>
      <c r="D285" s="309"/>
      <c r="E285" s="309"/>
      <c r="F285" s="309"/>
      <c r="G285" s="309"/>
      <c r="H285" s="311"/>
    </row>
    <row r="286" spans="1:8" ht="16.5" customHeight="1">
      <c r="A286" s="313"/>
      <c r="B286" s="314"/>
      <c r="C286" s="307"/>
      <c r="D286" s="309"/>
      <c r="E286" s="315"/>
      <c r="F286" s="316"/>
      <c r="G286" s="317"/>
      <c r="H286" s="311"/>
    </row>
    <row r="287" spans="1:8" ht="16.5" customHeight="1">
      <c r="A287" s="305"/>
      <c r="B287" s="307"/>
      <c r="C287" s="307"/>
      <c r="D287" s="309"/>
      <c r="E287" s="318"/>
      <c r="F287" s="319"/>
      <c r="G287" s="320"/>
      <c r="H287" s="311"/>
    </row>
    <row r="288" spans="1:8" ht="16.5" customHeight="1">
      <c r="A288" s="313"/>
      <c r="B288" s="314"/>
      <c r="C288" s="307"/>
      <c r="D288" s="309"/>
      <c r="E288" s="315"/>
      <c r="F288" s="316"/>
      <c r="G288" s="317"/>
      <c r="H288" s="321"/>
    </row>
    <row r="289" spans="1:8" ht="16.5" customHeight="1">
      <c r="A289" s="305"/>
      <c r="B289" s="307"/>
      <c r="C289" s="307"/>
      <c r="D289" s="309"/>
      <c r="E289" s="318"/>
      <c r="F289" s="319"/>
      <c r="G289" s="320"/>
      <c r="H289" s="311"/>
    </row>
    <row r="290" spans="1:8" ht="16.5" customHeight="1">
      <c r="A290" s="313"/>
      <c r="B290" s="314"/>
      <c r="C290" s="307"/>
      <c r="D290" s="309"/>
      <c r="E290" s="315"/>
      <c r="F290" s="316"/>
      <c r="G290" s="317"/>
      <c r="H290" s="321"/>
    </row>
    <row r="291" spans="1:8" ht="16.5" customHeight="1">
      <c r="A291" s="305"/>
      <c r="B291" s="307"/>
      <c r="C291" s="307"/>
      <c r="D291" s="309"/>
      <c r="E291" s="318"/>
      <c r="F291" s="319"/>
      <c r="G291" s="320"/>
      <c r="H291" s="311"/>
    </row>
    <row r="292" spans="1:8">
      <c r="A292" s="305"/>
      <c r="B292" s="307"/>
      <c r="C292" s="307"/>
      <c r="D292" s="309"/>
      <c r="E292" s="309"/>
      <c r="F292" s="309"/>
      <c r="G292" s="309"/>
      <c r="H292" s="311"/>
    </row>
    <row r="293" spans="1:8">
      <c r="A293" s="305"/>
      <c r="B293" s="307"/>
      <c r="C293" s="307"/>
      <c r="D293" s="309"/>
      <c r="E293" s="309"/>
      <c r="F293" s="309"/>
      <c r="G293" s="309"/>
      <c r="H293" s="311"/>
    </row>
    <row r="294" spans="1:8">
      <c r="A294" s="305"/>
      <c r="B294" s="307"/>
      <c r="C294" s="307"/>
      <c r="D294" s="309"/>
      <c r="E294" s="309"/>
      <c r="F294" s="309"/>
      <c r="G294" s="309"/>
      <c r="H294" s="311"/>
    </row>
    <row r="295" spans="1:8" ht="17.25" thickBot="1">
      <c r="A295" s="306"/>
      <c r="B295" s="308"/>
      <c r="C295" s="308"/>
      <c r="D295" s="310"/>
      <c r="E295" s="310"/>
      <c r="F295" s="310"/>
      <c r="G295" s="310"/>
      <c r="H295" s="312"/>
    </row>
  </sheetData>
  <mergeCells count="867">
    <mergeCell ref="A294:A295"/>
    <mergeCell ref="B294:B295"/>
    <mergeCell ref="C294:C295"/>
    <mergeCell ref="D294:D295"/>
    <mergeCell ref="E294:G295"/>
    <mergeCell ref="H294:H295"/>
    <mergeCell ref="A292:A293"/>
    <mergeCell ref="B292:B293"/>
    <mergeCell ref="C292:C293"/>
    <mergeCell ref="D292:D293"/>
    <mergeCell ref="E292:G293"/>
    <mergeCell ref="H292:H293"/>
    <mergeCell ref="A290:A291"/>
    <mergeCell ref="B290:B291"/>
    <mergeCell ref="C290:C291"/>
    <mergeCell ref="D290:D291"/>
    <mergeCell ref="E290:G291"/>
    <mergeCell ref="H290:H291"/>
    <mergeCell ref="A288:A289"/>
    <mergeCell ref="B288:B289"/>
    <mergeCell ref="C288:C289"/>
    <mergeCell ref="D288:D289"/>
    <mergeCell ref="E288:G289"/>
    <mergeCell ref="H288:H289"/>
    <mergeCell ref="A286:A287"/>
    <mergeCell ref="B286:B287"/>
    <mergeCell ref="C286:C287"/>
    <mergeCell ref="D286:D287"/>
    <mergeCell ref="E286:G287"/>
    <mergeCell ref="H286:H287"/>
    <mergeCell ref="A284:A285"/>
    <mergeCell ref="B284:B285"/>
    <mergeCell ref="C284:C285"/>
    <mergeCell ref="D284:D285"/>
    <mergeCell ref="E284:G285"/>
    <mergeCell ref="H284:H285"/>
    <mergeCell ref="A282:A283"/>
    <mergeCell ref="B282:B283"/>
    <mergeCell ref="C282:C283"/>
    <mergeCell ref="D282:D283"/>
    <mergeCell ref="E282:G283"/>
    <mergeCell ref="H282:H283"/>
    <mergeCell ref="A280:A281"/>
    <mergeCell ref="B280:B281"/>
    <mergeCell ref="C280:C281"/>
    <mergeCell ref="D280:D281"/>
    <mergeCell ref="E280:G281"/>
    <mergeCell ref="H280:H281"/>
    <mergeCell ref="A278:A279"/>
    <mergeCell ref="B278:B279"/>
    <mergeCell ref="C278:C279"/>
    <mergeCell ref="D278:D279"/>
    <mergeCell ref="E278:G279"/>
    <mergeCell ref="H278:H279"/>
    <mergeCell ref="A276:A277"/>
    <mergeCell ref="B276:B277"/>
    <mergeCell ref="C276:C277"/>
    <mergeCell ref="D276:D277"/>
    <mergeCell ref="E276:G277"/>
    <mergeCell ref="H276:H277"/>
    <mergeCell ref="A274:A275"/>
    <mergeCell ref="B274:B275"/>
    <mergeCell ref="C274:C275"/>
    <mergeCell ref="D274:D275"/>
    <mergeCell ref="E274:G275"/>
    <mergeCell ref="H274:H275"/>
    <mergeCell ref="A272:A273"/>
    <mergeCell ref="B272:B273"/>
    <mergeCell ref="C272:C273"/>
    <mergeCell ref="D272:D273"/>
    <mergeCell ref="E272:G273"/>
    <mergeCell ref="H272:H273"/>
    <mergeCell ref="A270:A271"/>
    <mergeCell ref="B270:B271"/>
    <mergeCell ref="C270:C271"/>
    <mergeCell ref="D270:D271"/>
    <mergeCell ref="E270:G271"/>
    <mergeCell ref="H270:H271"/>
    <mergeCell ref="A268:A269"/>
    <mergeCell ref="B268:B269"/>
    <mergeCell ref="C268:C269"/>
    <mergeCell ref="D268:D269"/>
    <mergeCell ref="E268:G269"/>
    <mergeCell ref="H268:H269"/>
    <mergeCell ref="A266:A267"/>
    <mergeCell ref="B266:B267"/>
    <mergeCell ref="C266:C267"/>
    <mergeCell ref="D266:D267"/>
    <mergeCell ref="E266:G267"/>
    <mergeCell ref="H266:H267"/>
    <mergeCell ref="A264:A265"/>
    <mergeCell ref="B264:B265"/>
    <mergeCell ref="C264:C265"/>
    <mergeCell ref="D264:D265"/>
    <mergeCell ref="E264:G265"/>
    <mergeCell ref="H264:H265"/>
    <mergeCell ref="A262:A263"/>
    <mergeCell ref="B262:B263"/>
    <mergeCell ref="C262:C263"/>
    <mergeCell ref="D262:D263"/>
    <mergeCell ref="E262:G263"/>
    <mergeCell ref="H262:H263"/>
    <mergeCell ref="A260:A261"/>
    <mergeCell ref="B260:B261"/>
    <mergeCell ref="C260:C261"/>
    <mergeCell ref="D260:D261"/>
    <mergeCell ref="E260:G261"/>
    <mergeCell ref="H260:H261"/>
    <mergeCell ref="A258:A259"/>
    <mergeCell ref="B258:B259"/>
    <mergeCell ref="C258:C259"/>
    <mergeCell ref="D258:D259"/>
    <mergeCell ref="E258:G259"/>
    <mergeCell ref="H258:H259"/>
    <mergeCell ref="A256:A257"/>
    <mergeCell ref="B256:B257"/>
    <mergeCell ref="C256:C257"/>
    <mergeCell ref="D256:D257"/>
    <mergeCell ref="E256:G257"/>
    <mergeCell ref="H256:H257"/>
    <mergeCell ref="A254:A255"/>
    <mergeCell ref="B254:B255"/>
    <mergeCell ref="C254:C255"/>
    <mergeCell ref="D254:D255"/>
    <mergeCell ref="E254:G255"/>
    <mergeCell ref="H254:H255"/>
    <mergeCell ref="A252:A253"/>
    <mergeCell ref="B252:B253"/>
    <mergeCell ref="C252:C253"/>
    <mergeCell ref="D252:D253"/>
    <mergeCell ref="E252:G253"/>
    <mergeCell ref="H252:H253"/>
    <mergeCell ref="A250:A251"/>
    <mergeCell ref="B250:B251"/>
    <mergeCell ref="C250:C251"/>
    <mergeCell ref="D250:D251"/>
    <mergeCell ref="E250:G251"/>
    <mergeCell ref="H250:H251"/>
    <mergeCell ref="A248:A249"/>
    <mergeCell ref="B248:B249"/>
    <mergeCell ref="C248:C249"/>
    <mergeCell ref="D248:D249"/>
    <mergeCell ref="E248:G249"/>
    <mergeCell ref="H248:H249"/>
    <mergeCell ref="A246:A247"/>
    <mergeCell ref="B246:B247"/>
    <mergeCell ref="C246:C247"/>
    <mergeCell ref="D246:D247"/>
    <mergeCell ref="E246:G247"/>
    <mergeCell ref="H246:H247"/>
    <mergeCell ref="A244:A245"/>
    <mergeCell ref="B244:B245"/>
    <mergeCell ref="C244:C245"/>
    <mergeCell ref="D244:D245"/>
    <mergeCell ref="E244:G245"/>
    <mergeCell ref="H244:H245"/>
    <mergeCell ref="A242:A243"/>
    <mergeCell ref="B242:B243"/>
    <mergeCell ref="C242:C243"/>
    <mergeCell ref="D242:D243"/>
    <mergeCell ref="E242:G243"/>
    <mergeCell ref="H242:H243"/>
    <mergeCell ref="A240:A241"/>
    <mergeCell ref="B240:B241"/>
    <mergeCell ref="C240:C241"/>
    <mergeCell ref="D240:D241"/>
    <mergeCell ref="E240:G241"/>
    <mergeCell ref="H240:H241"/>
    <mergeCell ref="A238:A239"/>
    <mergeCell ref="B238:B239"/>
    <mergeCell ref="C238:C239"/>
    <mergeCell ref="D238:D239"/>
    <mergeCell ref="E238:G239"/>
    <mergeCell ref="H238:H239"/>
    <mergeCell ref="A236:A237"/>
    <mergeCell ref="B236:B237"/>
    <mergeCell ref="C236:C237"/>
    <mergeCell ref="D236:D237"/>
    <mergeCell ref="E236:G237"/>
    <mergeCell ref="H236:H237"/>
    <mergeCell ref="A234:A235"/>
    <mergeCell ref="B234:B235"/>
    <mergeCell ref="C234:C235"/>
    <mergeCell ref="D234:D235"/>
    <mergeCell ref="E234:G235"/>
    <mergeCell ref="H234:H235"/>
    <mergeCell ref="A232:A233"/>
    <mergeCell ref="B232:B233"/>
    <mergeCell ref="C232:C233"/>
    <mergeCell ref="D232:D233"/>
    <mergeCell ref="E232:G233"/>
    <mergeCell ref="H232:H233"/>
    <mergeCell ref="A230:A231"/>
    <mergeCell ref="B230:B231"/>
    <mergeCell ref="C230:C231"/>
    <mergeCell ref="D230:D231"/>
    <mergeCell ref="E230:G231"/>
    <mergeCell ref="H230:H231"/>
    <mergeCell ref="A228:A229"/>
    <mergeCell ref="B228:B229"/>
    <mergeCell ref="C228:C229"/>
    <mergeCell ref="D228:D229"/>
    <mergeCell ref="E228:G229"/>
    <mergeCell ref="H228:H229"/>
    <mergeCell ref="A226:A227"/>
    <mergeCell ref="B226:B227"/>
    <mergeCell ref="C226:C227"/>
    <mergeCell ref="D226:D227"/>
    <mergeCell ref="E226:G227"/>
    <mergeCell ref="H226:H227"/>
    <mergeCell ref="A224:A225"/>
    <mergeCell ref="B224:B225"/>
    <mergeCell ref="C224:C225"/>
    <mergeCell ref="D224:D225"/>
    <mergeCell ref="E224:G225"/>
    <mergeCell ref="H224:H225"/>
    <mergeCell ref="A222:A223"/>
    <mergeCell ref="B222:B223"/>
    <mergeCell ref="C222:C223"/>
    <mergeCell ref="D222:D223"/>
    <mergeCell ref="E222:G223"/>
    <mergeCell ref="H222:H223"/>
    <mergeCell ref="A220:A221"/>
    <mergeCell ref="B220:B221"/>
    <mergeCell ref="C220:C221"/>
    <mergeCell ref="D220:D221"/>
    <mergeCell ref="E220:G221"/>
    <mergeCell ref="H220:H221"/>
    <mergeCell ref="A218:A219"/>
    <mergeCell ref="B218:B219"/>
    <mergeCell ref="C218:C219"/>
    <mergeCell ref="D218:D219"/>
    <mergeCell ref="E218:G219"/>
    <mergeCell ref="H218:H219"/>
    <mergeCell ref="A216:A217"/>
    <mergeCell ref="B216:B217"/>
    <mergeCell ref="C216:C217"/>
    <mergeCell ref="D216:D217"/>
    <mergeCell ref="E216:G217"/>
    <mergeCell ref="H216:H217"/>
    <mergeCell ref="A214:A215"/>
    <mergeCell ref="B214:B215"/>
    <mergeCell ref="C214:C215"/>
    <mergeCell ref="D214:D215"/>
    <mergeCell ref="E214:G215"/>
    <mergeCell ref="H214:H215"/>
    <mergeCell ref="A212:A213"/>
    <mergeCell ref="B212:B213"/>
    <mergeCell ref="C212:C213"/>
    <mergeCell ref="D212:D213"/>
    <mergeCell ref="E212:G213"/>
    <mergeCell ref="H212:H213"/>
    <mergeCell ref="A210:A211"/>
    <mergeCell ref="B210:B211"/>
    <mergeCell ref="C210:C211"/>
    <mergeCell ref="D210:D211"/>
    <mergeCell ref="E210:G211"/>
    <mergeCell ref="H210:H211"/>
    <mergeCell ref="A208:A209"/>
    <mergeCell ref="B208:B209"/>
    <mergeCell ref="C208:C209"/>
    <mergeCell ref="D208:D209"/>
    <mergeCell ref="E208:G209"/>
    <mergeCell ref="H208:H209"/>
    <mergeCell ref="A206:A207"/>
    <mergeCell ref="B206:B207"/>
    <mergeCell ref="C206:C207"/>
    <mergeCell ref="D206:D207"/>
    <mergeCell ref="E206:G207"/>
    <mergeCell ref="H206:H207"/>
    <mergeCell ref="A204:A205"/>
    <mergeCell ref="B204:B205"/>
    <mergeCell ref="C204:C205"/>
    <mergeCell ref="D204:D205"/>
    <mergeCell ref="E204:G205"/>
    <mergeCell ref="H204:H205"/>
    <mergeCell ref="A202:A203"/>
    <mergeCell ref="B202:B203"/>
    <mergeCell ref="C202:C203"/>
    <mergeCell ref="D202:D203"/>
    <mergeCell ref="E202:G203"/>
    <mergeCell ref="H202:H203"/>
    <mergeCell ref="A200:A201"/>
    <mergeCell ref="B200:B201"/>
    <mergeCell ref="C200:C201"/>
    <mergeCell ref="D200:D201"/>
    <mergeCell ref="E200:G201"/>
    <mergeCell ref="H200:H201"/>
    <mergeCell ref="A198:A199"/>
    <mergeCell ref="B198:B199"/>
    <mergeCell ref="C198:C199"/>
    <mergeCell ref="D198:D199"/>
    <mergeCell ref="E198:G199"/>
    <mergeCell ref="H198:H199"/>
    <mergeCell ref="A196:A197"/>
    <mergeCell ref="B196:B197"/>
    <mergeCell ref="C196:C197"/>
    <mergeCell ref="D196:D197"/>
    <mergeCell ref="E196:G197"/>
    <mergeCell ref="H196:H197"/>
    <mergeCell ref="A194:A195"/>
    <mergeCell ref="B194:B195"/>
    <mergeCell ref="C194:C195"/>
    <mergeCell ref="D194:D195"/>
    <mergeCell ref="E194:G195"/>
    <mergeCell ref="H194:H195"/>
    <mergeCell ref="A192:A193"/>
    <mergeCell ref="B192:B193"/>
    <mergeCell ref="C192:C193"/>
    <mergeCell ref="D192:D193"/>
    <mergeCell ref="E192:G193"/>
    <mergeCell ref="H192:H193"/>
    <mergeCell ref="A190:A191"/>
    <mergeCell ref="B190:B191"/>
    <mergeCell ref="C190:C191"/>
    <mergeCell ref="D190:D191"/>
    <mergeCell ref="E190:G191"/>
    <mergeCell ref="H190:H191"/>
    <mergeCell ref="A188:A189"/>
    <mergeCell ref="B188:B189"/>
    <mergeCell ref="C188:C189"/>
    <mergeCell ref="D188:D189"/>
    <mergeCell ref="E188:G189"/>
    <mergeCell ref="H188:H189"/>
    <mergeCell ref="A186:A187"/>
    <mergeCell ref="B186:B187"/>
    <mergeCell ref="C186:C187"/>
    <mergeCell ref="D186:D187"/>
    <mergeCell ref="E186:G187"/>
    <mergeCell ref="H186:H187"/>
    <mergeCell ref="A184:A185"/>
    <mergeCell ref="B184:B185"/>
    <mergeCell ref="C184:C185"/>
    <mergeCell ref="D184:D185"/>
    <mergeCell ref="E184:G185"/>
    <mergeCell ref="H184:H185"/>
    <mergeCell ref="A182:A183"/>
    <mergeCell ref="B182:B183"/>
    <mergeCell ref="C182:C183"/>
    <mergeCell ref="D182:D183"/>
    <mergeCell ref="E182:G183"/>
    <mergeCell ref="H182:H183"/>
    <mergeCell ref="A180:A181"/>
    <mergeCell ref="B180:B181"/>
    <mergeCell ref="C180:C181"/>
    <mergeCell ref="D180:D181"/>
    <mergeCell ref="E180:G181"/>
    <mergeCell ref="H180:H181"/>
    <mergeCell ref="A178:A179"/>
    <mergeCell ref="B178:B179"/>
    <mergeCell ref="C178:C179"/>
    <mergeCell ref="D178:D179"/>
    <mergeCell ref="E178:G179"/>
    <mergeCell ref="H178:H179"/>
    <mergeCell ref="A176:A177"/>
    <mergeCell ref="B176:B177"/>
    <mergeCell ref="C176:C177"/>
    <mergeCell ref="D176:D177"/>
    <mergeCell ref="E176:G177"/>
    <mergeCell ref="H176:H177"/>
    <mergeCell ref="A174:A175"/>
    <mergeCell ref="B174:B175"/>
    <mergeCell ref="C174:C175"/>
    <mergeCell ref="D174:D175"/>
    <mergeCell ref="E174:G175"/>
    <mergeCell ref="H174:H175"/>
    <mergeCell ref="A172:A173"/>
    <mergeCell ref="B172:B173"/>
    <mergeCell ref="C172:C173"/>
    <mergeCell ref="D172:D173"/>
    <mergeCell ref="E172:G173"/>
    <mergeCell ref="H172:H173"/>
    <mergeCell ref="A170:A171"/>
    <mergeCell ref="B170:B171"/>
    <mergeCell ref="C170:C171"/>
    <mergeCell ref="D170:D171"/>
    <mergeCell ref="E170:G171"/>
    <mergeCell ref="H170:H171"/>
    <mergeCell ref="A168:A169"/>
    <mergeCell ref="B168:B169"/>
    <mergeCell ref="C168:C169"/>
    <mergeCell ref="D168:D169"/>
    <mergeCell ref="E168:G169"/>
    <mergeCell ref="H168:H169"/>
    <mergeCell ref="A166:A167"/>
    <mergeCell ref="B166:B167"/>
    <mergeCell ref="C166:C167"/>
    <mergeCell ref="D166:D167"/>
    <mergeCell ref="E166:G167"/>
    <mergeCell ref="H166:H167"/>
    <mergeCell ref="A164:A165"/>
    <mergeCell ref="B164:B165"/>
    <mergeCell ref="C164:C165"/>
    <mergeCell ref="D164:D165"/>
    <mergeCell ref="E164:G165"/>
    <mergeCell ref="H164:H165"/>
    <mergeCell ref="A162:A163"/>
    <mergeCell ref="B162:B163"/>
    <mergeCell ref="C162:C163"/>
    <mergeCell ref="D162:D163"/>
    <mergeCell ref="E162:G163"/>
    <mergeCell ref="H162:H163"/>
    <mergeCell ref="A160:A161"/>
    <mergeCell ref="B160:B161"/>
    <mergeCell ref="C160:C161"/>
    <mergeCell ref="D160:D161"/>
    <mergeCell ref="E160:G161"/>
    <mergeCell ref="H160:H161"/>
    <mergeCell ref="A158:A159"/>
    <mergeCell ref="B158:B159"/>
    <mergeCell ref="C158:C159"/>
    <mergeCell ref="D158:D159"/>
    <mergeCell ref="E158:G159"/>
    <mergeCell ref="H158:H159"/>
    <mergeCell ref="A154:H157"/>
    <mergeCell ref="A152:A153"/>
    <mergeCell ref="B152:B153"/>
    <mergeCell ref="C152:C153"/>
    <mergeCell ref="D152:D153"/>
    <mergeCell ref="E152:G153"/>
    <mergeCell ref="H152:H153"/>
    <mergeCell ref="A150:A151"/>
    <mergeCell ref="B150:B151"/>
    <mergeCell ref="C150:C151"/>
    <mergeCell ref="D150:D151"/>
    <mergeCell ref="E150:G151"/>
    <mergeCell ref="H150:H151"/>
    <mergeCell ref="A148:A149"/>
    <mergeCell ref="B148:B149"/>
    <mergeCell ref="C148:C149"/>
    <mergeCell ref="D148:D149"/>
    <mergeCell ref="E148:G149"/>
    <mergeCell ref="H148:H149"/>
    <mergeCell ref="A146:A147"/>
    <mergeCell ref="B146:B147"/>
    <mergeCell ref="C146:C147"/>
    <mergeCell ref="D146:D147"/>
    <mergeCell ref="E146:G147"/>
    <mergeCell ref="H146:H147"/>
    <mergeCell ref="A144:A145"/>
    <mergeCell ref="B144:B145"/>
    <mergeCell ref="C144:C145"/>
    <mergeCell ref="D144:D145"/>
    <mergeCell ref="E144:G145"/>
    <mergeCell ref="H144:H145"/>
    <mergeCell ref="A142:A143"/>
    <mergeCell ref="B142:B143"/>
    <mergeCell ref="C142:C143"/>
    <mergeCell ref="D142:D143"/>
    <mergeCell ref="E142:G143"/>
    <mergeCell ref="H142:H143"/>
    <mergeCell ref="A140:A141"/>
    <mergeCell ref="B140:B141"/>
    <mergeCell ref="C140:C141"/>
    <mergeCell ref="D140:D141"/>
    <mergeCell ref="E140:G141"/>
    <mergeCell ref="H140:H141"/>
    <mergeCell ref="A138:A139"/>
    <mergeCell ref="B138:B139"/>
    <mergeCell ref="C138:C139"/>
    <mergeCell ref="D138:D139"/>
    <mergeCell ref="E138:G139"/>
    <mergeCell ref="H138:H139"/>
    <mergeCell ref="A136:A137"/>
    <mergeCell ref="B136:B137"/>
    <mergeCell ref="C136:C137"/>
    <mergeCell ref="D136:D137"/>
    <mergeCell ref="E136:G137"/>
    <mergeCell ref="H136:H137"/>
    <mergeCell ref="A134:A135"/>
    <mergeCell ref="B134:B135"/>
    <mergeCell ref="C134:C135"/>
    <mergeCell ref="D134:D135"/>
    <mergeCell ref="E134:G135"/>
    <mergeCell ref="H134:H135"/>
    <mergeCell ref="A132:A133"/>
    <mergeCell ref="B132:B133"/>
    <mergeCell ref="C132:C133"/>
    <mergeCell ref="D132:D133"/>
    <mergeCell ref="E132:G133"/>
    <mergeCell ref="H132:H133"/>
    <mergeCell ref="A130:A131"/>
    <mergeCell ref="B130:B131"/>
    <mergeCell ref="C130:C131"/>
    <mergeCell ref="D130:D131"/>
    <mergeCell ref="E130:G131"/>
    <mergeCell ref="H130:H131"/>
    <mergeCell ref="A128:A129"/>
    <mergeCell ref="B128:B129"/>
    <mergeCell ref="C128:C129"/>
    <mergeCell ref="D128:D129"/>
    <mergeCell ref="E128:G129"/>
    <mergeCell ref="H128:H129"/>
    <mergeCell ref="A126:A127"/>
    <mergeCell ref="B126:B127"/>
    <mergeCell ref="C126:C127"/>
    <mergeCell ref="D126:D127"/>
    <mergeCell ref="E126:G127"/>
    <mergeCell ref="H126:H127"/>
    <mergeCell ref="A124:A125"/>
    <mergeCell ref="B124:B125"/>
    <mergeCell ref="C124:C125"/>
    <mergeCell ref="D124:D125"/>
    <mergeCell ref="E124:G125"/>
    <mergeCell ref="H124:H125"/>
    <mergeCell ref="A122:A123"/>
    <mergeCell ref="B122:B123"/>
    <mergeCell ref="C122:C123"/>
    <mergeCell ref="D122:D123"/>
    <mergeCell ref="E122:G123"/>
    <mergeCell ref="H122:H123"/>
    <mergeCell ref="A120:A121"/>
    <mergeCell ref="B120:B121"/>
    <mergeCell ref="C120:C121"/>
    <mergeCell ref="D120:D121"/>
    <mergeCell ref="E120:G121"/>
    <mergeCell ref="H120:H121"/>
    <mergeCell ref="A118:A119"/>
    <mergeCell ref="B118:B119"/>
    <mergeCell ref="C118:C119"/>
    <mergeCell ref="D118:D119"/>
    <mergeCell ref="E118:G119"/>
    <mergeCell ref="H118:H119"/>
    <mergeCell ref="A116:A117"/>
    <mergeCell ref="B116:B117"/>
    <mergeCell ref="C116:C117"/>
    <mergeCell ref="D116:D117"/>
    <mergeCell ref="E116:G117"/>
    <mergeCell ref="H116:H117"/>
    <mergeCell ref="A114:A115"/>
    <mergeCell ref="B114:B115"/>
    <mergeCell ref="C114:C115"/>
    <mergeCell ref="D114:D115"/>
    <mergeCell ref="E114:G115"/>
    <mergeCell ref="H114:H115"/>
    <mergeCell ref="A112:A113"/>
    <mergeCell ref="B112:B113"/>
    <mergeCell ref="C112:C113"/>
    <mergeCell ref="D112:D113"/>
    <mergeCell ref="E112:G113"/>
    <mergeCell ref="H112:H113"/>
    <mergeCell ref="A108:A109"/>
    <mergeCell ref="A110:A111"/>
    <mergeCell ref="B108:B109"/>
    <mergeCell ref="C108:C109"/>
    <mergeCell ref="D108:D109"/>
    <mergeCell ref="E108:G109"/>
    <mergeCell ref="H108:H109"/>
    <mergeCell ref="B110:H111"/>
    <mergeCell ref="A106:A107"/>
    <mergeCell ref="B106:B107"/>
    <mergeCell ref="C106:C107"/>
    <mergeCell ref="D106:D107"/>
    <mergeCell ref="E106:G107"/>
    <mergeCell ref="H106:H107"/>
    <mergeCell ref="A104:A105"/>
    <mergeCell ref="B104:B105"/>
    <mergeCell ref="C104:C105"/>
    <mergeCell ref="D104:D105"/>
    <mergeCell ref="E104:G105"/>
    <mergeCell ref="H104:H105"/>
    <mergeCell ref="A102:A103"/>
    <mergeCell ref="B102:B103"/>
    <mergeCell ref="C102:C103"/>
    <mergeCell ref="D102:D103"/>
    <mergeCell ref="E102:G103"/>
    <mergeCell ref="H102:H103"/>
    <mergeCell ref="A100:A101"/>
    <mergeCell ref="B100:B101"/>
    <mergeCell ref="C100:C101"/>
    <mergeCell ref="D100:D101"/>
    <mergeCell ref="E100:G101"/>
    <mergeCell ref="H100:H101"/>
    <mergeCell ref="A98:A99"/>
    <mergeCell ref="B98:B99"/>
    <mergeCell ref="C98:C99"/>
    <mergeCell ref="D98:D99"/>
    <mergeCell ref="E98:G99"/>
    <mergeCell ref="H98:H99"/>
    <mergeCell ref="A96:A97"/>
    <mergeCell ref="B96:B97"/>
    <mergeCell ref="C96:C97"/>
    <mergeCell ref="D96:D97"/>
    <mergeCell ref="E96:G97"/>
    <mergeCell ref="H96:H97"/>
    <mergeCell ref="A94:A95"/>
    <mergeCell ref="B94:B95"/>
    <mergeCell ref="C94:C95"/>
    <mergeCell ref="D94:D95"/>
    <mergeCell ref="E94:G95"/>
    <mergeCell ref="H94:H95"/>
    <mergeCell ref="A92:A93"/>
    <mergeCell ref="B92:B93"/>
    <mergeCell ref="C92:C93"/>
    <mergeCell ref="D92:D93"/>
    <mergeCell ref="E92:G93"/>
    <mergeCell ref="H92:H93"/>
    <mergeCell ref="A90:A91"/>
    <mergeCell ref="B90:B91"/>
    <mergeCell ref="C90:C91"/>
    <mergeCell ref="D90:D91"/>
    <mergeCell ref="E90:G91"/>
    <mergeCell ref="H90:H91"/>
    <mergeCell ref="A88:A89"/>
    <mergeCell ref="B88:B89"/>
    <mergeCell ref="C88:C89"/>
    <mergeCell ref="D88:D89"/>
    <mergeCell ref="E88:G89"/>
    <mergeCell ref="H88:H89"/>
    <mergeCell ref="A86:A87"/>
    <mergeCell ref="B86:B87"/>
    <mergeCell ref="C86:C87"/>
    <mergeCell ref="D86:D87"/>
    <mergeCell ref="E86:G87"/>
    <mergeCell ref="H86:H87"/>
    <mergeCell ref="A84:A85"/>
    <mergeCell ref="B84:B85"/>
    <mergeCell ref="C84:C85"/>
    <mergeCell ref="D84:D85"/>
    <mergeCell ref="E84:G85"/>
    <mergeCell ref="H84:H85"/>
    <mergeCell ref="A82:A83"/>
    <mergeCell ref="B82:B83"/>
    <mergeCell ref="C82:C83"/>
    <mergeCell ref="D82:D83"/>
    <mergeCell ref="E82:G83"/>
    <mergeCell ref="H82:H83"/>
    <mergeCell ref="A80:A81"/>
    <mergeCell ref="B80:B81"/>
    <mergeCell ref="C80:C81"/>
    <mergeCell ref="D80:D81"/>
    <mergeCell ref="E80:G81"/>
    <mergeCell ref="H80:H81"/>
    <mergeCell ref="A74:A75"/>
    <mergeCell ref="B74:B75"/>
    <mergeCell ref="C74:C75"/>
    <mergeCell ref="D74:D75"/>
    <mergeCell ref="E74:G75"/>
    <mergeCell ref="H74:H75"/>
    <mergeCell ref="A72:A73"/>
    <mergeCell ref="B72:H73"/>
    <mergeCell ref="A78:A79"/>
    <mergeCell ref="B78:B79"/>
    <mergeCell ref="C78:C79"/>
    <mergeCell ref="D78:D79"/>
    <mergeCell ref="E78:G79"/>
    <mergeCell ref="H78:H79"/>
    <mergeCell ref="A76:A77"/>
    <mergeCell ref="B76:B77"/>
    <mergeCell ref="C76:C77"/>
    <mergeCell ref="D76:D77"/>
    <mergeCell ref="E76:G77"/>
    <mergeCell ref="H76:H77"/>
    <mergeCell ref="A70:A71"/>
    <mergeCell ref="B70:B71"/>
    <mergeCell ref="C70:C71"/>
    <mergeCell ref="D70:D71"/>
    <mergeCell ref="E70:G71"/>
    <mergeCell ref="H70:H71"/>
    <mergeCell ref="A68:A69"/>
    <mergeCell ref="B68:B69"/>
    <mergeCell ref="C68:C69"/>
    <mergeCell ref="D68:D69"/>
    <mergeCell ref="E68:G69"/>
    <mergeCell ref="H68:H69"/>
    <mergeCell ref="A66:A67"/>
    <mergeCell ref="B66:B67"/>
    <mergeCell ref="C66:C67"/>
    <mergeCell ref="D66:D67"/>
    <mergeCell ref="E66:G67"/>
    <mergeCell ref="H66:H67"/>
    <mergeCell ref="A64:A65"/>
    <mergeCell ref="B64:B65"/>
    <mergeCell ref="C64:C65"/>
    <mergeCell ref="D64:D65"/>
    <mergeCell ref="E64:G65"/>
    <mergeCell ref="H64:H65"/>
    <mergeCell ref="A62:A63"/>
    <mergeCell ref="B62:B63"/>
    <mergeCell ref="C62:C63"/>
    <mergeCell ref="D62:D63"/>
    <mergeCell ref="E62:G63"/>
    <mergeCell ref="H62:H63"/>
    <mergeCell ref="A60:A61"/>
    <mergeCell ref="B60:B61"/>
    <mergeCell ref="C60:C61"/>
    <mergeCell ref="D60:D61"/>
    <mergeCell ref="E60:G61"/>
    <mergeCell ref="H60:H61"/>
    <mergeCell ref="A58:A59"/>
    <mergeCell ref="B58:B59"/>
    <mergeCell ref="C58:C59"/>
    <mergeCell ref="D58:D59"/>
    <mergeCell ref="E58:G59"/>
    <mergeCell ref="H58:H59"/>
    <mergeCell ref="A56:A57"/>
    <mergeCell ref="B56:B57"/>
    <mergeCell ref="C56:C57"/>
    <mergeCell ref="D56:D57"/>
    <mergeCell ref="E56:G57"/>
    <mergeCell ref="H56:H57"/>
    <mergeCell ref="D46:D47"/>
    <mergeCell ref="E46:G47"/>
    <mergeCell ref="A54:A55"/>
    <mergeCell ref="B54:B55"/>
    <mergeCell ref="C54:C55"/>
    <mergeCell ref="D54:D55"/>
    <mergeCell ref="E54:G55"/>
    <mergeCell ref="H54:H55"/>
    <mergeCell ref="A52:A53"/>
    <mergeCell ref="B52:B53"/>
    <mergeCell ref="C52:C53"/>
    <mergeCell ref="D52:D53"/>
    <mergeCell ref="E52:G53"/>
    <mergeCell ref="H52:H53"/>
    <mergeCell ref="A42:A43"/>
    <mergeCell ref="B42:H43"/>
    <mergeCell ref="A50:A51"/>
    <mergeCell ref="B50:B51"/>
    <mergeCell ref="C50:C51"/>
    <mergeCell ref="D50:D51"/>
    <mergeCell ref="E50:G51"/>
    <mergeCell ref="H50:H51"/>
    <mergeCell ref="H46:H47"/>
    <mergeCell ref="A44:A45"/>
    <mergeCell ref="B44:B45"/>
    <mergeCell ref="C44:C45"/>
    <mergeCell ref="D44:D45"/>
    <mergeCell ref="E44:G45"/>
    <mergeCell ref="H44:H45"/>
    <mergeCell ref="A48:A49"/>
    <mergeCell ref="B48:B49"/>
    <mergeCell ref="C48:C49"/>
    <mergeCell ref="D48:D49"/>
    <mergeCell ref="E48:G49"/>
    <mergeCell ref="H48:H49"/>
    <mergeCell ref="A46:A47"/>
    <mergeCell ref="B46:B47"/>
    <mergeCell ref="C46:C47"/>
    <mergeCell ref="A40:A41"/>
    <mergeCell ref="B40:B41"/>
    <mergeCell ref="C40:C41"/>
    <mergeCell ref="D40:D41"/>
    <mergeCell ref="E40:G41"/>
    <mergeCell ref="H40:H41"/>
    <mergeCell ref="A38:A39"/>
    <mergeCell ref="B38:B39"/>
    <mergeCell ref="C38:C39"/>
    <mergeCell ref="D38:D39"/>
    <mergeCell ref="E38:G39"/>
    <mergeCell ref="H38:H39"/>
    <mergeCell ref="A36:A37"/>
    <mergeCell ref="B36:B37"/>
    <mergeCell ref="C36:C37"/>
    <mergeCell ref="D36:D37"/>
    <mergeCell ref="E36:G37"/>
    <mergeCell ref="H36:H37"/>
    <mergeCell ref="A34:A35"/>
    <mergeCell ref="B34:B35"/>
    <mergeCell ref="C34:C35"/>
    <mergeCell ref="D34:D35"/>
    <mergeCell ref="E34:G35"/>
    <mergeCell ref="H34:H35"/>
    <mergeCell ref="A32:A33"/>
    <mergeCell ref="B32:B33"/>
    <mergeCell ref="C32:C33"/>
    <mergeCell ref="D32:D33"/>
    <mergeCell ref="E32:G33"/>
    <mergeCell ref="H32:H33"/>
    <mergeCell ref="A30:A31"/>
    <mergeCell ref="B30:B31"/>
    <mergeCell ref="C30:C31"/>
    <mergeCell ref="D30:D31"/>
    <mergeCell ref="E30:G31"/>
    <mergeCell ref="H30:H31"/>
    <mergeCell ref="A28:A29"/>
    <mergeCell ref="B28:B29"/>
    <mergeCell ref="C28:C29"/>
    <mergeCell ref="D28:D29"/>
    <mergeCell ref="E28:G29"/>
    <mergeCell ref="H28:H29"/>
    <mergeCell ref="A26:A27"/>
    <mergeCell ref="B26:B27"/>
    <mergeCell ref="C26:C27"/>
    <mergeCell ref="D26:D27"/>
    <mergeCell ref="E26:G27"/>
    <mergeCell ref="H26:H27"/>
    <mergeCell ref="A24:A25"/>
    <mergeCell ref="B24:B25"/>
    <mergeCell ref="C24:C25"/>
    <mergeCell ref="D24:D25"/>
    <mergeCell ref="E24:G25"/>
    <mergeCell ref="H24:H25"/>
    <mergeCell ref="A22:A23"/>
    <mergeCell ref="B22:B23"/>
    <mergeCell ref="C22:C23"/>
    <mergeCell ref="D22:D23"/>
    <mergeCell ref="E22:G23"/>
    <mergeCell ref="H22:H23"/>
    <mergeCell ref="A20:A21"/>
    <mergeCell ref="B20:B21"/>
    <mergeCell ref="C20:C21"/>
    <mergeCell ref="D20:D21"/>
    <mergeCell ref="E20:G21"/>
    <mergeCell ref="H20:H21"/>
    <mergeCell ref="A18:A19"/>
    <mergeCell ref="B18:B19"/>
    <mergeCell ref="C18:C19"/>
    <mergeCell ref="D18:D19"/>
    <mergeCell ref="E18:G19"/>
    <mergeCell ref="H18:H19"/>
    <mergeCell ref="A16:A17"/>
    <mergeCell ref="B16:B17"/>
    <mergeCell ref="C16:C17"/>
    <mergeCell ref="D16:D17"/>
    <mergeCell ref="E16:G17"/>
    <mergeCell ref="H16:H17"/>
    <mergeCell ref="A14:A15"/>
    <mergeCell ref="B14:B15"/>
    <mergeCell ref="C14:C15"/>
    <mergeCell ref="D14:D15"/>
    <mergeCell ref="E14:G15"/>
    <mergeCell ref="H14:H15"/>
    <mergeCell ref="A12:A13"/>
    <mergeCell ref="B12:B13"/>
    <mergeCell ref="C12:C13"/>
    <mergeCell ref="D12:D13"/>
    <mergeCell ref="E12:G13"/>
    <mergeCell ref="H12:H13"/>
    <mergeCell ref="A10:A11"/>
    <mergeCell ref="B10:B11"/>
    <mergeCell ref="C10:C11"/>
    <mergeCell ref="D10:D11"/>
    <mergeCell ref="E10:G11"/>
    <mergeCell ref="H10:H11"/>
    <mergeCell ref="A8:A9"/>
    <mergeCell ref="B8:B9"/>
    <mergeCell ref="C8:C9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A3:H3"/>
    <mergeCell ref="A4:A5"/>
    <mergeCell ref="B4:B5"/>
    <mergeCell ref="C4:C5"/>
    <mergeCell ref="D4:D5"/>
    <mergeCell ref="E4:G5"/>
    <mergeCell ref="H4:H5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  <mergeCell ref="M1:M2"/>
    <mergeCell ref="N1:N2"/>
    <mergeCell ref="O1:O2"/>
  </mergeCells>
  <phoneticPr fontId="1" type="noConversion"/>
  <pageMargins left="0" right="0" top="0" bottom="0" header="0" footer="0"/>
  <pageSetup paperSize="9" scale="3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284"/>
  <sheetViews>
    <sheetView showGridLines="0" zoomScale="115" zoomScaleNormal="115" workbookViewId="0">
      <pane xSplit="8" ySplit="2" topLeftCell="I36" activePane="bottomRight" state="frozen"/>
      <selection pane="topRight" activeCell="I1" sqref="I1"/>
      <selection pane="bottomLeft" activeCell="A3" sqref="A3"/>
      <selection pane="bottomRight" activeCell="A133" sqref="A133:H136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9" max="9" width="9.5" bestFit="1" customWidth="1"/>
    <col min="11" max="11" width="9.5" bestFit="1" customWidth="1"/>
    <col min="12" max="12" width="11" bestFit="1" customWidth="1"/>
  </cols>
  <sheetData>
    <row r="1" spans="1:18" ht="35.25" customHeight="1" thickBot="1">
      <c r="A1" s="388" t="s">
        <v>1235</v>
      </c>
      <c r="B1" s="389"/>
      <c r="C1" s="402" t="s">
        <v>27</v>
      </c>
      <c r="D1" s="403"/>
      <c r="E1" s="21" t="s">
        <v>26</v>
      </c>
      <c r="F1" s="20">
        <f>H1/26</f>
        <v>586946.15384615387</v>
      </c>
      <c r="G1" s="21" t="s">
        <v>4</v>
      </c>
      <c r="H1" s="22">
        <f>SUM(D4:D284)</f>
        <v>15260600</v>
      </c>
      <c r="I1" s="392"/>
      <c r="J1" s="338"/>
      <c r="K1" s="394"/>
      <c r="L1" s="396"/>
      <c r="M1" s="377"/>
      <c r="N1" s="379"/>
      <c r="O1" s="381"/>
      <c r="P1" s="383"/>
      <c r="Q1" s="377"/>
      <c r="R1" s="376"/>
    </row>
    <row r="2" spans="1:18" ht="17.25" thickBot="1">
      <c r="A2" s="27" t="s">
        <v>0</v>
      </c>
      <c r="B2" s="28" t="s">
        <v>1</v>
      </c>
      <c r="C2" s="28" t="s">
        <v>2</v>
      </c>
      <c r="D2" s="29" t="s">
        <v>3</v>
      </c>
      <c r="E2" s="385" t="s">
        <v>25</v>
      </c>
      <c r="F2" s="386"/>
      <c r="G2" s="387"/>
      <c r="H2" s="25" t="s">
        <v>5</v>
      </c>
      <c r="I2" s="393"/>
      <c r="J2" s="333"/>
      <c r="K2" s="395"/>
      <c r="L2" s="397"/>
      <c r="M2" s="378"/>
      <c r="N2" s="380"/>
      <c r="O2" s="382"/>
      <c r="P2" s="384"/>
      <c r="Q2" s="378"/>
      <c r="R2" s="376"/>
    </row>
    <row r="3" spans="1:18" ht="36" customHeight="1">
      <c r="A3" s="441" t="s">
        <v>1287</v>
      </c>
      <c r="B3" s="442"/>
      <c r="C3" s="442"/>
      <c r="D3" s="442"/>
      <c r="E3" s="442"/>
      <c r="F3" s="442"/>
      <c r="G3" s="442"/>
      <c r="H3" s="443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322" t="s">
        <v>1238</v>
      </c>
      <c r="B4" s="444" t="s">
        <v>1239</v>
      </c>
      <c r="C4" s="325" t="s">
        <v>1240</v>
      </c>
      <c r="D4" s="326">
        <v>300000</v>
      </c>
      <c r="E4" s="327" t="s">
        <v>1243</v>
      </c>
      <c r="F4" s="328"/>
      <c r="G4" s="329"/>
      <c r="H4" s="398" t="s">
        <v>1244</v>
      </c>
      <c r="J4" s="42" t="s">
        <v>932</v>
      </c>
    </row>
    <row r="5" spans="1:18" ht="16.5" customHeight="1">
      <c r="A5" s="323"/>
      <c r="B5" s="445"/>
      <c r="C5" s="325"/>
      <c r="D5" s="326"/>
      <c r="E5" s="330"/>
      <c r="F5" s="331"/>
      <c r="G5" s="332"/>
      <c r="H5" s="399"/>
      <c r="J5" s="43"/>
    </row>
    <row r="6" spans="1:18" ht="16.5" customHeight="1">
      <c r="A6" s="322" t="s">
        <v>1238</v>
      </c>
      <c r="B6" s="439" t="s">
        <v>1241</v>
      </c>
      <c r="C6" s="341" t="s">
        <v>1242</v>
      </c>
      <c r="D6" s="343">
        <v>370000</v>
      </c>
      <c r="E6" s="327" t="s">
        <v>1245</v>
      </c>
      <c r="F6" s="345"/>
      <c r="G6" s="346"/>
      <c r="H6" s="398" t="s">
        <v>1244</v>
      </c>
      <c r="J6" s="43" t="s">
        <v>933</v>
      </c>
    </row>
    <row r="7" spans="1:18" ht="16.5" customHeight="1">
      <c r="A7" s="323"/>
      <c r="B7" s="440"/>
      <c r="C7" s="352"/>
      <c r="D7" s="344"/>
      <c r="E7" s="347"/>
      <c r="F7" s="348"/>
      <c r="G7" s="349"/>
      <c r="H7" s="399"/>
      <c r="J7" s="43"/>
    </row>
    <row r="8" spans="1:18" ht="16.5" customHeight="1">
      <c r="A8" s="322" t="s">
        <v>1246</v>
      </c>
      <c r="B8" s="439" t="s">
        <v>1247</v>
      </c>
      <c r="C8" s="353" t="s">
        <v>1262</v>
      </c>
      <c r="D8" s="343">
        <v>1980000</v>
      </c>
      <c r="E8" s="327" t="s">
        <v>1250</v>
      </c>
      <c r="F8" s="345"/>
      <c r="G8" s="346"/>
      <c r="H8" s="398" t="s">
        <v>1258</v>
      </c>
      <c r="J8" s="43" t="s">
        <v>935</v>
      </c>
    </row>
    <row r="9" spans="1:18" ht="14.25" customHeight="1">
      <c r="A9" s="323"/>
      <c r="B9" s="440"/>
      <c r="C9" s="352"/>
      <c r="D9" s="344"/>
      <c r="E9" s="347"/>
      <c r="F9" s="348"/>
      <c r="G9" s="349"/>
      <c r="H9" s="399"/>
    </row>
    <row r="10" spans="1:18" ht="16.5" customHeight="1">
      <c r="A10" s="322" t="s">
        <v>1246</v>
      </c>
      <c r="B10" s="439" t="s">
        <v>1248</v>
      </c>
      <c r="C10" s="353"/>
      <c r="D10" s="343">
        <v>70000</v>
      </c>
      <c r="E10" s="327" t="s">
        <v>1251</v>
      </c>
      <c r="F10" s="345"/>
      <c r="G10" s="346"/>
      <c r="H10" s="398" t="s">
        <v>1249</v>
      </c>
    </row>
    <row r="11" spans="1:18" ht="16.5" customHeight="1">
      <c r="A11" s="323"/>
      <c r="B11" s="440"/>
      <c r="C11" s="352"/>
      <c r="D11" s="344"/>
      <c r="E11" s="347"/>
      <c r="F11" s="348"/>
      <c r="G11" s="349"/>
      <c r="H11" s="399"/>
    </row>
    <row r="12" spans="1:18" ht="16.5" customHeight="1">
      <c r="A12" s="322" t="s">
        <v>1246</v>
      </c>
      <c r="B12" s="444" t="s">
        <v>1253</v>
      </c>
      <c r="C12" s="324"/>
      <c r="D12" s="326">
        <v>7000</v>
      </c>
      <c r="E12" s="327" t="s">
        <v>1261</v>
      </c>
      <c r="F12" s="328"/>
      <c r="G12" s="329"/>
      <c r="H12" s="398" t="s">
        <v>1256</v>
      </c>
    </row>
    <row r="13" spans="1:18" ht="16.5" customHeight="1">
      <c r="A13" s="323"/>
      <c r="B13" s="445"/>
      <c r="C13" s="325"/>
      <c r="D13" s="326"/>
      <c r="E13" s="330"/>
      <c r="F13" s="331"/>
      <c r="G13" s="332"/>
      <c r="H13" s="399"/>
    </row>
    <row r="14" spans="1:18" ht="16.5" customHeight="1">
      <c r="A14" s="322" t="s">
        <v>1246</v>
      </c>
      <c r="B14" s="444" t="s">
        <v>1254</v>
      </c>
      <c r="C14" s="324"/>
      <c r="D14" s="326">
        <v>390000</v>
      </c>
      <c r="E14" s="327"/>
      <c r="F14" s="328"/>
      <c r="G14" s="329"/>
      <c r="H14" s="398" t="s">
        <v>1257</v>
      </c>
    </row>
    <row r="15" spans="1:18" ht="16.5" customHeight="1">
      <c r="A15" s="323"/>
      <c r="B15" s="445"/>
      <c r="C15" s="325"/>
      <c r="D15" s="326"/>
      <c r="E15" s="330"/>
      <c r="F15" s="331"/>
      <c r="G15" s="332"/>
      <c r="H15" s="399"/>
    </row>
    <row r="16" spans="1:18" ht="16.5" customHeight="1">
      <c r="A16" s="322" t="s">
        <v>1252</v>
      </c>
      <c r="B16" s="439" t="s">
        <v>1255</v>
      </c>
      <c r="C16" s="324" t="s">
        <v>1259</v>
      </c>
      <c r="D16" s="343">
        <v>190000</v>
      </c>
      <c r="E16" s="327" t="s">
        <v>1260</v>
      </c>
      <c r="F16" s="345"/>
      <c r="G16" s="346"/>
      <c r="H16" s="398" t="s">
        <v>1257</v>
      </c>
      <c r="J16" t="s">
        <v>1288</v>
      </c>
    </row>
    <row r="17" spans="1:11" ht="39" customHeight="1">
      <c r="A17" s="323"/>
      <c r="B17" s="440"/>
      <c r="C17" s="325"/>
      <c r="D17" s="344"/>
      <c r="E17" s="347"/>
      <c r="F17" s="348"/>
      <c r="G17" s="349"/>
      <c r="H17" s="399"/>
    </row>
    <row r="18" spans="1:11" ht="16.5" customHeight="1">
      <c r="A18" s="322" t="s">
        <v>1252</v>
      </c>
      <c r="B18" s="439" t="s">
        <v>1263</v>
      </c>
      <c r="C18" s="341"/>
      <c r="D18" s="326">
        <v>70000</v>
      </c>
      <c r="E18" s="327" t="s">
        <v>1264</v>
      </c>
      <c r="F18" s="328"/>
      <c r="G18" s="329"/>
      <c r="H18" s="398" t="s">
        <v>1257</v>
      </c>
    </row>
    <row r="19" spans="1:11" ht="16.5" customHeight="1">
      <c r="A19" s="323"/>
      <c r="B19" s="440"/>
      <c r="C19" s="342"/>
      <c r="D19" s="326"/>
      <c r="E19" s="330"/>
      <c r="F19" s="331"/>
      <c r="G19" s="332"/>
      <c r="H19" s="399"/>
      <c r="K19">
        <v>25</v>
      </c>
    </row>
    <row r="20" spans="1:11" ht="16.5" customHeight="1">
      <c r="A20" s="322" t="s">
        <v>1271</v>
      </c>
      <c r="B20" s="439" t="s">
        <v>1267</v>
      </c>
      <c r="C20" s="341" t="s">
        <v>1286</v>
      </c>
      <c r="D20" s="343">
        <v>240000</v>
      </c>
      <c r="E20" s="327" t="s">
        <v>1268</v>
      </c>
      <c r="F20" s="345"/>
      <c r="G20" s="346"/>
      <c r="H20" s="398" t="s">
        <v>145</v>
      </c>
      <c r="K20">
        <v>12</v>
      </c>
    </row>
    <row r="21" spans="1:11" ht="16.5" customHeight="1">
      <c r="A21" s="323"/>
      <c r="B21" s="440"/>
      <c r="C21" s="342"/>
      <c r="D21" s="344"/>
      <c r="E21" s="347"/>
      <c r="F21" s="348"/>
      <c r="G21" s="349"/>
      <c r="H21" s="399"/>
    </row>
    <row r="22" spans="1:11" ht="16.5" customHeight="1">
      <c r="A22" s="322" t="s">
        <v>1271</v>
      </c>
      <c r="B22" s="439" t="s">
        <v>1270</v>
      </c>
      <c r="C22" s="341"/>
      <c r="D22" s="343">
        <v>110000</v>
      </c>
      <c r="E22" s="327" t="s">
        <v>1269</v>
      </c>
      <c r="F22" s="345"/>
      <c r="G22" s="346"/>
      <c r="H22" s="398" t="s">
        <v>145</v>
      </c>
    </row>
    <row r="23" spans="1:11" ht="16.5" customHeight="1">
      <c r="A23" s="323"/>
      <c r="B23" s="440"/>
      <c r="C23" s="352"/>
      <c r="D23" s="344"/>
      <c r="E23" s="347"/>
      <c r="F23" s="348"/>
      <c r="G23" s="349"/>
      <c r="H23" s="399"/>
    </row>
    <row r="24" spans="1:11" ht="16.5" customHeight="1">
      <c r="A24" s="322" t="s">
        <v>1271</v>
      </c>
      <c r="B24" s="444" t="s">
        <v>1272</v>
      </c>
      <c r="C24" s="324" t="s">
        <v>1285</v>
      </c>
      <c r="D24" s="326">
        <v>95000</v>
      </c>
      <c r="E24" s="327" t="s">
        <v>1273</v>
      </c>
      <c r="F24" s="328"/>
      <c r="G24" s="329"/>
      <c r="H24" s="398" t="s">
        <v>145</v>
      </c>
    </row>
    <row r="25" spans="1:11" ht="16.5" customHeight="1">
      <c r="A25" s="323"/>
      <c r="B25" s="445"/>
      <c r="C25" s="325"/>
      <c r="D25" s="326"/>
      <c r="E25" s="330"/>
      <c r="F25" s="331"/>
      <c r="G25" s="332"/>
      <c r="H25" s="399"/>
    </row>
    <row r="26" spans="1:11" ht="16.5" customHeight="1">
      <c r="A26" s="322" t="s">
        <v>1275</v>
      </c>
      <c r="B26" s="444" t="s">
        <v>1274</v>
      </c>
      <c r="C26" s="325" t="s">
        <v>1284</v>
      </c>
      <c r="D26" s="326">
        <v>370000</v>
      </c>
      <c r="E26" s="327" t="s">
        <v>1279</v>
      </c>
      <c r="F26" s="328"/>
      <c r="G26" s="329"/>
      <c r="H26" s="398" t="s">
        <v>145</v>
      </c>
    </row>
    <row r="27" spans="1:11" ht="16.5" customHeight="1">
      <c r="A27" s="323"/>
      <c r="B27" s="445"/>
      <c r="C27" s="325"/>
      <c r="D27" s="326"/>
      <c r="E27" s="330"/>
      <c r="F27" s="331"/>
      <c r="G27" s="332"/>
      <c r="H27" s="399"/>
    </row>
    <row r="28" spans="1:11" ht="16.5" customHeight="1">
      <c r="A28" s="45"/>
      <c r="B28" s="511" t="s">
        <v>1365</v>
      </c>
      <c r="C28" s="511"/>
      <c r="D28" s="511"/>
      <c r="E28" s="511"/>
      <c r="F28" s="511"/>
      <c r="G28" s="511"/>
      <c r="H28" s="512"/>
    </row>
    <row r="29" spans="1:11" ht="16.5" customHeight="1">
      <c r="A29" s="46"/>
      <c r="B29" s="513"/>
      <c r="C29" s="513"/>
      <c r="D29" s="513"/>
      <c r="E29" s="513"/>
      <c r="F29" s="513"/>
      <c r="G29" s="513"/>
      <c r="H29" s="514"/>
      <c r="K29" s="24"/>
    </row>
    <row r="30" spans="1:11" ht="16.5" customHeight="1">
      <c r="A30" s="46"/>
      <c r="B30" s="513"/>
      <c r="C30" s="513"/>
      <c r="D30" s="513"/>
      <c r="E30" s="513"/>
      <c r="F30" s="513"/>
      <c r="G30" s="513"/>
      <c r="H30" s="514"/>
    </row>
    <row r="31" spans="1:11" ht="23.25" customHeight="1">
      <c r="A31" s="47"/>
      <c r="B31" s="515"/>
      <c r="C31" s="515"/>
      <c r="D31" s="515"/>
      <c r="E31" s="515"/>
      <c r="F31" s="515"/>
      <c r="G31" s="515"/>
      <c r="H31" s="516"/>
    </row>
    <row r="32" spans="1:11" ht="16.5" customHeight="1">
      <c r="A32" s="335" t="s">
        <v>1276</v>
      </c>
      <c r="B32" s="444" t="s">
        <v>1277</v>
      </c>
      <c r="C32" s="324" t="s">
        <v>1282</v>
      </c>
      <c r="D32" s="326">
        <v>210000</v>
      </c>
      <c r="E32" s="327" t="s">
        <v>1280</v>
      </c>
      <c r="F32" s="328"/>
      <c r="G32" s="329"/>
      <c r="H32" s="360" t="s">
        <v>145</v>
      </c>
    </row>
    <row r="33" spans="1:11" ht="22.5" customHeight="1">
      <c r="A33" s="336"/>
      <c r="B33" s="445"/>
      <c r="C33" s="325"/>
      <c r="D33" s="326"/>
      <c r="E33" s="330"/>
      <c r="F33" s="331"/>
      <c r="G33" s="332"/>
      <c r="H33" s="359"/>
      <c r="K33" s="24"/>
    </row>
    <row r="34" spans="1:11" ht="16.5" customHeight="1">
      <c r="A34" s="335" t="s">
        <v>1276</v>
      </c>
      <c r="B34" s="444" t="s">
        <v>1278</v>
      </c>
      <c r="C34" s="341" t="s">
        <v>1283</v>
      </c>
      <c r="D34" s="326">
        <v>280000</v>
      </c>
      <c r="E34" s="364" t="s">
        <v>1281</v>
      </c>
      <c r="F34" s="365"/>
      <c r="G34" s="366"/>
      <c r="H34" s="360" t="s">
        <v>1359</v>
      </c>
    </row>
    <row r="35" spans="1:11" ht="16.5" customHeight="1">
      <c r="A35" s="336"/>
      <c r="B35" s="445"/>
      <c r="C35" s="342"/>
      <c r="D35" s="326"/>
      <c r="E35" s="347"/>
      <c r="F35" s="348"/>
      <c r="G35" s="349"/>
      <c r="H35" s="359"/>
    </row>
    <row r="36" spans="1:11" ht="16.5" customHeight="1">
      <c r="A36" s="335" t="s">
        <v>1289</v>
      </c>
      <c r="B36" s="439" t="s">
        <v>1291</v>
      </c>
      <c r="C36" s="341" t="s">
        <v>1290</v>
      </c>
      <c r="D36" s="326">
        <v>690000</v>
      </c>
      <c r="E36" s="327" t="s">
        <v>1306</v>
      </c>
      <c r="F36" s="345"/>
      <c r="G36" s="346"/>
      <c r="H36" s="360" t="s">
        <v>1258</v>
      </c>
    </row>
    <row r="37" spans="1:11" ht="16.5" customHeight="1">
      <c r="A37" s="336"/>
      <c r="B37" s="440"/>
      <c r="C37" s="342"/>
      <c r="D37" s="326"/>
      <c r="E37" s="347"/>
      <c r="F37" s="348"/>
      <c r="G37" s="349"/>
      <c r="H37" s="359"/>
    </row>
    <row r="38" spans="1:11" ht="16.5" customHeight="1">
      <c r="A38" s="335" t="s">
        <v>1289</v>
      </c>
      <c r="B38" s="444" t="s">
        <v>1292</v>
      </c>
      <c r="C38" s="341"/>
      <c r="D38" s="343">
        <v>50000</v>
      </c>
      <c r="E38" s="327" t="s">
        <v>1301</v>
      </c>
      <c r="F38" s="328"/>
      <c r="G38" s="329"/>
      <c r="H38" s="360" t="s">
        <v>7</v>
      </c>
      <c r="K38" s="24"/>
    </row>
    <row r="39" spans="1:11" ht="16.5" customHeight="1">
      <c r="A39" s="336"/>
      <c r="B39" s="445"/>
      <c r="C39" s="342"/>
      <c r="D39" s="344"/>
      <c r="E39" s="330"/>
      <c r="F39" s="331"/>
      <c r="G39" s="332"/>
      <c r="H39" s="359"/>
      <c r="K39" s="24"/>
    </row>
    <row r="40" spans="1:11" ht="16.5" customHeight="1">
      <c r="A40" s="335" t="s">
        <v>1293</v>
      </c>
      <c r="B40" s="444" t="s">
        <v>1292</v>
      </c>
      <c r="C40" s="341"/>
      <c r="D40" s="326">
        <v>35000</v>
      </c>
      <c r="E40" s="337" t="s">
        <v>1302</v>
      </c>
      <c r="F40" s="326"/>
      <c r="G40" s="326"/>
      <c r="H40" s="360" t="s">
        <v>1295</v>
      </c>
      <c r="I40" s="4"/>
    </row>
    <row r="41" spans="1:11" ht="16.5" customHeight="1">
      <c r="A41" s="336"/>
      <c r="B41" s="445"/>
      <c r="C41" s="342"/>
      <c r="D41" s="326"/>
      <c r="E41" s="326"/>
      <c r="F41" s="326"/>
      <c r="G41" s="326"/>
      <c r="H41" s="359"/>
    </row>
    <row r="42" spans="1:11" ht="16.5" customHeight="1">
      <c r="A42" s="335" t="s">
        <v>1293</v>
      </c>
      <c r="B42" s="444" t="s">
        <v>1294</v>
      </c>
      <c r="C42" s="325"/>
      <c r="D42" s="326">
        <v>260000</v>
      </c>
      <c r="E42" s="327" t="s">
        <v>1303</v>
      </c>
      <c r="F42" s="328"/>
      <c r="G42" s="329"/>
      <c r="H42" s="360" t="s">
        <v>1313</v>
      </c>
    </row>
    <row r="43" spans="1:11" ht="16.5" customHeight="1">
      <c r="A43" s="336"/>
      <c r="B43" s="445"/>
      <c r="C43" s="325"/>
      <c r="D43" s="326"/>
      <c r="E43" s="330"/>
      <c r="F43" s="331"/>
      <c r="G43" s="332"/>
      <c r="H43" s="359"/>
    </row>
    <row r="44" spans="1:11" ht="16.5" customHeight="1">
      <c r="A44" s="322" t="s">
        <v>1297</v>
      </c>
      <c r="B44" s="444" t="s">
        <v>1298</v>
      </c>
      <c r="C44" s="325"/>
      <c r="D44" s="326">
        <v>253000</v>
      </c>
      <c r="E44" s="327" t="s">
        <v>1300</v>
      </c>
      <c r="F44" s="328"/>
      <c r="G44" s="329"/>
      <c r="H44" s="360" t="s">
        <v>1296</v>
      </c>
    </row>
    <row r="45" spans="1:11" ht="16.5" customHeight="1">
      <c r="A45" s="323"/>
      <c r="B45" s="445"/>
      <c r="C45" s="325"/>
      <c r="D45" s="326"/>
      <c r="E45" s="330"/>
      <c r="F45" s="331"/>
      <c r="G45" s="332"/>
      <c r="H45" s="359"/>
    </row>
    <row r="46" spans="1:11" ht="16.5" customHeight="1">
      <c r="A46" s="322" t="s">
        <v>1297</v>
      </c>
      <c r="B46" s="444" t="s">
        <v>1299</v>
      </c>
      <c r="C46" s="325"/>
      <c r="D46" s="326">
        <v>110000</v>
      </c>
      <c r="E46" s="327" t="s">
        <v>1269</v>
      </c>
      <c r="F46" s="345"/>
      <c r="G46" s="346"/>
      <c r="H46" s="360" t="s">
        <v>1312</v>
      </c>
    </row>
    <row r="47" spans="1:11" ht="16.5" customHeight="1">
      <c r="A47" s="323"/>
      <c r="B47" s="445"/>
      <c r="C47" s="325"/>
      <c r="D47" s="326"/>
      <c r="E47" s="347"/>
      <c r="F47" s="348"/>
      <c r="G47" s="349"/>
      <c r="H47" s="359"/>
    </row>
    <row r="48" spans="1:11" ht="16.5" customHeight="1">
      <c r="A48" s="322" t="s">
        <v>1297</v>
      </c>
      <c r="B48" s="444" t="s">
        <v>1305</v>
      </c>
      <c r="C48" s="341" t="s">
        <v>1307</v>
      </c>
      <c r="D48" s="326">
        <v>420000</v>
      </c>
      <c r="E48" s="327" t="s">
        <v>1304</v>
      </c>
      <c r="F48" s="328"/>
      <c r="G48" s="329"/>
      <c r="H48" s="360" t="s">
        <v>1258</v>
      </c>
    </row>
    <row r="49" spans="1:8" ht="16.5" customHeight="1">
      <c r="A49" s="323"/>
      <c r="B49" s="445"/>
      <c r="C49" s="342"/>
      <c r="D49" s="326"/>
      <c r="E49" s="330"/>
      <c r="F49" s="331"/>
      <c r="G49" s="332"/>
      <c r="H49" s="359"/>
    </row>
    <row r="50" spans="1:8" ht="16.5" customHeight="1">
      <c r="A50" s="322" t="s">
        <v>1297</v>
      </c>
      <c r="B50" s="439" t="s">
        <v>1291</v>
      </c>
      <c r="C50" s="341" t="s">
        <v>1290</v>
      </c>
      <c r="D50" s="343">
        <v>200000</v>
      </c>
      <c r="E50" s="327" t="s">
        <v>1314</v>
      </c>
      <c r="F50" s="328"/>
      <c r="G50" s="329"/>
      <c r="H50" s="360" t="s">
        <v>1296</v>
      </c>
    </row>
    <row r="51" spans="1:8" ht="16.5" customHeight="1">
      <c r="A51" s="323"/>
      <c r="B51" s="440"/>
      <c r="C51" s="342"/>
      <c r="D51" s="344"/>
      <c r="E51" s="330"/>
      <c r="F51" s="331"/>
      <c r="G51" s="332"/>
      <c r="H51" s="359"/>
    </row>
    <row r="52" spans="1:8" ht="16.5" customHeight="1">
      <c r="A52" s="322" t="s">
        <v>1308</v>
      </c>
      <c r="B52" s="496" t="s">
        <v>1309</v>
      </c>
      <c r="C52" s="324"/>
      <c r="D52" s="326">
        <v>150000</v>
      </c>
      <c r="E52" s="327" t="s">
        <v>1310</v>
      </c>
      <c r="F52" s="328"/>
      <c r="G52" s="329"/>
      <c r="H52" s="360" t="s">
        <v>1311</v>
      </c>
    </row>
    <row r="53" spans="1:8" ht="16.5" customHeight="1">
      <c r="A53" s="323"/>
      <c r="B53" s="497"/>
      <c r="C53" s="325"/>
      <c r="D53" s="326"/>
      <c r="E53" s="330"/>
      <c r="F53" s="331"/>
      <c r="G53" s="332"/>
      <c r="H53" s="359"/>
    </row>
    <row r="54" spans="1:8" ht="16.5" customHeight="1">
      <c r="A54" s="322" t="s">
        <v>1315</v>
      </c>
      <c r="B54" s="496" t="s">
        <v>1317</v>
      </c>
      <c r="C54" s="341"/>
      <c r="D54" s="326">
        <v>150000</v>
      </c>
      <c r="E54" s="327" t="s">
        <v>1316</v>
      </c>
      <c r="F54" s="328"/>
      <c r="G54" s="329"/>
      <c r="H54" s="360" t="s">
        <v>822</v>
      </c>
    </row>
    <row r="55" spans="1:8" ht="16.5" customHeight="1">
      <c r="A55" s="323"/>
      <c r="B55" s="497"/>
      <c r="C55" s="342"/>
      <c r="D55" s="326"/>
      <c r="E55" s="330"/>
      <c r="F55" s="331"/>
      <c r="G55" s="332"/>
      <c r="H55" s="359"/>
    </row>
    <row r="56" spans="1:8" ht="58.5" customHeight="1">
      <c r="A56" s="44"/>
      <c r="B56" s="538" t="s">
        <v>1360</v>
      </c>
      <c r="C56" s="539"/>
      <c r="D56" s="539"/>
      <c r="E56" s="539"/>
      <c r="F56" s="539"/>
      <c r="G56" s="539"/>
      <c r="H56" s="540"/>
    </row>
    <row r="57" spans="1:8" ht="16.5" customHeight="1">
      <c r="A57" s="322" t="s">
        <v>1318</v>
      </c>
      <c r="B57" s="496" t="s">
        <v>1321</v>
      </c>
      <c r="C57" s="324" t="s">
        <v>1333</v>
      </c>
      <c r="D57" s="326">
        <v>230000</v>
      </c>
      <c r="E57" s="327" t="s">
        <v>1329</v>
      </c>
      <c r="F57" s="328"/>
      <c r="G57" s="329"/>
      <c r="H57" s="360" t="s">
        <v>822</v>
      </c>
    </row>
    <row r="58" spans="1:8" ht="20.25" customHeight="1">
      <c r="A58" s="323"/>
      <c r="B58" s="497"/>
      <c r="C58" s="325"/>
      <c r="D58" s="326"/>
      <c r="E58" s="330"/>
      <c r="F58" s="331"/>
      <c r="G58" s="332"/>
      <c r="H58" s="359"/>
    </row>
    <row r="59" spans="1:8" ht="16.5" customHeight="1">
      <c r="A59" s="322" t="s">
        <v>1318</v>
      </c>
      <c r="B59" s="496" t="s">
        <v>1319</v>
      </c>
      <c r="C59" s="341" t="s">
        <v>1331</v>
      </c>
      <c r="D59" s="326">
        <v>480000</v>
      </c>
      <c r="E59" s="327" t="s">
        <v>1330</v>
      </c>
      <c r="F59" s="345"/>
      <c r="G59" s="346"/>
      <c r="H59" s="360" t="s">
        <v>145</v>
      </c>
    </row>
    <row r="60" spans="1:8" ht="16.5" customHeight="1">
      <c r="A60" s="323"/>
      <c r="B60" s="497"/>
      <c r="C60" s="352"/>
      <c r="D60" s="326"/>
      <c r="E60" s="347"/>
      <c r="F60" s="348"/>
      <c r="G60" s="349"/>
      <c r="H60" s="359"/>
    </row>
    <row r="61" spans="1:8" ht="16.5" customHeight="1">
      <c r="A61" s="322" t="s">
        <v>1318</v>
      </c>
      <c r="B61" s="496" t="s">
        <v>1320</v>
      </c>
      <c r="C61" s="324" t="s">
        <v>1332</v>
      </c>
      <c r="D61" s="326">
        <v>50000</v>
      </c>
      <c r="E61" s="327"/>
      <c r="F61" s="328"/>
      <c r="G61" s="329"/>
      <c r="H61" s="360" t="s">
        <v>1322</v>
      </c>
    </row>
    <row r="62" spans="1:8" ht="16.5" customHeight="1">
      <c r="A62" s="323"/>
      <c r="B62" s="497"/>
      <c r="C62" s="325"/>
      <c r="D62" s="326"/>
      <c r="E62" s="330"/>
      <c r="F62" s="331"/>
      <c r="G62" s="332"/>
      <c r="H62" s="359"/>
    </row>
    <row r="63" spans="1:8" ht="16.5" customHeight="1">
      <c r="A63" s="335" t="s">
        <v>1324</v>
      </c>
      <c r="B63" s="496" t="s">
        <v>1325</v>
      </c>
      <c r="C63" s="324"/>
      <c r="D63" s="326">
        <v>14000</v>
      </c>
      <c r="E63" s="327" t="s">
        <v>1323</v>
      </c>
      <c r="F63" s="328"/>
      <c r="G63" s="329"/>
      <c r="H63" s="360" t="s">
        <v>1326</v>
      </c>
    </row>
    <row r="64" spans="1:8" ht="16.5" customHeight="1">
      <c r="A64" s="336"/>
      <c r="B64" s="497"/>
      <c r="C64" s="325"/>
      <c r="D64" s="326"/>
      <c r="E64" s="330"/>
      <c r="F64" s="331"/>
      <c r="G64" s="332"/>
      <c r="H64" s="359"/>
    </row>
    <row r="65" spans="1:12" ht="16.5" customHeight="1">
      <c r="A65" s="335" t="s">
        <v>1324</v>
      </c>
      <c r="B65" s="496" t="s">
        <v>1328</v>
      </c>
      <c r="C65" s="324"/>
      <c r="D65" s="343">
        <v>116000</v>
      </c>
      <c r="E65" s="327" t="s">
        <v>1339</v>
      </c>
      <c r="F65" s="328"/>
      <c r="G65" s="329"/>
      <c r="H65" s="360" t="s">
        <v>1327</v>
      </c>
    </row>
    <row r="66" spans="1:12" ht="16.5" customHeight="1">
      <c r="A66" s="336"/>
      <c r="B66" s="497"/>
      <c r="C66" s="325"/>
      <c r="D66" s="344"/>
      <c r="E66" s="330"/>
      <c r="F66" s="331"/>
      <c r="G66" s="332"/>
      <c r="H66" s="359"/>
    </row>
    <row r="67" spans="1:12" ht="16.5" customHeight="1">
      <c r="A67" s="335" t="s">
        <v>1324</v>
      </c>
      <c r="B67" s="496" t="s">
        <v>1334</v>
      </c>
      <c r="C67" s="324"/>
      <c r="D67" s="343">
        <v>8000</v>
      </c>
      <c r="E67" s="327">
        <v>516</v>
      </c>
      <c r="F67" s="328"/>
      <c r="G67" s="329"/>
      <c r="H67" s="360" t="s">
        <v>1338</v>
      </c>
    </row>
    <row r="68" spans="1:12" ht="16.5" customHeight="1">
      <c r="A68" s="336"/>
      <c r="B68" s="497"/>
      <c r="C68" s="325"/>
      <c r="D68" s="344"/>
      <c r="E68" s="330"/>
      <c r="F68" s="331"/>
      <c r="G68" s="332"/>
      <c r="H68" s="359"/>
    </row>
    <row r="69" spans="1:12" ht="16.5" customHeight="1">
      <c r="A69" s="322" t="s">
        <v>1335</v>
      </c>
      <c r="B69" s="496" t="s">
        <v>1336</v>
      </c>
      <c r="C69" s="341"/>
      <c r="D69" s="326">
        <v>235600</v>
      </c>
      <c r="E69" s="327" t="s">
        <v>1340</v>
      </c>
      <c r="F69" s="345"/>
      <c r="G69" s="346"/>
      <c r="H69" s="359" t="s">
        <v>1337</v>
      </c>
    </row>
    <row r="70" spans="1:12" ht="35.25" customHeight="1">
      <c r="A70" s="323"/>
      <c r="B70" s="497"/>
      <c r="C70" s="352"/>
      <c r="D70" s="326"/>
      <c r="E70" s="347"/>
      <c r="F70" s="348"/>
      <c r="G70" s="349"/>
      <c r="H70" s="359"/>
    </row>
    <row r="71" spans="1:12" ht="16.5" customHeight="1">
      <c r="A71" s="322" t="s">
        <v>1335</v>
      </c>
      <c r="B71" s="496" t="s">
        <v>1342</v>
      </c>
      <c r="C71" s="325"/>
      <c r="D71" s="326">
        <v>210000</v>
      </c>
      <c r="E71" s="327" t="s">
        <v>1341</v>
      </c>
      <c r="F71" s="328"/>
      <c r="G71" s="329"/>
      <c r="H71" s="359" t="s">
        <v>1345</v>
      </c>
    </row>
    <row r="72" spans="1:12" ht="16.5" customHeight="1">
      <c r="A72" s="323"/>
      <c r="B72" s="497"/>
      <c r="C72" s="325"/>
      <c r="D72" s="326"/>
      <c r="E72" s="330"/>
      <c r="F72" s="331"/>
      <c r="G72" s="332"/>
      <c r="H72" s="359"/>
    </row>
    <row r="73" spans="1:12" ht="16.5" customHeight="1">
      <c r="A73" s="322" t="s">
        <v>1343</v>
      </c>
      <c r="B73" s="496" t="s">
        <v>1344</v>
      </c>
      <c r="C73" s="324">
        <v>10</v>
      </c>
      <c r="D73" s="326">
        <v>235000</v>
      </c>
      <c r="E73" s="327" t="s">
        <v>1347</v>
      </c>
      <c r="F73" s="328"/>
      <c r="G73" s="329"/>
      <c r="H73" s="359" t="s">
        <v>1345</v>
      </c>
    </row>
    <row r="74" spans="1:12" ht="16.5" customHeight="1">
      <c r="A74" s="323"/>
      <c r="B74" s="497"/>
      <c r="C74" s="325"/>
      <c r="D74" s="326"/>
      <c r="E74" s="330"/>
      <c r="F74" s="331"/>
      <c r="G74" s="332"/>
      <c r="H74" s="359"/>
    </row>
    <row r="75" spans="1:12" ht="16.5" customHeight="1">
      <c r="A75" s="322" t="s">
        <v>1343</v>
      </c>
      <c r="B75" s="496" t="s">
        <v>1346</v>
      </c>
      <c r="C75" s="341" t="s">
        <v>1331</v>
      </c>
      <c r="D75" s="326">
        <v>163000</v>
      </c>
      <c r="E75" s="327" t="s">
        <v>1348</v>
      </c>
      <c r="F75" s="328"/>
      <c r="G75" s="329"/>
      <c r="H75" s="359" t="s">
        <v>1352</v>
      </c>
    </row>
    <row r="76" spans="1:12" ht="16.5" customHeight="1">
      <c r="A76" s="323"/>
      <c r="B76" s="497"/>
      <c r="C76" s="352"/>
      <c r="D76" s="326"/>
      <c r="E76" s="330"/>
      <c r="F76" s="331"/>
      <c r="G76" s="332"/>
      <c r="H76" s="359"/>
    </row>
    <row r="77" spans="1:12" ht="16.5" customHeight="1">
      <c r="A77" s="335" t="s">
        <v>1343</v>
      </c>
      <c r="B77" s="496" t="s">
        <v>1349</v>
      </c>
      <c r="C77" s="341"/>
      <c r="D77" s="343">
        <v>110000</v>
      </c>
      <c r="E77" s="327" t="s">
        <v>1350</v>
      </c>
      <c r="F77" s="345"/>
      <c r="G77" s="346"/>
      <c r="H77" s="359" t="s">
        <v>1351</v>
      </c>
    </row>
    <row r="78" spans="1:12" ht="16.5" customHeight="1">
      <c r="A78" s="340"/>
      <c r="B78" s="497"/>
      <c r="C78" s="352"/>
      <c r="D78" s="344"/>
      <c r="E78" s="347"/>
      <c r="F78" s="348"/>
      <c r="G78" s="349"/>
      <c r="H78" s="359"/>
    </row>
    <row r="79" spans="1:12" ht="16.5" customHeight="1">
      <c r="A79" s="322" t="s">
        <v>1354</v>
      </c>
      <c r="B79" s="496" t="s">
        <v>1355</v>
      </c>
      <c r="C79" s="324"/>
      <c r="D79" s="326">
        <v>255000</v>
      </c>
      <c r="E79" s="327" t="s">
        <v>1353</v>
      </c>
      <c r="F79" s="328"/>
      <c r="G79" s="329"/>
      <c r="H79" s="359" t="s">
        <v>1345</v>
      </c>
      <c r="L79" s="23"/>
    </row>
    <row r="80" spans="1:12" ht="27" customHeight="1">
      <c r="A80" s="323"/>
      <c r="B80" s="497"/>
      <c r="C80" s="325"/>
      <c r="D80" s="326"/>
      <c r="E80" s="330"/>
      <c r="F80" s="331"/>
      <c r="G80" s="332"/>
      <c r="H80" s="359"/>
    </row>
    <row r="81" spans="1:8" ht="16.5" customHeight="1">
      <c r="A81" s="322" t="s">
        <v>1354</v>
      </c>
      <c r="B81" s="496" t="s">
        <v>1356</v>
      </c>
      <c r="C81" s="325" t="s">
        <v>1357</v>
      </c>
      <c r="D81" s="326">
        <v>285000</v>
      </c>
      <c r="E81" s="327" t="s">
        <v>1358</v>
      </c>
      <c r="F81" s="328"/>
      <c r="G81" s="329"/>
      <c r="H81" s="359" t="s">
        <v>1351</v>
      </c>
    </row>
    <row r="82" spans="1:8" ht="24.75" customHeight="1">
      <c r="A82" s="323"/>
      <c r="B82" s="497"/>
      <c r="C82" s="325"/>
      <c r="D82" s="326"/>
      <c r="E82" s="330"/>
      <c r="F82" s="331"/>
      <c r="G82" s="332"/>
      <c r="H82" s="359"/>
    </row>
    <row r="83" spans="1:8" ht="16.5" customHeight="1">
      <c r="A83" s="322"/>
      <c r="B83" s="517" t="s">
        <v>1429</v>
      </c>
      <c r="C83" s="518"/>
      <c r="D83" s="518"/>
      <c r="E83" s="518"/>
      <c r="F83" s="518"/>
      <c r="G83" s="518"/>
      <c r="H83" s="519"/>
    </row>
    <row r="84" spans="1:8" ht="57" customHeight="1">
      <c r="A84" s="323"/>
      <c r="B84" s="520"/>
      <c r="C84" s="521"/>
      <c r="D84" s="521"/>
      <c r="E84" s="521"/>
      <c r="F84" s="521"/>
      <c r="G84" s="521"/>
      <c r="H84" s="522"/>
    </row>
    <row r="85" spans="1:8" ht="16.5" customHeight="1">
      <c r="A85" s="322" t="s">
        <v>1361</v>
      </c>
      <c r="B85" s="496" t="s">
        <v>1362</v>
      </c>
      <c r="C85" s="325" t="s">
        <v>1363</v>
      </c>
      <c r="D85" s="326">
        <v>830000</v>
      </c>
      <c r="E85" s="327" t="s">
        <v>1364</v>
      </c>
      <c r="F85" s="328"/>
      <c r="G85" s="329"/>
      <c r="H85" s="360" t="s">
        <v>1453</v>
      </c>
    </row>
    <row r="86" spans="1:8" ht="16.5" customHeight="1">
      <c r="A86" s="323"/>
      <c r="B86" s="497"/>
      <c r="C86" s="325"/>
      <c r="D86" s="326"/>
      <c r="E86" s="330"/>
      <c r="F86" s="331"/>
      <c r="G86" s="332"/>
      <c r="H86" s="359"/>
    </row>
    <row r="87" spans="1:8" ht="16.5" customHeight="1">
      <c r="A87" s="335" t="s">
        <v>1366</v>
      </c>
      <c r="B87" s="496" t="s">
        <v>1367</v>
      </c>
      <c r="C87" s="341"/>
      <c r="D87" s="343">
        <v>780000</v>
      </c>
      <c r="E87" s="327" t="s">
        <v>1372</v>
      </c>
      <c r="F87" s="345"/>
      <c r="G87" s="346"/>
      <c r="H87" s="360" t="s">
        <v>1371</v>
      </c>
    </row>
    <row r="88" spans="1:8" ht="16.5" customHeight="1">
      <c r="A88" s="336"/>
      <c r="B88" s="497"/>
      <c r="C88" s="352"/>
      <c r="D88" s="344"/>
      <c r="E88" s="347"/>
      <c r="F88" s="348"/>
      <c r="G88" s="349"/>
      <c r="H88" s="359"/>
    </row>
    <row r="89" spans="1:8" ht="16.5" customHeight="1">
      <c r="A89" s="322" t="s">
        <v>1368</v>
      </c>
      <c r="B89" s="496" t="s">
        <v>1369</v>
      </c>
      <c r="C89" s="324" t="s">
        <v>1370</v>
      </c>
      <c r="D89" s="326">
        <v>200000</v>
      </c>
      <c r="E89" s="327" t="s">
        <v>1374</v>
      </c>
      <c r="F89" s="328"/>
      <c r="G89" s="329"/>
      <c r="H89" s="360" t="s">
        <v>1373</v>
      </c>
    </row>
    <row r="90" spans="1:8" ht="16.5" customHeight="1">
      <c r="A90" s="323"/>
      <c r="B90" s="497"/>
      <c r="C90" s="325"/>
      <c r="D90" s="326"/>
      <c r="E90" s="330"/>
      <c r="F90" s="331"/>
      <c r="G90" s="332"/>
      <c r="H90" s="359"/>
    </row>
    <row r="91" spans="1:8" ht="16.5" customHeight="1">
      <c r="A91" s="322" t="s">
        <v>1376</v>
      </c>
      <c r="B91" s="496" t="s">
        <v>1375</v>
      </c>
      <c r="C91" s="324"/>
      <c r="D91" s="343">
        <v>280000</v>
      </c>
      <c r="E91" s="327" t="s">
        <v>1377</v>
      </c>
      <c r="F91" s="328"/>
      <c r="G91" s="329"/>
      <c r="H91" s="360" t="s">
        <v>147</v>
      </c>
    </row>
    <row r="92" spans="1:8" ht="36.75" customHeight="1">
      <c r="A92" s="323"/>
      <c r="B92" s="497"/>
      <c r="C92" s="325"/>
      <c r="D92" s="344"/>
      <c r="E92" s="330"/>
      <c r="F92" s="331"/>
      <c r="G92" s="332"/>
      <c r="H92" s="359"/>
    </row>
    <row r="93" spans="1:8">
      <c r="A93" s="322" t="s">
        <v>1378</v>
      </c>
      <c r="B93" s="498" t="s">
        <v>1379</v>
      </c>
      <c r="C93" s="325"/>
      <c r="D93" s="343">
        <v>170000</v>
      </c>
      <c r="E93" s="337" t="s">
        <v>1381</v>
      </c>
      <c r="F93" s="326"/>
      <c r="G93" s="326"/>
      <c r="H93" s="359" t="s">
        <v>1380</v>
      </c>
    </row>
    <row r="94" spans="1:8">
      <c r="A94" s="323"/>
      <c r="B94" s="499"/>
      <c r="C94" s="325"/>
      <c r="D94" s="344"/>
      <c r="E94" s="326"/>
      <c r="F94" s="326"/>
      <c r="G94" s="326"/>
      <c r="H94" s="359"/>
    </row>
    <row r="95" spans="1:8">
      <c r="A95" s="322" t="s">
        <v>1378</v>
      </c>
      <c r="B95" s="498" t="s">
        <v>1382</v>
      </c>
      <c r="C95" s="324" t="s">
        <v>1383</v>
      </c>
      <c r="D95" s="343">
        <v>170000</v>
      </c>
      <c r="E95" s="337" t="s">
        <v>1384</v>
      </c>
      <c r="F95" s="326"/>
      <c r="G95" s="326"/>
      <c r="H95" s="359" t="s">
        <v>1385</v>
      </c>
    </row>
    <row r="96" spans="1:8">
      <c r="A96" s="323"/>
      <c r="B96" s="499"/>
      <c r="C96" s="325"/>
      <c r="D96" s="344"/>
      <c r="E96" s="326"/>
      <c r="F96" s="326"/>
      <c r="G96" s="326"/>
      <c r="H96" s="359"/>
    </row>
    <row r="97" spans="1:9">
      <c r="A97" s="322" t="s">
        <v>1378</v>
      </c>
      <c r="B97" s="498" t="s">
        <v>1386</v>
      </c>
      <c r="C97" s="325"/>
      <c r="D97" s="343">
        <v>300000</v>
      </c>
      <c r="E97" s="337" t="s">
        <v>1387</v>
      </c>
      <c r="F97" s="326"/>
      <c r="G97" s="326"/>
      <c r="H97" s="359" t="s">
        <v>1390</v>
      </c>
    </row>
    <row r="98" spans="1:9">
      <c r="A98" s="323"/>
      <c r="B98" s="499"/>
      <c r="C98" s="325"/>
      <c r="D98" s="344"/>
      <c r="E98" s="326"/>
      <c r="F98" s="326"/>
      <c r="G98" s="326"/>
      <c r="H98" s="359"/>
    </row>
    <row r="99" spans="1:9">
      <c r="A99" s="322" t="s">
        <v>1378</v>
      </c>
      <c r="B99" s="498" t="s">
        <v>1388</v>
      </c>
      <c r="C99" s="325"/>
      <c r="D99" s="343">
        <v>370000</v>
      </c>
      <c r="E99" s="337" t="s">
        <v>1393</v>
      </c>
      <c r="F99" s="326"/>
      <c r="G99" s="326"/>
      <c r="H99" s="359" t="s">
        <v>1389</v>
      </c>
    </row>
    <row r="100" spans="1:9">
      <c r="A100" s="323"/>
      <c r="B100" s="499"/>
      <c r="C100" s="325"/>
      <c r="D100" s="344"/>
      <c r="E100" s="326"/>
      <c r="F100" s="326"/>
      <c r="G100" s="326"/>
      <c r="H100" s="359"/>
    </row>
    <row r="101" spans="1:9">
      <c r="A101" s="322" t="s">
        <v>1378</v>
      </c>
      <c r="B101" s="498" t="s">
        <v>1391</v>
      </c>
      <c r="C101" s="325"/>
      <c r="D101" s="326">
        <v>150000</v>
      </c>
      <c r="E101" s="337" t="s">
        <v>1394</v>
      </c>
      <c r="F101" s="326"/>
      <c r="G101" s="326"/>
      <c r="H101" s="360" t="s">
        <v>1392</v>
      </c>
    </row>
    <row r="102" spans="1:9">
      <c r="A102" s="323"/>
      <c r="B102" s="499"/>
      <c r="C102" s="325"/>
      <c r="D102" s="326"/>
      <c r="E102" s="326"/>
      <c r="F102" s="326"/>
      <c r="G102" s="326"/>
      <c r="H102" s="359"/>
    </row>
    <row r="103" spans="1:9">
      <c r="A103" s="322" t="s">
        <v>1395</v>
      </c>
      <c r="B103" s="498" t="s">
        <v>1403</v>
      </c>
      <c r="C103" s="324"/>
      <c r="D103" s="326">
        <v>10000</v>
      </c>
      <c r="E103" s="337" t="s">
        <v>1396</v>
      </c>
      <c r="F103" s="326"/>
      <c r="G103" s="326"/>
      <c r="H103" s="360" t="s">
        <v>1397</v>
      </c>
    </row>
    <row r="104" spans="1:9">
      <c r="A104" s="323"/>
      <c r="B104" s="499"/>
      <c r="C104" s="325"/>
      <c r="D104" s="326"/>
      <c r="E104" s="326"/>
      <c r="F104" s="326"/>
      <c r="G104" s="326"/>
      <c r="H104" s="359"/>
    </row>
    <row r="105" spans="1:9">
      <c r="A105" s="322" t="s">
        <v>1398</v>
      </c>
      <c r="B105" s="498" t="s">
        <v>1399</v>
      </c>
      <c r="C105" s="325" t="s">
        <v>1400</v>
      </c>
      <c r="D105" s="326">
        <v>215000</v>
      </c>
      <c r="E105" s="337" t="s">
        <v>1401</v>
      </c>
      <c r="F105" s="326"/>
      <c r="G105" s="326"/>
      <c r="H105" s="360" t="s">
        <v>1402</v>
      </c>
    </row>
    <row r="106" spans="1:9">
      <c r="A106" s="323"/>
      <c r="B106" s="499"/>
      <c r="C106" s="325"/>
      <c r="D106" s="326"/>
      <c r="E106" s="326"/>
      <c r="F106" s="326"/>
      <c r="G106" s="326"/>
      <c r="H106" s="359"/>
    </row>
    <row r="107" spans="1:9" ht="16.5" customHeight="1">
      <c r="A107" s="322" t="s">
        <v>1411</v>
      </c>
      <c r="B107" s="498" t="s">
        <v>1405</v>
      </c>
      <c r="C107" s="324"/>
      <c r="D107" s="326">
        <v>460000</v>
      </c>
      <c r="E107" s="327" t="s">
        <v>1406</v>
      </c>
      <c r="F107" s="328"/>
      <c r="G107" s="329"/>
      <c r="H107" s="359" t="s">
        <v>1408</v>
      </c>
    </row>
    <row r="108" spans="1:9">
      <c r="A108" s="323"/>
      <c r="B108" s="499"/>
      <c r="C108" s="325"/>
      <c r="D108" s="326"/>
      <c r="E108" s="330"/>
      <c r="F108" s="331"/>
      <c r="G108" s="332"/>
      <c r="H108" s="359"/>
    </row>
    <row r="109" spans="1:9" ht="16.5" customHeight="1">
      <c r="A109" s="322" t="s">
        <v>1411</v>
      </c>
      <c r="B109" s="500" t="s">
        <v>1404</v>
      </c>
      <c r="C109" s="353"/>
      <c r="D109" s="343">
        <v>305000</v>
      </c>
      <c r="E109" s="327" t="s">
        <v>1407</v>
      </c>
      <c r="F109" s="345"/>
      <c r="G109" s="346"/>
      <c r="H109" s="359" t="s">
        <v>1408</v>
      </c>
    </row>
    <row r="110" spans="1:9">
      <c r="A110" s="323"/>
      <c r="B110" s="501"/>
      <c r="C110" s="352"/>
      <c r="D110" s="344"/>
      <c r="E110" s="347"/>
      <c r="F110" s="348"/>
      <c r="G110" s="349"/>
      <c r="H110" s="359"/>
    </row>
    <row r="111" spans="1:9">
      <c r="A111" s="322" t="s">
        <v>1410</v>
      </c>
      <c r="B111" s="500" t="s">
        <v>1404</v>
      </c>
      <c r="C111" s="324"/>
      <c r="D111" s="326">
        <v>70000</v>
      </c>
      <c r="E111" s="337" t="s">
        <v>1409</v>
      </c>
      <c r="F111" s="326"/>
      <c r="G111" s="326"/>
      <c r="H111" s="359" t="s">
        <v>1408</v>
      </c>
    </row>
    <row r="112" spans="1:9">
      <c r="A112" s="323"/>
      <c r="B112" s="501"/>
      <c r="C112" s="325"/>
      <c r="D112" s="326"/>
      <c r="E112" s="326"/>
      <c r="F112" s="326"/>
      <c r="G112" s="326"/>
      <c r="H112" s="359"/>
      <c r="I112">
        <v>15260600</v>
      </c>
    </row>
    <row r="113" spans="1:8">
      <c r="A113" s="322"/>
      <c r="B113" s="523" t="s">
        <v>1430</v>
      </c>
      <c r="C113" s="524"/>
      <c r="D113" s="524"/>
      <c r="E113" s="524"/>
      <c r="F113" s="524"/>
      <c r="G113" s="524"/>
      <c r="H113" s="525"/>
    </row>
    <row r="114" spans="1:8" ht="55.5" customHeight="1">
      <c r="A114" s="323"/>
      <c r="B114" s="526"/>
      <c r="C114" s="527"/>
      <c r="D114" s="527"/>
      <c r="E114" s="527"/>
      <c r="F114" s="527"/>
      <c r="G114" s="527"/>
      <c r="H114" s="528"/>
    </row>
    <row r="115" spans="1:8">
      <c r="A115" s="322" t="s">
        <v>1412</v>
      </c>
      <c r="B115" s="498" t="s">
        <v>1414</v>
      </c>
      <c r="C115" s="324"/>
      <c r="D115" s="326">
        <v>330000</v>
      </c>
      <c r="E115" s="327" t="s">
        <v>1415</v>
      </c>
      <c r="F115" s="328"/>
      <c r="G115" s="329"/>
      <c r="H115" s="359" t="s">
        <v>1416</v>
      </c>
    </row>
    <row r="116" spans="1:8">
      <c r="A116" s="323"/>
      <c r="B116" s="499"/>
      <c r="C116" s="325"/>
      <c r="D116" s="326"/>
      <c r="E116" s="330"/>
      <c r="F116" s="331"/>
      <c r="G116" s="332"/>
      <c r="H116" s="359"/>
    </row>
    <row r="117" spans="1:8">
      <c r="A117" s="322" t="s">
        <v>1412</v>
      </c>
      <c r="B117" s="498" t="s">
        <v>1413</v>
      </c>
      <c r="C117" s="325"/>
      <c r="D117" s="326">
        <v>285000</v>
      </c>
      <c r="E117" s="337"/>
      <c r="F117" s="326"/>
      <c r="G117" s="326"/>
      <c r="H117" s="359" t="s">
        <v>1418</v>
      </c>
    </row>
    <row r="118" spans="1:8">
      <c r="A118" s="323"/>
      <c r="B118" s="499"/>
      <c r="C118" s="325"/>
      <c r="D118" s="326"/>
      <c r="E118" s="326"/>
      <c r="F118" s="326"/>
      <c r="G118" s="326"/>
      <c r="H118" s="359"/>
    </row>
    <row r="119" spans="1:8">
      <c r="A119" s="322" t="s">
        <v>1412</v>
      </c>
      <c r="B119" s="498" t="s">
        <v>1417</v>
      </c>
      <c r="C119" s="325"/>
      <c r="D119" s="326">
        <v>230000</v>
      </c>
      <c r="E119" s="337"/>
      <c r="F119" s="326"/>
      <c r="G119" s="326"/>
      <c r="H119" s="360" t="s">
        <v>1421</v>
      </c>
    </row>
    <row r="120" spans="1:8">
      <c r="A120" s="323"/>
      <c r="B120" s="499"/>
      <c r="C120" s="325"/>
      <c r="D120" s="326"/>
      <c r="E120" s="326"/>
      <c r="F120" s="326"/>
      <c r="G120" s="326"/>
      <c r="H120" s="359"/>
    </row>
    <row r="121" spans="1:8">
      <c r="A121" s="322" t="s">
        <v>1412</v>
      </c>
      <c r="B121" s="498" t="s">
        <v>1419</v>
      </c>
      <c r="C121" s="324"/>
      <c r="D121" s="326">
        <v>35000</v>
      </c>
      <c r="E121" s="327"/>
      <c r="F121" s="328"/>
      <c r="G121" s="329"/>
      <c r="H121" s="359" t="s">
        <v>1420</v>
      </c>
    </row>
    <row r="122" spans="1:8">
      <c r="A122" s="323"/>
      <c r="B122" s="499"/>
      <c r="C122" s="325"/>
      <c r="D122" s="326"/>
      <c r="E122" s="330"/>
      <c r="F122" s="331"/>
      <c r="G122" s="332"/>
      <c r="H122" s="359"/>
    </row>
    <row r="123" spans="1:8">
      <c r="A123" s="322" t="s">
        <v>1422</v>
      </c>
      <c r="B123" s="498" t="s">
        <v>1428</v>
      </c>
      <c r="C123" s="324"/>
      <c r="D123" s="326">
        <v>150000</v>
      </c>
      <c r="E123" s="337"/>
      <c r="F123" s="326"/>
      <c r="G123" s="326"/>
      <c r="H123" s="359" t="s">
        <v>1424</v>
      </c>
    </row>
    <row r="124" spans="1:8">
      <c r="A124" s="323"/>
      <c r="B124" s="499"/>
      <c r="C124" s="325"/>
      <c r="D124" s="326"/>
      <c r="E124" s="326"/>
      <c r="F124" s="326"/>
      <c r="G124" s="326"/>
      <c r="H124" s="359"/>
    </row>
    <row r="125" spans="1:8">
      <c r="A125" s="322" t="s">
        <v>1422</v>
      </c>
      <c r="B125" s="478" t="s">
        <v>1426</v>
      </c>
      <c r="C125" s="325"/>
      <c r="D125" s="326">
        <v>200000</v>
      </c>
      <c r="E125" s="337"/>
      <c r="F125" s="326"/>
      <c r="G125" s="326"/>
      <c r="H125" s="359" t="s">
        <v>1424</v>
      </c>
    </row>
    <row r="126" spans="1:8">
      <c r="A126" s="323"/>
      <c r="B126" s="479"/>
      <c r="C126" s="325"/>
      <c r="D126" s="326"/>
      <c r="E126" s="326"/>
      <c r="F126" s="326"/>
      <c r="G126" s="326"/>
      <c r="H126" s="359"/>
    </row>
    <row r="127" spans="1:8">
      <c r="A127" s="322" t="s">
        <v>1422</v>
      </c>
      <c r="B127" s="478" t="s">
        <v>1425</v>
      </c>
      <c r="C127" s="325"/>
      <c r="D127" s="343">
        <v>114000</v>
      </c>
      <c r="E127" s="337"/>
      <c r="F127" s="326"/>
      <c r="G127" s="326"/>
      <c r="H127" s="360" t="s">
        <v>1423</v>
      </c>
    </row>
    <row r="128" spans="1:8">
      <c r="A128" s="323"/>
      <c r="B128" s="479"/>
      <c r="C128" s="325"/>
      <c r="D128" s="344"/>
      <c r="E128" s="326"/>
      <c r="F128" s="326"/>
      <c r="G128" s="326"/>
      <c r="H128" s="359"/>
    </row>
    <row r="129" spans="1:8">
      <c r="A129" s="322" t="s">
        <v>1422</v>
      </c>
      <c r="B129" s="478" t="s">
        <v>1427</v>
      </c>
      <c r="C129" s="324"/>
      <c r="D129" s="326">
        <v>215000</v>
      </c>
      <c r="E129" s="337"/>
      <c r="F129" s="326"/>
      <c r="G129" s="326"/>
      <c r="H129" s="359" t="s">
        <v>1431</v>
      </c>
    </row>
    <row r="130" spans="1:8">
      <c r="A130" s="323"/>
      <c r="B130" s="479"/>
      <c r="C130" s="325"/>
      <c r="D130" s="326"/>
      <c r="E130" s="326"/>
      <c r="F130" s="326"/>
      <c r="G130" s="326"/>
      <c r="H130" s="359"/>
    </row>
    <row r="131" spans="1:8">
      <c r="A131" s="322"/>
      <c r="B131" s="478"/>
      <c r="C131" s="324"/>
      <c r="D131" s="326"/>
      <c r="E131" s="337"/>
      <c r="F131" s="326"/>
      <c r="G131" s="326"/>
      <c r="H131" s="360"/>
    </row>
    <row r="132" spans="1:8">
      <c r="A132" s="323"/>
      <c r="B132" s="479"/>
      <c r="C132" s="325"/>
      <c r="D132" s="326"/>
      <c r="E132" s="326"/>
      <c r="F132" s="326"/>
      <c r="G132" s="326"/>
      <c r="H132" s="359"/>
    </row>
    <row r="133" spans="1:8">
      <c r="A133" s="529" t="s">
        <v>1432</v>
      </c>
      <c r="B133" s="530"/>
      <c r="C133" s="530"/>
      <c r="D133" s="530"/>
      <c r="E133" s="530"/>
      <c r="F133" s="530"/>
      <c r="G133" s="530"/>
      <c r="H133" s="531"/>
    </row>
    <row r="134" spans="1:8">
      <c r="A134" s="532"/>
      <c r="B134" s="533"/>
      <c r="C134" s="533"/>
      <c r="D134" s="533"/>
      <c r="E134" s="533"/>
      <c r="F134" s="533"/>
      <c r="G134" s="533"/>
      <c r="H134" s="534"/>
    </row>
    <row r="135" spans="1:8">
      <c r="A135" s="532"/>
      <c r="B135" s="533"/>
      <c r="C135" s="533"/>
      <c r="D135" s="533"/>
      <c r="E135" s="533"/>
      <c r="F135" s="533"/>
      <c r="G135" s="533"/>
      <c r="H135" s="534"/>
    </row>
    <row r="136" spans="1:8">
      <c r="A136" s="535"/>
      <c r="B136" s="536"/>
      <c r="C136" s="536"/>
      <c r="D136" s="536"/>
      <c r="E136" s="536"/>
      <c r="F136" s="536"/>
      <c r="G136" s="536"/>
      <c r="H136" s="537"/>
    </row>
    <row r="137" spans="1:8">
      <c r="A137" s="322"/>
      <c r="B137" s="478"/>
      <c r="C137" s="325"/>
      <c r="D137" s="326"/>
      <c r="E137" s="337"/>
      <c r="F137" s="326"/>
      <c r="G137" s="326"/>
      <c r="H137" s="359"/>
    </row>
    <row r="138" spans="1:8">
      <c r="A138" s="323"/>
      <c r="B138" s="479"/>
      <c r="C138" s="325"/>
      <c r="D138" s="326"/>
      <c r="E138" s="326"/>
      <c r="F138" s="326"/>
      <c r="G138" s="326"/>
      <c r="H138" s="359"/>
    </row>
    <row r="139" spans="1:8" ht="16.5" customHeight="1">
      <c r="A139" s="322"/>
      <c r="B139" s="324"/>
      <c r="C139" s="324"/>
      <c r="D139" s="326"/>
      <c r="E139" s="337"/>
      <c r="F139" s="326"/>
      <c r="G139" s="326"/>
      <c r="H139" s="360"/>
    </row>
    <row r="140" spans="1:8">
      <c r="A140" s="323"/>
      <c r="B140" s="325"/>
      <c r="C140" s="325"/>
      <c r="D140" s="326"/>
      <c r="E140" s="326"/>
      <c r="F140" s="326"/>
      <c r="G140" s="326"/>
      <c r="H140" s="359"/>
    </row>
    <row r="141" spans="1:8">
      <c r="A141" s="322"/>
      <c r="B141" s="324"/>
      <c r="C141" s="325"/>
      <c r="D141" s="326"/>
      <c r="E141" s="337"/>
      <c r="F141" s="326"/>
      <c r="G141" s="326"/>
      <c r="H141" s="333"/>
    </row>
    <row r="142" spans="1:8">
      <c r="A142" s="323"/>
      <c r="B142" s="325"/>
      <c r="C142" s="325"/>
      <c r="D142" s="326"/>
      <c r="E142" s="326"/>
      <c r="F142" s="326"/>
      <c r="G142" s="326"/>
      <c r="H142" s="333"/>
    </row>
    <row r="143" spans="1:8">
      <c r="A143" s="322"/>
      <c r="B143" s="324"/>
      <c r="C143" s="324"/>
      <c r="D143" s="326"/>
      <c r="E143" s="337"/>
      <c r="F143" s="326"/>
      <c r="G143" s="326"/>
      <c r="H143" s="338"/>
    </row>
    <row r="144" spans="1:8">
      <c r="A144" s="323"/>
      <c r="B144" s="325"/>
      <c r="C144" s="325"/>
      <c r="D144" s="326"/>
      <c r="E144" s="326"/>
      <c r="F144" s="326"/>
      <c r="G144" s="326"/>
      <c r="H144" s="333"/>
    </row>
    <row r="145" spans="1:8">
      <c r="A145" s="322"/>
      <c r="B145" s="324"/>
      <c r="C145" s="325"/>
      <c r="D145" s="326"/>
      <c r="E145" s="337"/>
      <c r="F145" s="326"/>
      <c r="G145" s="326"/>
      <c r="H145" s="338"/>
    </row>
    <row r="146" spans="1:8">
      <c r="A146" s="323"/>
      <c r="B146" s="325"/>
      <c r="C146" s="325"/>
      <c r="D146" s="326"/>
      <c r="E146" s="326"/>
      <c r="F146" s="326"/>
      <c r="G146" s="326"/>
      <c r="H146" s="333"/>
    </row>
    <row r="147" spans="1:8">
      <c r="A147" s="323"/>
      <c r="B147" s="324"/>
      <c r="C147" s="325"/>
      <c r="D147" s="326"/>
      <c r="E147" s="337"/>
      <c r="F147" s="326"/>
      <c r="G147" s="326"/>
      <c r="H147" s="333"/>
    </row>
    <row r="148" spans="1:8">
      <c r="A148" s="323"/>
      <c r="B148" s="325"/>
      <c r="C148" s="325"/>
      <c r="D148" s="326"/>
      <c r="E148" s="326"/>
      <c r="F148" s="326"/>
      <c r="G148" s="326"/>
      <c r="H148" s="333"/>
    </row>
    <row r="149" spans="1:8">
      <c r="A149" s="323"/>
      <c r="B149" s="324"/>
      <c r="C149" s="325"/>
      <c r="D149" s="326"/>
      <c r="E149" s="337"/>
      <c r="F149" s="326"/>
      <c r="G149" s="326"/>
      <c r="H149" s="338"/>
    </row>
    <row r="150" spans="1:8">
      <c r="A150" s="323"/>
      <c r="B150" s="325"/>
      <c r="C150" s="325"/>
      <c r="D150" s="326"/>
      <c r="E150" s="326"/>
      <c r="F150" s="326"/>
      <c r="G150" s="326"/>
      <c r="H150" s="333"/>
    </row>
    <row r="151" spans="1:8" ht="16.5" customHeight="1">
      <c r="A151" s="322"/>
      <c r="B151" s="324"/>
      <c r="C151" s="325"/>
      <c r="D151" s="326"/>
      <c r="E151" s="337"/>
      <c r="F151" s="326"/>
      <c r="G151" s="326"/>
      <c r="H151" s="333"/>
    </row>
    <row r="152" spans="1:8">
      <c r="A152" s="323"/>
      <c r="B152" s="325"/>
      <c r="C152" s="325"/>
      <c r="D152" s="326"/>
      <c r="E152" s="326"/>
      <c r="F152" s="326"/>
      <c r="G152" s="326"/>
      <c r="H152" s="333"/>
    </row>
    <row r="153" spans="1:8">
      <c r="A153" s="323"/>
      <c r="B153" s="324"/>
      <c r="C153" s="325"/>
      <c r="D153" s="326"/>
      <c r="E153" s="337"/>
      <c r="F153" s="326"/>
      <c r="G153" s="326"/>
      <c r="H153" s="333"/>
    </row>
    <row r="154" spans="1:8">
      <c r="A154" s="323"/>
      <c r="B154" s="325"/>
      <c r="C154" s="325"/>
      <c r="D154" s="326"/>
      <c r="E154" s="326"/>
      <c r="F154" s="326"/>
      <c r="G154" s="326"/>
      <c r="H154" s="333"/>
    </row>
    <row r="155" spans="1:8">
      <c r="A155" s="323"/>
      <c r="B155" s="325"/>
      <c r="C155" s="325"/>
      <c r="D155" s="326"/>
      <c r="E155" s="337"/>
      <c r="F155" s="326"/>
      <c r="G155" s="326"/>
      <c r="H155" s="333"/>
    </row>
    <row r="156" spans="1:8">
      <c r="A156" s="323"/>
      <c r="B156" s="325"/>
      <c r="C156" s="325"/>
      <c r="D156" s="326"/>
      <c r="E156" s="326"/>
      <c r="F156" s="326"/>
      <c r="G156" s="326"/>
      <c r="H156" s="333"/>
    </row>
    <row r="157" spans="1:8">
      <c r="A157" s="322"/>
      <c r="B157" s="325"/>
      <c r="C157" s="325"/>
      <c r="D157" s="326"/>
      <c r="E157" s="337"/>
      <c r="F157" s="326"/>
      <c r="G157" s="326"/>
      <c r="H157" s="333"/>
    </row>
    <row r="158" spans="1:8">
      <c r="A158" s="323"/>
      <c r="B158" s="325"/>
      <c r="C158" s="325"/>
      <c r="D158" s="326"/>
      <c r="E158" s="326"/>
      <c r="F158" s="326"/>
      <c r="G158" s="326"/>
      <c r="H158" s="333"/>
    </row>
    <row r="159" spans="1:8">
      <c r="A159" s="322"/>
      <c r="B159" s="325"/>
      <c r="C159" s="325"/>
      <c r="D159" s="326"/>
      <c r="E159" s="337"/>
      <c r="F159" s="326"/>
      <c r="G159" s="326"/>
      <c r="H159" s="333"/>
    </row>
    <row r="160" spans="1:8">
      <c r="A160" s="323"/>
      <c r="B160" s="325"/>
      <c r="C160" s="325"/>
      <c r="D160" s="326"/>
      <c r="E160" s="326"/>
      <c r="F160" s="326"/>
      <c r="G160" s="326"/>
      <c r="H160" s="333"/>
    </row>
    <row r="161" spans="1:8">
      <c r="A161" s="322"/>
      <c r="B161" s="324"/>
      <c r="C161" s="325"/>
      <c r="D161" s="326"/>
      <c r="E161" s="337"/>
      <c r="F161" s="326"/>
      <c r="G161" s="326"/>
      <c r="H161" s="333"/>
    </row>
    <row r="162" spans="1:8">
      <c r="A162" s="323"/>
      <c r="B162" s="325"/>
      <c r="C162" s="325"/>
      <c r="D162" s="326"/>
      <c r="E162" s="326"/>
      <c r="F162" s="326"/>
      <c r="G162" s="326"/>
      <c r="H162" s="333"/>
    </row>
    <row r="163" spans="1:8">
      <c r="A163" s="322"/>
      <c r="B163" s="324"/>
      <c r="C163" s="325"/>
      <c r="D163" s="326"/>
      <c r="E163" s="337"/>
      <c r="F163" s="326"/>
      <c r="G163" s="326"/>
      <c r="H163" s="338"/>
    </row>
    <row r="164" spans="1:8" s="30" customFormat="1">
      <c r="A164" s="323"/>
      <c r="B164" s="325"/>
      <c r="C164" s="325"/>
      <c r="D164" s="326"/>
      <c r="E164" s="326"/>
      <c r="F164" s="326"/>
      <c r="G164" s="326"/>
      <c r="H164" s="333"/>
    </row>
    <row r="165" spans="1:8">
      <c r="A165" s="323"/>
      <c r="B165" s="325"/>
      <c r="C165" s="325"/>
      <c r="D165" s="326"/>
      <c r="E165" s="337"/>
      <c r="F165" s="326"/>
      <c r="G165" s="326"/>
      <c r="H165" s="333"/>
    </row>
    <row r="166" spans="1:8">
      <c r="A166" s="323"/>
      <c r="B166" s="325"/>
      <c r="C166" s="325"/>
      <c r="D166" s="326"/>
      <c r="E166" s="326"/>
      <c r="F166" s="326"/>
      <c r="G166" s="326"/>
      <c r="H166" s="333"/>
    </row>
    <row r="167" spans="1:8">
      <c r="A167" s="322"/>
      <c r="B167" s="324"/>
      <c r="C167" s="325"/>
      <c r="D167" s="326"/>
      <c r="E167" s="337"/>
      <c r="F167" s="326"/>
      <c r="G167" s="326"/>
      <c r="H167" s="333"/>
    </row>
    <row r="168" spans="1:8">
      <c r="A168" s="323"/>
      <c r="B168" s="325"/>
      <c r="C168" s="325"/>
      <c r="D168" s="326"/>
      <c r="E168" s="326"/>
      <c r="F168" s="326"/>
      <c r="G168" s="326"/>
      <c r="H168" s="333"/>
    </row>
    <row r="169" spans="1:8">
      <c r="A169" s="323"/>
      <c r="B169" s="324"/>
      <c r="C169" s="325"/>
      <c r="D169" s="326"/>
      <c r="E169" s="337"/>
      <c r="F169" s="326"/>
      <c r="G169" s="326"/>
      <c r="H169" s="338"/>
    </row>
    <row r="170" spans="1:8" s="30" customFormat="1">
      <c r="A170" s="323"/>
      <c r="B170" s="325"/>
      <c r="C170" s="325"/>
      <c r="D170" s="326"/>
      <c r="E170" s="326"/>
      <c r="F170" s="326"/>
      <c r="G170" s="326"/>
      <c r="H170" s="333"/>
    </row>
    <row r="171" spans="1:8">
      <c r="A171" s="323"/>
      <c r="B171" s="324"/>
      <c r="C171" s="325"/>
      <c r="D171" s="326"/>
      <c r="E171" s="337"/>
      <c r="F171" s="326"/>
      <c r="G171" s="326"/>
      <c r="H171" s="338"/>
    </row>
    <row r="172" spans="1:8">
      <c r="A172" s="323"/>
      <c r="B172" s="325"/>
      <c r="C172" s="325"/>
      <c r="D172" s="326"/>
      <c r="E172" s="326"/>
      <c r="F172" s="326"/>
      <c r="G172" s="326"/>
      <c r="H172" s="333"/>
    </row>
    <row r="173" spans="1:8">
      <c r="A173" s="322"/>
      <c r="B173" s="324"/>
      <c r="C173" s="325"/>
      <c r="D173" s="326"/>
      <c r="E173" s="337"/>
      <c r="F173" s="326"/>
      <c r="G173" s="326"/>
      <c r="H173" s="333"/>
    </row>
    <row r="174" spans="1:8">
      <c r="A174" s="323"/>
      <c r="B174" s="325"/>
      <c r="C174" s="325"/>
      <c r="D174" s="326"/>
      <c r="E174" s="326"/>
      <c r="F174" s="326"/>
      <c r="G174" s="326"/>
      <c r="H174" s="333"/>
    </row>
    <row r="175" spans="1:8">
      <c r="A175" s="323"/>
      <c r="B175" s="324"/>
      <c r="C175" s="325"/>
      <c r="D175" s="326"/>
      <c r="E175" s="337"/>
      <c r="F175" s="326"/>
      <c r="G175" s="326"/>
      <c r="H175" s="333"/>
    </row>
    <row r="176" spans="1:8">
      <c r="A176" s="323"/>
      <c r="B176" s="325"/>
      <c r="C176" s="325"/>
      <c r="D176" s="326"/>
      <c r="E176" s="326"/>
      <c r="F176" s="326"/>
      <c r="G176" s="326"/>
      <c r="H176" s="333"/>
    </row>
    <row r="177" spans="1:8">
      <c r="A177" s="322"/>
      <c r="B177" s="324"/>
      <c r="C177" s="325"/>
      <c r="D177" s="326"/>
      <c r="E177" s="326"/>
      <c r="F177" s="326"/>
      <c r="G177" s="326"/>
      <c r="H177" s="333"/>
    </row>
    <row r="178" spans="1:8">
      <c r="A178" s="323"/>
      <c r="B178" s="325"/>
      <c r="C178" s="325"/>
      <c r="D178" s="326"/>
      <c r="E178" s="326"/>
      <c r="F178" s="326"/>
      <c r="G178" s="326"/>
      <c r="H178" s="333"/>
    </row>
    <row r="179" spans="1:8">
      <c r="A179" s="322"/>
      <c r="B179" s="324"/>
      <c r="C179" s="325"/>
      <c r="D179" s="326"/>
      <c r="E179" s="337"/>
      <c r="F179" s="326"/>
      <c r="G179" s="326"/>
      <c r="H179" s="338"/>
    </row>
    <row r="180" spans="1:8" s="30" customFormat="1">
      <c r="A180" s="323"/>
      <c r="B180" s="325"/>
      <c r="C180" s="325"/>
      <c r="D180" s="326"/>
      <c r="E180" s="326"/>
      <c r="F180" s="326"/>
      <c r="G180" s="326"/>
      <c r="H180" s="333"/>
    </row>
    <row r="181" spans="1:8">
      <c r="A181" s="323"/>
      <c r="B181" s="325"/>
      <c r="C181" s="325"/>
      <c r="D181" s="326"/>
      <c r="E181" s="337"/>
      <c r="F181" s="326"/>
      <c r="G181" s="326"/>
      <c r="H181" s="338"/>
    </row>
    <row r="182" spans="1:8">
      <c r="A182" s="323"/>
      <c r="B182" s="325"/>
      <c r="C182" s="325"/>
      <c r="D182" s="326"/>
      <c r="E182" s="326"/>
      <c r="F182" s="326"/>
      <c r="G182" s="326"/>
      <c r="H182" s="333"/>
    </row>
    <row r="183" spans="1:8">
      <c r="A183" s="322"/>
      <c r="B183" s="324"/>
      <c r="C183" s="325"/>
      <c r="D183" s="326"/>
      <c r="E183" s="337"/>
      <c r="F183" s="326"/>
      <c r="G183" s="326"/>
      <c r="H183" s="333"/>
    </row>
    <row r="184" spans="1:8">
      <c r="A184" s="323"/>
      <c r="B184" s="325"/>
      <c r="C184" s="325"/>
      <c r="D184" s="326"/>
      <c r="E184" s="326"/>
      <c r="F184" s="326"/>
      <c r="G184" s="326"/>
      <c r="H184" s="333"/>
    </row>
    <row r="185" spans="1:8">
      <c r="A185" s="322"/>
      <c r="B185" s="324"/>
      <c r="C185" s="325"/>
      <c r="D185" s="326"/>
      <c r="E185" s="337"/>
      <c r="F185" s="326"/>
      <c r="G185" s="326"/>
      <c r="H185" s="338"/>
    </row>
    <row r="186" spans="1:8" s="30" customFormat="1">
      <c r="A186" s="323"/>
      <c r="B186" s="325"/>
      <c r="C186" s="325"/>
      <c r="D186" s="326"/>
      <c r="E186" s="326"/>
      <c r="F186" s="326"/>
      <c r="G186" s="326"/>
      <c r="H186" s="333"/>
    </row>
    <row r="187" spans="1:8">
      <c r="A187" s="323"/>
      <c r="B187" s="324"/>
      <c r="C187" s="325"/>
      <c r="D187" s="326"/>
      <c r="E187" s="337"/>
      <c r="F187" s="326"/>
      <c r="G187" s="326"/>
      <c r="H187" s="338"/>
    </row>
    <row r="188" spans="1:8">
      <c r="A188" s="323"/>
      <c r="B188" s="325"/>
      <c r="C188" s="325"/>
      <c r="D188" s="326"/>
      <c r="E188" s="326"/>
      <c r="F188" s="326"/>
      <c r="G188" s="326"/>
      <c r="H188" s="333"/>
    </row>
    <row r="189" spans="1:8">
      <c r="A189" s="323"/>
      <c r="B189" s="325"/>
      <c r="C189" s="325"/>
      <c r="D189" s="326"/>
      <c r="E189" s="326"/>
      <c r="F189" s="326"/>
      <c r="G189" s="326"/>
      <c r="H189" s="338"/>
    </row>
    <row r="190" spans="1:8">
      <c r="A190" s="323"/>
      <c r="B190" s="325"/>
      <c r="C190" s="325"/>
      <c r="D190" s="326"/>
      <c r="E190" s="326"/>
      <c r="F190" s="326"/>
      <c r="G190" s="326"/>
      <c r="H190" s="333"/>
    </row>
    <row r="191" spans="1:8">
      <c r="A191" s="322"/>
      <c r="B191" s="325"/>
      <c r="C191" s="325"/>
      <c r="D191" s="326"/>
      <c r="E191" s="337"/>
      <c r="F191" s="326"/>
      <c r="G191" s="326"/>
      <c r="H191" s="338"/>
    </row>
    <row r="192" spans="1:8" s="30" customFormat="1">
      <c r="A192" s="323"/>
      <c r="B192" s="325"/>
      <c r="C192" s="325"/>
      <c r="D192" s="326"/>
      <c r="E192" s="326"/>
      <c r="F192" s="326"/>
      <c r="G192" s="326"/>
      <c r="H192" s="333"/>
    </row>
    <row r="193" spans="1:8">
      <c r="A193" s="322"/>
      <c r="B193" s="325"/>
      <c r="C193" s="325"/>
      <c r="D193" s="326"/>
      <c r="E193" s="337"/>
      <c r="F193" s="326"/>
      <c r="G193" s="326"/>
      <c r="H193" s="338"/>
    </row>
    <row r="194" spans="1:8">
      <c r="A194" s="323"/>
      <c r="B194" s="325"/>
      <c r="C194" s="325"/>
      <c r="D194" s="326"/>
      <c r="E194" s="326"/>
      <c r="F194" s="326"/>
      <c r="G194" s="326"/>
      <c r="H194" s="333"/>
    </row>
    <row r="195" spans="1:8">
      <c r="A195" s="323"/>
      <c r="B195" s="324"/>
      <c r="C195" s="325"/>
      <c r="D195" s="326"/>
      <c r="E195" s="337"/>
      <c r="F195" s="326"/>
      <c r="G195" s="326"/>
      <c r="H195" s="338"/>
    </row>
    <row r="196" spans="1:8">
      <c r="A196" s="323"/>
      <c r="B196" s="325"/>
      <c r="C196" s="325"/>
      <c r="D196" s="326"/>
      <c r="E196" s="326"/>
      <c r="F196" s="326"/>
      <c r="G196" s="326"/>
      <c r="H196" s="333"/>
    </row>
    <row r="197" spans="1:8" ht="16.5" customHeight="1">
      <c r="A197" s="322"/>
      <c r="B197" s="324"/>
      <c r="C197" s="324"/>
      <c r="D197" s="326"/>
      <c r="E197" s="327"/>
      <c r="F197" s="328"/>
      <c r="G197" s="329"/>
      <c r="H197" s="338"/>
    </row>
    <row r="198" spans="1:8" ht="16.5" customHeight="1">
      <c r="A198" s="323"/>
      <c r="B198" s="325"/>
      <c r="C198" s="325"/>
      <c r="D198" s="326"/>
      <c r="E198" s="330"/>
      <c r="F198" s="331"/>
      <c r="G198" s="332"/>
      <c r="H198" s="333"/>
    </row>
    <row r="199" spans="1:8" ht="16.5" customHeight="1">
      <c r="A199" s="322"/>
      <c r="B199" s="324"/>
      <c r="C199" s="325"/>
      <c r="D199" s="326"/>
      <c r="E199" s="326"/>
      <c r="F199" s="326"/>
      <c r="G199" s="326"/>
      <c r="H199" s="338"/>
    </row>
    <row r="200" spans="1:8" ht="16.5" customHeight="1">
      <c r="A200" s="323"/>
      <c r="B200" s="325"/>
      <c r="C200" s="325"/>
      <c r="D200" s="326"/>
      <c r="E200" s="326"/>
      <c r="F200" s="326"/>
      <c r="G200" s="326"/>
      <c r="H200" s="333"/>
    </row>
    <row r="201" spans="1:8" ht="16.5" customHeight="1">
      <c r="A201" s="336"/>
      <c r="B201" s="324"/>
      <c r="C201" s="324"/>
      <c r="D201" s="326"/>
      <c r="E201" s="327"/>
      <c r="F201" s="328"/>
      <c r="G201" s="329"/>
      <c r="H201" s="350"/>
    </row>
    <row r="202" spans="1:8" ht="16.5" customHeight="1">
      <c r="A202" s="323"/>
      <c r="B202" s="325"/>
      <c r="C202" s="325"/>
      <c r="D202" s="326"/>
      <c r="E202" s="330"/>
      <c r="F202" s="331"/>
      <c r="G202" s="332"/>
      <c r="H202" s="351"/>
    </row>
    <row r="203" spans="1:8" ht="16.5" customHeight="1">
      <c r="A203" s="322"/>
      <c r="B203" s="324"/>
      <c r="C203" s="325"/>
      <c r="D203" s="326"/>
      <c r="E203" s="337"/>
      <c r="F203" s="326"/>
      <c r="G203" s="326"/>
      <c r="H203" s="338"/>
    </row>
    <row r="204" spans="1:8" ht="16.5" customHeight="1">
      <c r="A204" s="323"/>
      <c r="B204" s="325"/>
      <c r="C204" s="325"/>
      <c r="D204" s="326"/>
      <c r="E204" s="326"/>
      <c r="F204" s="326"/>
      <c r="G204" s="326"/>
      <c r="H204" s="333"/>
    </row>
    <row r="205" spans="1:8" ht="16.5" customHeight="1">
      <c r="A205" s="335"/>
      <c r="B205" s="324"/>
      <c r="C205" s="341"/>
      <c r="D205" s="343"/>
      <c r="E205" s="327"/>
      <c r="F205" s="345"/>
      <c r="G205" s="346"/>
      <c r="H205" s="333"/>
    </row>
    <row r="206" spans="1:8" ht="16.5" customHeight="1">
      <c r="A206" s="336"/>
      <c r="B206" s="325"/>
      <c r="C206" s="342"/>
      <c r="D206" s="344"/>
      <c r="E206" s="347"/>
      <c r="F206" s="348"/>
      <c r="G206" s="349"/>
      <c r="H206" s="333"/>
    </row>
    <row r="207" spans="1:8" ht="16.5" customHeight="1">
      <c r="A207" s="322"/>
      <c r="B207" s="324"/>
      <c r="C207" s="325"/>
      <c r="D207" s="326"/>
      <c r="E207" s="327"/>
      <c r="F207" s="328"/>
      <c r="G207" s="329"/>
      <c r="H207" s="333"/>
    </row>
    <row r="208" spans="1:8" ht="16.5" customHeight="1">
      <c r="A208" s="323"/>
      <c r="B208" s="325"/>
      <c r="C208" s="325"/>
      <c r="D208" s="326"/>
      <c r="E208" s="330"/>
      <c r="F208" s="331"/>
      <c r="G208" s="332"/>
      <c r="H208" s="333"/>
    </row>
    <row r="209" spans="1:8" ht="16.5" customHeight="1">
      <c r="A209" s="322"/>
      <c r="B209" s="324"/>
      <c r="C209" s="324"/>
      <c r="D209" s="326"/>
      <c r="E209" s="327"/>
      <c r="F209" s="328"/>
      <c r="G209" s="329"/>
      <c r="H209" s="333"/>
    </row>
    <row r="210" spans="1:8" ht="16.5" customHeight="1">
      <c r="A210" s="323"/>
      <c r="B210" s="325"/>
      <c r="C210" s="325"/>
      <c r="D210" s="326"/>
      <c r="E210" s="330"/>
      <c r="F210" s="331"/>
      <c r="G210" s="332"/>
      <c r="H210" s="333"/>
    </row>
    <row r="211" spans="1:8" ht="16.5" customHeight="1">
      <c r="A211" s="322"/>
      <c r="B211" s="324"/>
      <c r="C211" s="325"/>
      <c r="D211" s="326"/>
      <c r="E211" s="327"/>
      <c r="F211" s="328"/>
      <c r="G211" s="329"/>
      <c r="H211" s="333"/>
    </row>
    <row r="212" spans="1:8" ht="16.5" customHeight="1">
      <c r="A212" s="323"/>
      <c r="B212" s="325"/>
      <c r="C212" s="325"/>
      <c r="D212" s="326"/>
      <c r="E212" s="330"/>
      <c r="F212" s="331"/>
      <c r="G212" s="332"/>
      <c r="H212" s="333"/>
    </row>
    <row r="213" spans="1:8" ht="16.5" customHeight="1">
      <c r="A213" s="322"/>
      <c r="B213" s="324"/>
      <c r="C213" s="325"/>
      <c r="D213" s="326"/>
      <c r="E213" s="327"/>
      <c r="F213" s="328"/>
      <c r="G213" s="329"/>
      <c r="H213" s="333"/>
    </row>
    <row r="214" spans="1:8" ht="17.25" customHeight="1">
      <c r="A214" s="323"/>
      <c r="B214" s="325"/>
      <c r="C214" s="325"/>
      <c r="D214" s="326"/>
      <c r="E214" s="330"/>
      <c r="F214" s="331"/>
      <c r="G214" s="332"/>
      <c r="H214" s="333"/>
    </row>
    <row r="215" spans="1:8" ht="16.5" customHeight="1">
      <c r="A215" s="322"/>
      <c r="B215" s="324"/>
      <c r="C215" s="325"/>
      <c r="D215" s="326"/>
      <c r="E215" s="327"/>
      <c r="F215" s="328"/>
      <c r="G215" s="329"/>
      <c r="H215" s="333"/>
    </row>
    <row r="216" spans="1:8" ht="16.5" customHeight="1">
      <c r="A216" s="323"/>
      <c r="B216" s="325"/>
      <c r="C216" s="325"/>
      <c r="D216" s="326"/>
      <c r="E216" s="330"/>
      <c r="F216" s="331"/>
      <c r="G216" s="332"/>
      <c r="H216" s="333"/>
    </row>
    <row r="217" spans="1:8" ht="16.5" customHeight="1">
      <c r="A217" s="322"/>
      <c r="B217" s="324"/>
      <c r="C217" s="324"/>
      <c r="D217" s="326"/>
      <c r="E217" s="327"/>
      <c r="F217" s="328"/>
      <c r="G217" s="329"/>
      <c r="H217" s="333"/>
    </row>
    <row r="218" spans="1:8" ht="16.5" customHeight="1">
      <c r="A218" s="323"/>
      <c r="B218" s="325"/>
      <c r="C218" s="325"/>
      <c r="D218" s="326"/>
      <c r="E218" s="330"/>
      <c r="F218" s="331"/>
      <c r="G218" s="332"/>
      <c r="H218" s="333"/>
    </row>
    <row r="219" spans="1:8" ht="16.5" customHeight="1">
      <c r="A219" s="322"/>
      <c r="B219" s="324"/>
      <c r="C219" s="324"/>
      <c r="D219" s="326"/>
      <c r="E219" s="327"/>
      <c r="F219" s="328"/>
      <c r="G219" s="329"/>
      <c r="H219" s="333"/>
    </row>
    <row r="220" spans="1:8" ht="16.5" customHeight="1">
      <c r="A220" s="323"/>
      <c r="B220" s="325"/>
      <c r="C220" s="325"/>
      <c r="D220" s="326"/>
      <c r="E220" s="330"/>
      <c r="F220" s="331"/>
      <c r="G220" s="332"/>
      <c r="H220" s="333"/>
    </row>
    <row r="221" spans="1:8" ht="16.5" customHeight="1">
      <c r="A221" s="322"/>
      <c r="B221" s="324"/>
      <c r="C221" s="325"/>
      <c r="D221" s="326"/>
      <c r="E221" s="337"/>
      <c r="F221" s="326"/>
      <c r="G221" s="326"/>
      <c r="H221" s="333"/>
    </row>
    <row r="222" spans="1:8" ht="16.5" customHeight="1">
      <c r="A222" s="323"/>
      <c r="B222" s="325"/>
      <c r="C222" s="325"/>
      <c r="D222" s="326"/>
      <c r="E222" s="326"/>
      <c r="F222" s="326"/>
      <c r="G222" s="326"/>
      <c r="H222" s="333"/>
    </row>
    <row r="223" spans="1:8" ht="16.5" customHeight="1">
      <c r="A223" s="322"/>
      <c r="B223" s="324"/>
      <c r="C223" s="324"/>
      <c r="D223" s="326"/>
      <c r="E223" s="337"/>
      <c r="F223" s="326"/>
      <c r="G223" s="326"/>
      <c r="H223" s="333"/>
    </row>
    <row r="224" spans="1:8" ht="16.5" customHeight="1">
      <c r="A224" s="323"/>
      <c r="B224" s="325"/>
      <c r="C224" s="325"/>
      <c r="D224" s="326"/>
      <c r="E224" s="326"/>
      <c r="F224" s="326"/>
      <c r="G224" s="326"/>
      <c r="H224" s="333"/>
    </row>
    <row r="225" spans="1:11" ht="16.5" customHeight="1">
      <c r="A225" s="339"/>
      <c r="B225" s="324"/>
      <c r="C225" s="324"/>
      <c r="D225" s="326"/>
      <c r="E225" s="327"/>
      <c r="F225" s="328"/>
      <c r="G225" s="329"/>
      <c r="H225" s="333"/>
    </row>
    <row r="226" spans="1:11" ht="16.5" customHeight="1">
      <c r="A226" s="340"/>
      <c r="B226" s="325"/>
      <c r="C226" s="325"/>
      <c r="D226" s="326"/>
      <c r="E226" s="330"/>
      <c r="F226" s="331"/>
      <c r="G226" s="332"/>
      <c r="H226" s="333"/>
    </row>
    <row r="227" spans="1:11" ht="16.5" customHeight="1">
      <c r="A227" s="322"/>
      <c r="B227" s="324"/>
      <c r="C227" s="324"/>
      <c r="D227" s="326"/>
      <c r="E227" s="327"/>
      <c r="F227" s="328"/>
      <c r="G227" s="329"/>
      <c r="H227" s="333"/>
    </row>
    <row r="228" spans="1:11" ht="16.5" customHeight="1">
      <c r="A228" s="323"/>
      <c r="B228" s="325"/>
      <c r="C228" s="325"/>
      <c r="D228" s="326"/>
      <c r="E228" s="330"/>
      <c r="F228" s="331"/>
      <c r="G228" s="332"/>
      <c r="H228" s="333"/>
      <c r="K228" s="24"/>
    </row>
    <row r="229" spans="1:11" ht="16.5" customHeight="1">
      <c r="A229" s="322"/>
      <c r="B229" s="324"/>
      <c r="C229" s="324"/>
      <c r="D229" s="326"/>
      <c r="E229" s="327"/>
      <c r="F229" s="328"/>
      <c r="G229" s="329"/>
      <c r="H229" s="338"/>
    </row>
    <row r="230" spans="1:11" ht="16.5" customHeight="1">
      <c r="A230" s="323"/>
      <c r="B230" s="325"/>
      <c r="C230" s="325"/>
      <c r="D230" s="326"/>
      <c r="E230" s="330"/>
      <c r="F230" s="331"/>
      <c r="G230" s="332"/>
      <c r="H230" s="333"/>
      <c r="K230" s="24"/>
    </row>
    <row r="231" spans="1:11" ht="16.5" customHeight="1">
      <c r="A231" s="322"/>
      <c r="B231" s="324"/>
      <c r="C231" s="324"/>
      <c r="D231" s="326"/>
      <c r="E231" s="327"/>
      <c r="F231" s="328"/>
      <c r="G231" s="329"/>
      <c r="H231" s="333"/>
      <c r="K231" s="24"/>
    </row>
    <row r="232" spans="1:11" ht="16.5" customHeight="1">
      <c r="A232" s="323"/>
      <c r="B232" s="325"/>
      <c r="C232" s="325"/>
      <c r="D232" s="326"/>
      <c r="E232" s="330"/>
      <c r="F232" s="331"/>
      <c r="G232" s="332"/>
      <c r="H232" s="333"/>
      <c r="K232" s="24"/>
    </row>
    <row r="233" spans="1:11" ht="16.5" customHeight="1">
      <c r="A233" s="322"/>
      <c r="B233" s="324"/>
      <c r="C233" s="325"/>
      <c r="D233" s="326"/>
      <c r="E233" s="337"/>
      <c r="F233" s="326"/>
      <c r="G233" s="326"/>
      <c r="H233" s="333"/>
      <c r="K233" s="24"/>
    </row>
    <row r="234" spans="1:11" ht="16.5" customHeight="1">
      <c r="A234" s="323"/>
      <c r="B234" s="325"/>
      <c r="C234" s="325"/>
      <c r="D234" s="326"/>
      <c r="E234" s="326"/>
      <c r="F234" s="326"/>
      <c r="G234" s="326"/>
      <c r="H234" s="333"/>
      <c r="K234" s="24"/>
    </row>
    <row r="235" spans="1:11" ht="16.5" customHeight="1">
      <c r="A235" s="322"/>
      <c r="B235" s="324"/>
      <c r="C235" s="325"/>
      <c r="D235" s="326"/>
      <c r="E235" s="327"/>
      <c r="F235" s="328"/>
      <c r="G235" s="329"/>
      <c r="H235" s="338"/>
      <c r="I235" s="4"/>
    </row>
    <row r="236" spans="1:11" ht="16.5" customHeight="1">
      <c r="A236" s="323"/>
      <c r="B236" s="325"/>
      <c r="C236" s="325"/>
      <c r="D236" s="326"/>
      <c r="E236" s="330"/>
      <c r="F236" s="331"/>
      <c r="G236" s="332"/>
      <c r="H236" s="333"/>
    </row>
    <row r="237" spans="1:11" ht="16.5" customHeight="1">
      <c r="A237" s="322"/>
      <c r="B237" s="324"/>
      <c r="C237" s="325"/>
      <c r="D237" s="326"/>
      <c r="E237" s="327"/>
      <c r="F237" s="328"/>
      <c r="G237" s="329"/>
      <c r="H237" s="333"/>
    </row>
    <row r="238" spans="1:11" ht="16.5" customHeight="1">
      <c r="A238" s="323"/>
      <c r="B238" s="325"/>
      <c r="C238" s="325"/>
      <c r="D238" s="326"/>
      <c r="E238" s="330"/>
      <c r="F238" s="331"/>
      <c r="G238" s="332"/>
      <c r="H238" s="333"/>
    </row>
    <row r="239" spans="1:11" ht="16.5" customHeight="1">
      <c r="A239" s="322"/>
      <c r="B239" s="324"/>
      <c r="C239" s="325"/>
      <c r="D239" s="326"/>
      <c r="E239" s="327"/>
      <c r="F239" s="328"/>
      <c r="G239" s="329"/>
      <c r="H239" s="333"/>
    </row>
    <row r="240" spans="1:11" ht="16.5" customHeight="1">
      <c r="A240" s="323"/>
      <c r="B240" s="325"/>
      <c r="C240" s="325"/>
      <c r="D240" s="326"/>
      <c r="E240" s="330"/>
      <c r="F240" s="331"/>
      <c r="G240" s="332"/>
      <c r="H240" s="333"/>
    </row>
    <row r="241" spans="1:11" ht="16.5" customHeight="1">
      <c r="A241" s="322"/>
      <c r="B241" s="324"/>
      <c r="C241" s="325"/>
      <c r="D241" s="326"/>
      <c r="E241" s="327"/>
      <c r="F241" s="328"/>
      <c r="G241" s="329"/>
      <c r="H241" s="333"/>
    </row>
    <row r="242" spans="1:11" ht="16.5" customHeight="1">
      <c r="A242" s="323"/>
      <c r="B242" s="325"/>
      <c r="C242" s="325"/>
      <c r="D242" s="326"/>
      <c r="E242" s="330"/>
      <c r="F242" s="331"/>
      <c r="G242" s="332"/>
      <c r="H242" s="333"/>
    </row>
    <row r="243" spans="1:11" ht="16.5" customHeight="1">
      <c r="A243" s="322"/>
      <c r="B243" s="324"/>
      <c r="C243" s="325"/>
      <c r="D243" s="326"/>
      <c r="E243" s="327"/>
      <c r="F243" s="328"/>
      <c r="G243" s="329"/>
      <c r="H243" s="333"/>
    </row>
    <row r="244" spans="1:11" ht="16.5" customHeight="1">
      <c r="A244" s="323"/>
      <c r="B244" s="325"/>
      <c r="C244" s="325"/>
      <c r="D244" s="326"/>
      <c r="E244" s="330"/>
      <c r="F244" s="331"/>
      <c r="G244" s="332"/>
      <c r="H244" s="333"/>
    </row>
    <row r="245" spans="1:11" ht="16.5" customHeight="1">
      <c r="A245" s="322"/>
      <c r="B245" s="324"/>
      <c r="C245" s="326"/>
      <c r="D245" s="326"/>
      <c r="E245" s="327"/>
      <c r="F245" s="328"/>
      <c r="G245" s="329"/>
      <c r="H245" s="333"/>
    </row>
    <row r="246" spans="1:11" ht="16.5" customHeight="1">
      <c r="A246" s="323"/>
      <c r="B246" s="325"/>
      <c r="C246" s="326"/>
      <c r="D246" s="326"/>
      <c r="E246" s="330"/>
      <c r="F246" s="331"/>
      <c r="G246" s="332"/>
      <c r="H246" s="333"/>
    </row>
    <row r="247" spans="1:11" ht="16.5" customHeight="1">
      <c r="A247" s="322"/>
      <c r="B247" s="324"/>
      <c r="C247" s="325"/>
      <c r="D247" s="326"/>
      <c r="E247" s="337"/>
      <c r="F247" s="326"/>
      <c r="G247" s="326"/>
      <c r="H247" s="333"/>
      <c r="I247" s="3"/>
      <c r="K247" s="23"/>
    </row>
    <row r="248" spans="1:11" ht="16.5" customHeight="1">
      <c r="A248" s="323"/>
      <c r="B248" s="325"/>
      <c r="C248" s="325"/>
      <c r="D248" s="326"/>
      <c r="E248" s="326"/>
      <c r="F248" s="326"/>
      <c r="G248" s="326"/>
      <c r="H248" s="333"/>
    </row>
    <row r="249" spans="1:11" ht="16.5" customHeight="1">
      <c r="A249" s="322"/>
      <c r="B249" s="324"/>
      <c r="C249" s="325"/>
      <c r="D249" s="326"/>
      <c r="E249" s="327"/>
      <c r="F249" s="328"/>
      <c r="G249" s="329"/>
      <c r="H249" s="333"/>
    </row>
    <row r="250" spans="1:11" ht="16.5" customHeight="1">
      <c r="A250" s="323"/>
      <c r="B250" s="325"/>
      <c r="C250" s="325"/>
      <c r="D250" s="326"/>
      <c r="E250" s="330"/>
      <c r="F250" s="331"/>
      <c r="G250" s="332"/>
      <c r="H250" s="333"/>
    </row>
    <row r="251" spans="1:11" ht="16.5" customHeight="1">
      <c r="A251" s="322"/>
      <c r="B251" s="324"/>
      <c r="C251" s="324"/>
      <c r="D251" s="326"/>
      <c r="E251" s="327"/>
      <c r="F251" s="328"/>
      <c r="G251" s="329"/>
      <c r="H251" s="333"/>
    </row>
    <row r="252" spans="1:11" ht="16.5" customHeight="1">
      <c r="A252" s="323"/>
      <c r="B252" s="325"/>
      <c r="C252" s="325"/>
      <c r="D252" s="326"/>
      <c r="E252" s="330"/>
      <c r="F252" s="331"/>
      <c r="G252" s="332"/>
      <c r="H252" s="333"/>
    </row>
    <row r="253" spans="1:11" ht="16.5" customHeight="1">
      <c r="A253" s="335"/>
      <c r="B253" s="324"/>
      <c r="C253" s="325"/>
      <c r="D253" s="326"/>
      <c r="E253" s="327"/>
      <c r="F253" s="328"/>
      <c r="G253" s="329"/>
      <c r="H253" s="333"/>
    </row>
    <row r="254" spans="1:11" ht="16.5" customHeight="1">
      <c r="A254" s="336"/>
      <c r="B254" s="325"/>
      <c r="C254" s="325"/>
      <c r="D254" s="326"/>
      <c r="E254" s="330"/>
      <c r="F254" s="331"/>
      <c r="G254" s="332"/>
      <c r="H254" s="333"/>
    </row>
    <row r="255" spans="1:11" ht="16.5" customHeight="1">
      <c r="A255" s="334"/>
      <c r="B255" s="324"/>
      <c r="C255" s="324"/>
      <c r="D255" s="326"/>
      <c r="E255" s="327"/>
      <c r="F255" s="328"/>
      <c r="G255" s="329"/>
      <c r="H255" s="333"/>
    </row>
    <row r="256" spans="1:11" ht="16.5" customHeight="1">
      <c r="A256" s="323"/>
      <c r="B256" s="325"/>
      <c r="C256" s="325"/>
      <c r="D256" s="326"/>
      <c r="E256" s="330"/>
      <c r="F256" s="331"/>
      <c r="G256" s="332"/>
      <c r="H256" s="333"/>
    </row>
    <row r="257" spans="1:8" ht="16.5" customHeight="1">
      <c r="A257" s="322"/>
      <c r="B257" s="324"/>
      <c r="C257" s="325"/>
      <c r="D257" s="326"/>
      <c r="E257" s="327"/>
      <c r="F257" s="328"/>
      <c r="G257" s="329"/>
      <c r="H257" s="333"/>
    </row>
    <row r="258" spans="1:8" ht="16.5" customHeight="1">
      <c r="A258" s="323"/>
      <c r="B258" s="325"/>
      <c r="C258" s="325"/>
      <c r="D258" s="326"/>
      <c r="E258" s="330"/>
      <c r="F258" s="331"/>
      <c r="G258" s="332"/>
      <c r="H258" s="333"/>
    </row>
    <row r="259" spans="1:8" ht="16.5" customHeight="1">
      <c r="A259" s="313"/>
      <c r="B259" s="314"/>
      <c r="C259" s="307"/>
      <c r="D259" s="309"/>
      <c r="E259" s="315"/>
      <c r="F259" s="316"/>
      <c r="G259" s="317"/>
      <c r="H259" s="321"/>
    </row>
    <row r="260" spans="1:8" ht="16.5" customHeight="1">
      <c r="A260" s="305"/>
      <c r="B260" s="307"/>
      <c r="C260" s="307"/>
      <c r="D260" s="309"/>
      <c r="E260" s="318"/>
      <c r="F260" s="319"/>
      <c r="G260" s="320"/>
      <c r="H260" s="311"/>
    </row>
    <row r="261" spans="1:8" ht="16.5" customHeight="1">
      <c r="A261" s="313"/>
      <c r="B261" s="314"/>
      <c r="C261" s="307"/>
      <c r="D261" s="309"/>
      <c r="E261" s="315"/>
      <c r="F261" s="316"/>
      <c r="G261" s="317"/>
      <c r="H261" s="321"/>
    </row>
    <row r="262" spans="1:8" ht="16.5" customHeight="1">
      <c r="A262" s="305"/>
      <c r="B262" s="307"/>
      <c r="C262" s="307"/>
      <c r="D262" s="309"/>
      <c r="E262" s="318"/>
      <c r="F262" s="319"/>
      <c r="G262" s="320"/>
      <c r="H262" s="311"/>
    </row>
    <row r="263" spans="1:8">
      <c r="A263" s="305"/>
      <c r="B263" s="307"/>
      <c r="C263" s="307"/>
      <c r="D263" s="309"/>
      <c r="E263" s="309"/>
      <c r="F263" s="309"/>
      <c r="G263" s="309"/>
      <c r="H263" s="311"/>
    </row>
    <row r="264" spans="1:8">
      <c r="A264" s="305"/>
      <c r="B264" s="307"/>
      <c r="C264" s="307"/>
      <c r="D264" s="309"/>
      <c r="E264" s="309"/>
      <c r="F264" s="309"/>
      <c r="G264" s="309"/>
      <c r="H264" s="311"/>
    </row>
    <row r="265" spans="1:8" ht="16.5" customHeight="1">
      <c r="A265" s="313"/>
      <c r="B265" s="314"/>
      <c r="C265" s="307"/>
      <c r="D265" s="309"/>
      <c r="E265" s="315"/>
      <c r="F265" s="316"/>
      <c r="G265" s="317"/>
      <c r="H265" s="311"/>
    </row>
    <row r="266" spans="1:8" ht="16.5" customHeight="1">
      <c r="A266" s="305"/>
      <c r="B266" s="307"/>
      <c r="C266" s="307"/>
      <c r="D266" s="309"/>
      <c r="E266" s="318"/>
      <c r="F266" s="319"/>
      <c r="G266" s="320"/>
      <c r="H266" s="311"/>
    </row>
    <row r="267" spans="1:8" ht="16.5" customHeight="1">
      <c r="A267" s="313"/>
      <c r="B267" s="314"/>
      <c r="C267" s="307"/>
      <c r="D267" s="309"/>
      <c r="E267" s="315"/>
      <c r="F267" s="316"/>
      <c r="G267" s="317"/>
      <c r="H267" s="311"/>
    </row>
    <row r="268" spans="1:8" ht="16.5" customHeight="1">
      <c r="A268" s="305"/>
      <c r="B268" s="307"/>
      <c r="C268" s="307"/>
      <c r="D268" s="309"/>
      <c r="E268" s="318"/>
      <c r="F268" s="319"/>
      <c r="G268" s="320"/>
      <c r="H268" s="311"/>
    </row>
    <row r="269" spans="1:8" ht="16.5" customHeight="1">
      <c r="A269" s="313"/>
      <c r="B269" s="314"/>
      <c r="C269" s="307"/>
      <c r="D269" s="309"/>
      <c r="E269" s="315"/>
      <c r="F269" s="316"/>
      <c r="G269" s="317"/>
      <c r="H269" s="321"/>
    </row>
    <row r="270" spans="1:8" ht="16.5" customHeight="1">
      <c r="A270" s="305"/>
      <c r="B270" s="307"/>
      <c r="C270" s="307"/>
      <c r="D270" s="309"/>
      <c r="E270" s="318"/>
      <c r="F270" s="319"/>
      <c r="G270" s="320"/>
      <c r="H270" s="311"/>
    </row>
    <row r="271" spans="1:8" ht="16.5" customHeight="1">
      <c r="A271" s="313"/>
      <c r="B271" s="314"/>
      <c r="C271" s="307"/>
      <c r="D271" s="309"/>
      <c r="E271" s="315"/>
      <c r="F271" s="316"/>
      <c r="G271" s="317"/>
      <c r="H271" s="321"/>
    </row>
    <row r="272" spans="1:8" ht="16.5" customHeight="1">
      <c r="A272" s="305"/>
      <c r="B272" s="307"/>
      <c r="C272" s="307"/>
      <c r="D272" s="309"/>
      <c r="E272" s="318"/>
      <c r="F272" s="319"/>
      <c r="G272" s="320"/>
      <c r="H272" s="311"/>
    </row>
    <row r="273" spans="1:8">
      <c r="A273" s="305"/>
      <c r="B273" s="307"/>
      <c r="C273" s="307"/>
      <c r="D273" s="309"/>
      <c r="E273" s="309"/>
      <c r="F273" s="309"/>
      <c r="G273" s="309"/>
      <c r="H273" s="311"/>
    </row>
    <row r="274" spans="1:8">
      <c r="A274" s="305"/>
      <c r="B274" s="307"/>
      <c r="C274" s="307"/>
      <c r="D274" s="309"/>
      <c r="E274" s="309"/>
      <c r="F274" s="309"/>
      <c r="G274" s="309"/>
      <c r="H274" s="311"/>
    </row>
    <row r="275" spans="1:8" ht="16.5" customHeight="1">
      <c r="A275" s="313"/>
      <c r="B275" s="314"/>
      <c r="C275" s="307"/>
      <c r="D275" s="309"/>
      <c r="E275" s="315"/>
      <c r="F275" s="316"/>
      <c r="G275" s="317"/>
      <c r="H275" s="311"/>
    </row>
    <row r="276" spans="1:8" ht="16.5" customHeight="1">
      <c r="A276" s="305"/>
      <c r="B276" s="307"/>
      <c r="C276" s="307"/>
      <c r="D276" s="309"/>
      <c r="E276" s="318"/>
      <c r="F276" s="319"/>
      <c r="G276" s="320"/>
      <c r="H276" s="311"/>
    </row>
    <row r="277" spans="1:8" ht="16.5" customHeight="1">
      <c r="A277" s="313"/>
      <c r="B277" s="314"/>
      <c r="C277" s="307"/>
      <c r="D277" s="309"/>
      <c r="E277" s="315"/>
      <c r="F277" s="316"/>
      <c r="G277" s="317"/>
      <c r="H277" s="321"/>
    </row>
    <row r="278" spans="1:8" ht="16.5" customHeight="1">
      <c r="A278" s="305"/>
      <c r="B278" s="307"/>
      <c r="C278" s="307"/>
      <c r="D278" s="309"/>
      <c r="E278" s="318"/>
      <c r="F278" s="319"/>
      <c r="G278" s="320"/>
      <c r="H278" s="311"/>
    </row>
    <row r="279" spans="1:8" ht="16.5" customHeight="1">
      <c r="A279" s="313"/>
      <c r="B279" s="314"/>
      <c r="C279" s="307"/>
      <c r="D279" s="309"/>
      <c r="E279" s="315"/>
      <c r="F279" s="316"/>
      <c r="G279" s="317"/>
      <c r="H279" s="321"/>
    </row>
    <row r="280" spans="1:8" ht="16.5" customHeight="1">
      <c r="A280" s="305"/>
      <c r="B280" s="307"/>
      <c r="C280" s="307"/>
      <c r="D280" s="309"/>
      <c r="E280" s="318"/>
      <c r="F280" s="319"/>
      <c r="G280" s="320"/>
      <c r="H280" s="311"/>
    </row>
    <row r="281" spans="1:8">
      <c r="A281" s="305"/>
      <c r="B281" s="307"/>
      <c r="C281" s="307"/>
      <c r="D281" s="309"/>
      <c r="E281" s="309"/>
      <c r="F281" s="309"/>
      <c r="G281" s="309"/>
      <c r="H281" s="311"/>
    </row>
    <row r="282" spans="1:8">
      <c r="A282" s="305"/>
      <c r="B282" s="307"/>
      <c r="C282" s="307"/>
      <c r="D282" s="309"/>
      <c r="E282" s="309"/>
      <c r="F282" s="309"/>
      <c r="G282" s="309"/>
      <c r="H282" s="311"/>
    </row>
    <row r="283" spans="1:8">
      <c r="A283" s="305"/>
      <c r="B283" s="307"/>
      <c r="C283" s="307"/>
      <c r="D283" s="309"/>
      <c r="E283" s="309"/>
      <c r="F283" s="309"/>
      <c r="G283" s="309"/>
      <c r="H283" s="311"/>
    </row>
    <row r="284" spans="1:8" ht="17.25" thickBot="1">
      <c r="A284" s="306"/>
      <c r="B284" s="308"/>
      <c r="C284" s="308"/>
      <c r="D284" s="310"/>
      <c r="E284" s="310"/>
      <c r="F284" s="310"/>
      <c r="G284" s="310"/>
      <c r="H284" s="312"/>
    </row>
  </sheetData>
  <mergeCells count="825">
    <mergeCell ref="B56:H56"/>
    <mergeCell ref="A283:A284"/>
    <mergeCell ref="B283:B284"/>
    <mergeCell ref="C283:C284"/>
    <mergeCell ref="D283:D284"/>
    <mergeCell ref="E283:G284"/>
    <mergeCell ref="H283:H284"/>
    <mergeCell ref="A281:A282"/>
    <mergeCell ref="B281:B282"/>
    <mergeCell ref="C281:C282"/>
    <mergeCell ref="D281:D282"/>
    <mergeCell ref="E281:G282"/>
    <mergeCell ref="H281:H282"/>
    <mergeCell ref="A279:A280"/>
    <mergeCell ref="B279:B280"/>
    <mergeCell ref="C279:C280"/>
    <mergeCell ref="D279:D280"/>
    <mergeCell ref="E279:G280"/>
    <mergeCell ref="H279:H280"/>
    <mergeCell ref="A277:A278"/>
    <mergeCell ref="B277:B278"/>
    <mergeCell ref="C277:C278"/>
    <mergeCell ref="D277:D278"/>
    <mergeCell ref="E277:G278"/>
    <mergeCell ref="H277:H278"/>
    <mergeCell ref="A275:A276"/>
    <mergeCell ref="B275:B276"/>
    <mergeCell ref="C275:C276"/>
    <mergeCell ref="D275:D276"/>
    <mergeCell ref="E275:G276"/>
    <mergeCell ref="H275:H276"/>
    <mergeCell ref="A273:A274"/>
    <mergeCell ref="B273:B274"/>
    <mergeCell ref="C273:C274"/>
    <mergeCell ref="D273:D274"/>
    <mergeCell ref="E273:G274"/>
    <mergeCell ref="H273:H274"/>
    <mergeCell ref="A271:A272"/>
    <mergeCell ref="B271:B272"/>
    <mergeCell ref="C271:C272"/>
    <mergeCell ref="D271:D272"/>
    <mergeCell ref="E271:G272"/>
    <mergeCell ref="H271:H272"/>
    <mergeCell ref="A269:A270"/>
    <mergeCell ref="B269:B270"/>
    <mergeCell ref="C269:C270"/>
    <mergeCell ref="D269:D270"/>
    <mergeCell ref="E269:G270"/>
    <mergeCell ref="H269:H270"/>
    <mergeCell ref="A267:A268"/>
    <mergeCell ref="B267:B268"/>
    <mergeCell ref="C267:C268"/>
    <mergeCell ref="D267:D268"/>
    <mergeCell ref="E267:G268"/>
    <mergeCell ref="H267:H268"/>
    <mergeCell ref="A265:A266"/>
    <mergeCell ref="B265:B266"/>
    <mergeCell ref="C265:C266"/>
    <mergeCell ref="D265:D266"/>
    <mergeCell ref="E265:G266"/>
    <mergeCell ref="H265:H266"/>
    <mergeCell ref="A263:A264"/>
    <mergeCell ref="B263:B264"/>
    <mergeCell ref="C263:C264"/>
    <mergeCell ref="D263:D264"/>
    <mergeCell ref="E263:G264"/>
    <mergeCell ref="H263:H264"/>
    <mergeCell ref="A261:A262"/>
    <mergeCell ref="B261:B262"/>
    <mergeCell ref="C261:C262"/>
    <mergeCell ref="D261:D262"/>
    <mergeCell ref="E261:G262"/>
    <mergeCell ref="H261:H262"/>
    <mergeCell ref="A259:A260"/>
    <mergeCell ref="B259:B260"/>
    <mergeCell ref="C259:C260"/>
    <mergeCell ref="D259:D260"/>
    <mergeCell ref="E259:G260"/>
    <mergeCell ref="H259:H260"/>
    <mergeCell ref="A257:A258"/>
    <mergeCell ref="B257:B258"/>
    <mergeCell ref="C257:C258"/>
    <mergeCell ref="D257:D258"/>
    <mergeCell ref="E257:G258"/>
    <mergeCell ref="H257:H258"/>
    <mergeCell ref="A255:A256"/>
    <mergeCell ref="B255:B256"/>
    <mergeCell ref="C255:C256"/>
    <mergeCell ref="D255:D256"/>
    <mergeCell ref="E255:G256"/>
    <mergeCell ref="H255:H256"/>
    <mergeCell ref="A253:A254"/>
    <mergeCell ref="B253:B254"/>
    <mergeCell ref="C253:C254"/>
    <mergeCell ref="D253:D254"/>
    <mergeCell ref="E253:G254"/>
    <mergeCell ref="H253:H254"/>
    <mergeCell ref="A251:A252"/>
    <mergeCell ref="B251:B252"/>
    <mergeCell ref="C251:C252"/>
    <mergeCell ref="D251:D252"/>
    <mergeCell ref="E251:G252"/>
    <mergeCell ref="H251:H252"/>
    <mergeCell ref="A249:A250"/>
    <mergeCell ref="B249:B250"/>
    <mergeCell ref="C249:C250"/>
    <mergeCell ref="D249:D250"/>
    <mergeCell ref="E249:G250"/>
    <mergeCell ref="H249:H250"/>
    <mergeCell ref="A247:A248"/>
    <mergeCell ref="B247:B248"/>
    <mergeCell ref="C247:C248"/>
    <mergeCell ref="D247:D248"/>
    <mergeCell ref="E247:G248"/>
    <mergeCell ref="H247:H248"/>
    <mergeCell ref="A245:A246"/>
    <mergeCell ref="B245:B246"/>
    <mergeCell ref="C245:C246"/>
    <mergeCell ref="D245:D246"/>
    <mergeCell ref="E245:G246"/>
    <mergeCell ref="H245:H246"/>
    <mergeCell ref="A243:A244"/>
    <mergeCell ref="B243:B244"/>
    <mergeCell ref="C243:C244"/>
    <mergeCell ref="D243:D244"/>
    <mergeCell ref="E243:G244"/>
    <mergeCell ref="H243:H244"/>
    <mergeCell ref="A241:A242"/>
    <mergeCell ref="B241:B242"/>
    <mergeCell ref="C241:C242"/>
    <mergeCell ref="D241:D242"/>
    <mergeCell ref="E241:G242"/>
    <mergeCell ref="H241:H242"/>
    <mergeCell ref="A239:A240"/>
    <mergeCell ref="B239:B240"/>
    <mergeCell ref="C239:C240"/>
    <mergeCell ref="D239:D240"/>
    <mergeCell ref="E239:G240"/>
    <mergeCell ref="H239:H240"/>
    <mergeCell ref="A237:A238"/>
    <mergeCell ref="B237:B238"/>
    <mergeCell ref="C237:C238"/>
    <mergeCell ref="D237:D238"/>
    <mergeCell ref="E237:G238"/>
    <mergeCell ref="H237:H238"/>
    <mergeCell ref="A235:A236"/>
    <mergeCell ref="B235:B236"/>
    <mergeCell ref="C235:C236"/>
    <mergeCell ref="D235:D236"/>
    <mergeCell ref="E235:G236"/>
    <mergeCell ref="H235:H236"/>
    <mergeCell ref="A233:A234"/>
    <mergeCell ref="B233:B234"/>
    <mergeCell ref="C233:C234"/>
    <mergeCell ref="D233:D234"/>
    <mergeCell ref="E233:G234"/>
    <mergeCell ref="H233:H234"/>
    <mergeCell ref="A231:A232"/>
    <mergeCell ref="B231:B232"/>
    <mergeCell ref="C231:C232"/>
    <mergeCell ref="D231:D232"/>
    <mergeCell ref="E231:G232"/>
    <mergeCell ref="H231:H232"/>
    <mergeCell ref="A229:A230"/>
    <mergeCell ref="B229:B230"/>
    <mergeCell ref="C229:C230"/>
    <mergeCell ref="D229:D230"/>
    <mergeCell ref="E229:G230"/>
    <mergeCell ref="H229:H230"/>
    <mergeCell ref="A227:A228"/>
    <mergeCell ref="B227:B228"/>
    <mergeCell ref="C227:C228"/>
    <mergeCell ref="D227:D228"/>
    <mergeCell ref="E227:G228"/>
    <mergeCell ref="H227:H228"/>
    <mergeCell ref="A225:A226"/>
    <mergeCell ref="B225:B226"/>
    <mergeCell ref="C225:C226"/>
    <mergeCell ref="D225:D226"/>
    <mergeCell ref="E225:G226"/>
    <mergeCell ref="H225:H226"/>
    <mergeCell ref="A223:A224"/>
    <mergeCell ref="B223:B224"/>
    <mergeCell ref="C223:C224"/>
    <mergeCell ref="D223:D224"/>
    <mergeCell ref="E223:G224"/>
    <mergeCell ref="H223:H224"/>
    <mergeCell ref="A221:A222"/>
    <mergeCell ref="B221:B222"/>
    <mergeCell ref="C221:C222"/>
    <mergeCell ref="D221:D222"/>
    <mergeCell ref="E221:G222"/>
    <mergeCell ref="H221:H222"/>
    <mergeCell ref="A219:A220"/>
    <mergeCell ref="B219:B220"/>
    <mergeCell ref="C219:C220"/>
    <mergeCell ref="D219:D220"/>
    <mergeCell ref="E219:G220"/>
    <mergeCell ref="H219:H220"/>
    <mergeCell ref="A217:A218"/>
    <mergeCell ref="B217:B218"/>
    <mergeCell ref="C217:C218"/>
    <mergeCell ref="D217:D218"/>
    <mergeCell ref="E217:G218"/>
    <mergeCell ref="H217:H218"/>
    <mergeCell ref="A215:A216"/>
    <mergeCell ref="B215:B216"/>
    <mergeCell ref="C215:C216"/>
    <mergeCell ref="D215:D216"/>
    <mergeCell ref="E215:G216"/>
    <mergeCell ref="H215:H216"/>
    <mergeCell ref="A213:A214"/>
    <mergeCell ref="B213:B214"/>
    <mergeCell ref="C213:C214"/>
    <mergeCell ref="D213:D214"/>
    <mergeCell ref="E213:G214"/>
    <mergeCell ref="H213:H214"/>
    <mergeCell ref="A211:A212"/>
    <mergeCell ref="B211:B212"/>
    <mergeCell ref="C211:C212"/>
    <mergeCell ref="D211:D212"/>
    <mergeCell ref="E211:G212"/>
    <mergeCell ref="H211:H212"/>
    <mergeCell ref="A209:A210"/>
    <mergeCell ref="B209:B210"/>
    <mergeCell ref="C209:C210"/>
    <mergeCell ref="D209:D210"/>
    <mergeCell ref="E209:G210"/>
    <mergeCell ref="H209:H210"/>
    <mergeCell ref="A207:A208"/>
    <mergeCell ref="B207:B208"/>
    <mergeCell ref="C207:C208"/>
    <mergeCell ref="D207:D208"/>
    <mergeCell ref="E207:G208"/>
    <mergeCell ref="H207:H208"/>
    <mergeCell ref="A205:A206"/>
    <mergeCell ref="B205:B206"/>
    <mergeCell ref="C205:C206"/>
    <mergeCell ref="D205:D206"/>
    <mergeCell ref="E205:G206"/>
    <mergeCell ref="H205:H206"/>
    <mergeCell ref="A203:A204"/>
    <mergeCell ref="B203:B204"/>
    <mergeCell ref="C203:C204"/>
    <mergeCell ref="D203:D204"/>
    <mergeCell ref="E203:G204"/>
    <mergeCell ref="H203:H204"/>
    <mergeCell ref="A201:A202"/>
    <mergeCell ref="B201:B202"/>
    <mergeCell ref="C201:C202"/>
    <mergeCell ref="D201:D202"/>
    <mergeCell ref="E201:G202"/>
    <mergeCell ref="H201:H202"/>
    <mergeCell ref="A199:A200"/>
    <mergeCell ref="B199:B200"/>
    <mergeCell ref="C199:C200"/>
    <mergeCell ref="D199:D200"/>
    <mergeCell ref="E199:G200"/>
    <mergeCell ref="H199:H200"/>
    <mergeCell ref="A197:A198"/>
    <mergeCell ref="B197:B198"/>
    <mergeCell ref="C197:C198"/>
    <mergeCell ref="D197:D198"/>
    <mergeCell ref="E197:G198"/>
    <mergeCell ref="H197:H198"/>
    <mergeCell ref="A195:A196"/>
    <mergeCell ref="B195:B196"/>
    <mergeCell ref="C195:C196"/>
    <mergeCell ref="D195:D196"/>
    <mergeCell ref="E195:G196"/>
    <mergeCell ref="H195:H196"/>
    <mergeCell ref="A193:A194"/>
    <mergeCell ref="B193:B194"/>
    <mergeCell ref="C193:C194"/>
    <mergeCell ref="D193:D194"/>
    <mergeCell ref="E193:G194"/>
    <mergeCell ref="H193:H194"/>
    <mergeCell ref="A191:A192"/>
    <mergeCell ref="B191:B192"/>
    <mergeCell ref="C191:C192"/>
    <mergeCell ref="D191:D192"/>
    <mergeCell ref="E191:G192"/>
    <mergeCell ref="H191:H192"/>
    <mergeCell ref="A189:A190"/>
    <mergeCell ref="B189:B190"/>
    <mergeCell ref="C189:C190"/>
    <mergeCell ref="D189:D190"/>
    <mergeCell ref="E189:G190"/>
    <mergeCell ref="H189:H190"/>
    <mergeCell ref="A187:A188"/>
    <mergeCell ref="B187:B188"/>
    <mergeCell ref="C187:C188"/>
    <mergeCell ref="D187:D188"/>
    <mergeCell ref="E187:G188"/>
    <mergeCell ref="H187:H188"/>
    <mergeCell ref="A185:A186"/>
    <mergeCell ref="B185:B186"/>
    <mergeCell ref="C185:C186"/>
    <mergeCell ref="D185:D186"/>
    <mergeCell ref="E185:G186"/>
    <mergeCell ref="H185:H186"/>
    <mergeCell ref="A183:A184"/>
    <mergeCell ref="B183:B184"/>
    <mergeCell ref="C183:C184"/>
    <mergeCell ref="D183:D184"/>
    <mergeCell ref="E183:G184"/>
    <mergeCell ref="H183:H184"/>
    <mergeCell ref="A181:A182"/>
    <mergeCell ref="B181:B182"/>
    <mergeCell ref="C181:C182"/>
    <mergeCell ref="D181:D182"/>
    <mergeCell ref="E181:G182"/>
    <mergeCell ref="H181:H182"/>
    <mergeCell ref="A179:A180"/>
    <mergeCell ref="B179:B180"/>
    <mergeCell ref="C179:C180"/>
    <mergeCell ref="D179:D180"/>
    <mergeCell ref="E179:G180"/>
    <mergeCell ref="H179:H180"/>
    <mergeCell ref="A177:A178"/>
    <mergeCell ref="B177:B178"/>
    <mergeCell ref="C177:C178"/>
    <mergeCell ref="D177:D178"/>
    <mergeCell ref="E177:G178"/>
    <mergeCell ref="H177:H178"/>
    <mergeCell ref="A175:A176"/>
    <mergeCell ref="B175:B176"/>
    <mergeCell ref="C175:C176"/>
    <mergeCell ref="D175:D176"/>
    <mergeCell ref="E175:G176"/>
    <mergeCell ref="H175:H176"/>
    <mergeCell ref="A173:A174"/>
    <mergeCell ref="B173:B174"/>
    <mergeCell ref="C173:C174"/>
    <mergeCell ref="D173:D174"/>
    <mergeCell ref="E173:G174"/>
    <mergeCell ref="H173:H174"/>
    <mergeCell ref="A171:A172"/>
    <mergeCell ref="B171:B172"/>
    <mergeCell ref="C171:C172"/>
    <mergeCell ref="D171:D172"/>
    <mergeCell ref="E171:G172"/>
    <mergeCell ref="H171:H172"/>
    <mergeCell ref="A169:A170"/>
    <mergeCell ref="B169:B170"/>
    <mergeCell ref="C169:C170"/>
    <mergeCell ref="D169:D170"/>
    <mergeCell ref="E169:G170"/>
    <mergeCell ref="H169:H170"/>
    <mergeCell ref="A167:A168"/>
    <mergeCell ref="B167:B168"/>
    <mergeCell ref="C167:C168"/>
    <mergeCell ref="D167:D168"/>
    <mergeCell ref="E167:G168"/>
    <mergeCell ref="H167:H168"/>
    <mergeCell ref="A165:A166"/>
    <mergeCell ref="B165:B166"/>
    <mergeCell ref="C165:C166"/>
    <mergeCell ref="D165:D166"/>
    <mergeCell ref="E165:G166"/>
    <mergeCell ref="H165:H166"/>
    <mergeCell ref="A163:A164"/>
    <mergeCell ref="B163:B164"/>
    <mergeCell ref="C163:C164"/>
    <mergeCell ref="D163:D164"/>
    <mergeCell ref="E163:G164"/>
    <mergeCell ref="H163:H164"/>
    <mergeCell ref="A161:A162"/>
    <mergeCell ref="B161:B162"/>
    <mergeCell ref="C161:C162"/>
    <mergeCell ref="D161:D162"/>
    <mergeCell ref="E161:G162"/>
    <mergeCell ref="H161:H162"/>
    <mergeCell ref="A159:A160"/>
    <mergeCell ref="B159:B160"/>
    <mergeCell ref="C159:C160"/>
    <mergeCell ref="D159:D160"/>
    <mergeCell ref="E159:G160"/>
    <mergeCell ref="H159:H160"/>
    <mergeCell ref="A157:A158"/>
    <mergeCell ref="B157:B158"/>
    <mergeCell ref="C157:C158"/>
    <mergeCell ref="D157:D158"/>
    <mergeCell ref="E157:G158"/>
    <mergeCell ref="H157:H158"/>
    <mergeCell ref="A155:A156"/>
    <mergeCell ref="B155:B156"/>
    <mergeCell ref="C155:C156"/>
    <mergeCell ref="D155:D156"/>
    <mergeCell ref="E155:G156"/>
    <mergeCell ref="H155:H156"/>
    <mergeCell ref="A153:A154"/>
    <mergeCell ref="B153:B154"/>
    <mergeCell ref="C153:C154"/>
    <mergeCell ref="D153:D154"/>
    <mergeCell ref="E153:G154"/>
    <mergeCell ref="H153:H154"/>
    <mergeCell ref="A151:A152"/>
    <mergeCell ref="B151:B152"/>
    <mergeCell ref="C151:C152"/>
    <mergeCell ref="D151:D152"/>
    <mergeCell ref="E151:G152"/>
    <mergeCell ref="H151:H152"/>
    <mergeCell ref="A149:A150"/>
    <mergeCell ref="B149:B150"/>
    <mergeCell ref="C149:C150"/>
    <mergeCell ref="D149:D150"/>
    <mergeCell ref="E149:G150"/>
    <mergeCell ref="H149:H150"/>
    <mergeCell ref="A147:A148"/>
    <mergeCell ref="B147:B148"/>
    <mergeCell ref="C147:C148"/>
    <mergeCell ref="D147:D148"/>
    <mergeCell ref="E147:G148"/>
    <mergeCell ref="H147:H148"/>
    <mergeCell ref="A145:A146"/>
    <mergeCell ref="B145:B146"/>
    <mergeCell ref="C145:C146"/>
    <mergeCell ref="D145:D146"/>
    <mergeCell ref="E145:G146"/>
    <mergeCell ref="H145:H146"/>
    <mergeCell ref="A143:A144"/>
    <mergeCell ref="B143:B144"/>
    <mergeCell ref="C143:C144"/>
    <mergeCell ref="D143:D144"/>
    <mergeCell ref="E143:G144"/>
    <mergeCell ref="H143:H144"/>
    <mergeCell ref="A141:A142"/>
    <mergeCell ref="B141:B142"/>
    <mergeCell ref="C141:C142"/>
    <mergeCell ref="D141:D142"/>
    <mergeCell ref="E141:G142"/>
    <mergeCell ref="H141:H142"/>
    <mergeCell ref="A139:A140"/>
    <mergeCell ref="B139:B140"/>
    <mergeCell ref="C139:C140"/>
    <mergeCell ref="D139:D140"/>
    <mergeCell ref="E139:G140"/>
    <mergeCell ref="H139:H140"/>
    <mergeCell ref="A137:A138"/>
    <mergeCell ref="B137:B138"/>
    <mergeCell ref="C137:C138"/>
    <mergeCell ref="D137:D138"/>
    <mergeCell ref="E137:G138"/>
    <mergeCell ref="H137:H138"/>
    <mergeCell ref="A133:H136"/>
    <mergeCell ref="A131:A132"/>
    <mergeCell ref="B131:B132"/>
    <mergeCell ref="C131:C132"/>
    <mergeCell ref="D131:D132"/>
    <mergeCell ref="E131:G132"/>
    <mergeCell ref="H131:H132"/>
    <mergeCell ref="A129:A130"/>
    <mergeCell ref="B129:B130"/>
    <mergeCell ref="C129:C130"/>
    <mergeCell ref="D129:D130"/>
    <mergeCell ref="E129:G130"/>
    <mergeCell ref="H129:H130"/>
    <mergeCell ref="A127:A128"/>
    <mergeCell ref="B127:B128"/>
    <mergeCell ref="C127:C128"/>
    <mergeCell ref="D127:D128"/>
    <mergeCell ref="E127:G128"/>
    <mergeCell ref="H127:H128"/>
    <mergeCell ref="A125:A126"/>
    <mergeCell ref="B125:B126"/>
    <mergeCell ref="C125:C126"/>
    <mergeCell ref="D125:D126"/>
    <mergeCell ref="E125:G126"/>
    <mergeCell ref="H125:H126"/>
    <mergeCell ref="A123:A124"/>
    <mergeCell ref="B123:B124"/>
    <mergeCell ref="C123:C124"/>
    <mergeCell ref="D123:D124"/>
    <mergeCell ref="E123:G124"/>
    <mergeCell ref="H123:H124"/>
    <mergeCell ref="A121:A122"/>
    <mergeCell ref="B121:B122"/>
    <mergeCell ref="C121:C122"/>
    <mergeCell ref="D121:D122"/>
    <mergeCell ref="E121:G122"/>
    <mergeCell ref="H121:H122"/>
    <mergeCell ref="A119:A120"/>
    <mergeCell ref="B119:B120"/>
    <mergeCell ref="C119:C120"/>
    <mergeCell ref="D119:D120"/>
    <mergeCell ref="E119:G120"/>
    <mergeCell ref="H119:H120"/>
    <mergeCell ref="A117:A118"/>
    <mergeCell ref="B117:B118"/>
    <mergeCell ref="C117:C118"/>
    <mergeCell ref="D117:D118"/>
    <mergeCell ref="E117:G118"/>
    <mergeCell ref="H117:H118"/>
    <mergeCell ref="A115:A116"/>
    <mergeCell ref="B115:B116"/>
    <mergeCell ref="C115:C116"/>
    <mergeCell ref="D115:D116"/>
    <mergeCell ref="E115:G116"/>
    <mergeCell ref="H115:H116"/>
    <mergeCell ref="A113:A114"/>
    <mergeCell ref="B113:H114"/>
    <mergeCell ref="A111:A112"/>
    <mergeCell ref="B111:B112"/>
    <mergeCell ref="C111:C112"/>
    <mergeCell ref="D111:D112"/>
    <mergeCell ref="E111:G112"/>
    <mergeCell ref="H111:H112"/>
    <mergeCell ref="A109:A110"/>
    <mergeCell ref="B109:B110"/>
    <mergeCell ref="C109:C110"/>
    <mergeCell ref="D109:D110"/>
    <mergeCell ref="E109:G110"/>
    <mergeCell ref="H109:H110"/>
    <mergeCell ref="A107:A108"/>
    <mergeCell ref="B107:B108"/>
    <mergeCell ref="C107:C108"/>
    <mergeCell ref="D107:D108"/>
    <mergeCell ref="E107:G108"/>
    <mergeCell ref="H107:H108"/>
    <mergeCell ref="A105:A106"/>
    <mergeCell ref="B105:B106"/>
    <mergeCell ref="C105:C106"/>
    <mergeCell ref="D105:D106"/>
    <mergeCell ref="E105:G106"/>
    <mergeCell ref="H105:H106"/>
    <mergeCell ref="A103:A104"/>
    <mergeCell ref="B103:B104"/>
    <mergeCell ref="C103:C104"/>
    <mergeCell ref="D103:D104"/>
    <mergeCell ref="E103:G104"/>
    <mergeCell ref="H103:H104"/>
    <mergeCell ref="A101:A102"/>
    <mergeCell ref="B101:B102"/>
    <mergeCell ref="C101:C102"/>
    <mergeCell ref="D101:D102"/>
    <mergeCell ref="E101:G102"/>
    <mergeCell ref="H101:H102"/>
    <mergeCell ref="A99:A100"/>
    <mergeCell ref="B99:B100"/>
    <mergeCell ref="C99:C100"/>
    <mergeCell ref="D99:D100"/>
    <mergeCell ref="E99:G100"/>
    <mergeCell ref="H99:H100"/>
    <mergeCell ref="A97:A98"/>
    <mergeCell ref="B97:B98"/>
    <mergeCell ref="C97:C98"/>
    <mergeCell ref="D97:D98"/>
    <mergeCell ref="E97:G98"/>
    <mergeCell ref="H97:H98"/>
    <mergeCell ref="A95:A96"/>
    <mergeCell ref="B95:B96"/>
    <mergeCell ref="C95:C96"/>
    <mergeCell ref="D95:D96"/>
    <mergeCell ref="E95:G96"/>
    <mergeCell ref="H95:H96"/>
    <mergeCell ref="A93:A94"/>
    <mergeCell ref="B93:B94"/>
    <mergeCell ref="C93:C94"/>
    <mergeCell ref="D93:D94"/>
    <mergeCell ref="E93:G94"/>
    <mergeCell ref="H93:H94"/>
    <mergeCell ref="A91:A92"/>
    <mergeCell ref="B91:B92"/>
    <mergeCell ref="C91:C92"/>
    <mergeCell ref="D91:D92"/>
    <mergeCell ref="E91:G92"/>
    <mergeCell ref="H91:H92"/>
    <mergeCell ref="A89:A90"/>
    <mergeCell ref="B89:B90"/>
    <mergeCell ref="C89:C90"/>
    <mergeCell ref="D89:D90"/>
    <mergeCell ref="E89:G90"/>
    <mergeCell ref="H89:H90"/>
    <mergeCell ref="A87:A88"/>
    <mergeCell ref="B87:B88"/>
    <mergeCell ref="C87:C88"/>
    <mergeCell ref="D87:D88"/>
    <mergeCell ref="E87:G88"/>
    <mergeCell ref="H87:H88"/>
    <mergeCell ref="A85:A86"/>
    <mergeCell ref="B85:B86"/>
    <mergeCell ref="C85:C86"/>
    <mergeCell ref="D85:D86"/>
    <mergeCell ref="E85:G86"/>
    <mergeCell ref="H85:H86"/>
    <mergeCell ref="A83:A84"/>
    <mergeCell ref="A81:A82"/>
    <mergeCell ref="B81:B82"/>
    <mergeCell ref="C81:C82"/>
    <mergeCell ref="D81:D82"/>
    <mergeCell ref="E81:G82"/>
    <mergeCell ref="H81:H82"/>
    <mergeCell ref="B83:H84"/>
    <mergeCell ref="A79:A80"/>
    <mergeCell ref="B79:B80"/>
    <mergeCell ref="C79:C80"/>
    <mergeCell ref="D79:D80"/>
    <mergeCell ref="E79:G80"/>
    <mergeCell ref="H79:H80"/>
    <mergeCell ref="A77:A78"/>
    <mergeCell ref="B77:B78"/>
    <mergeCell ref="C77:C78"/>
    <mergeCell ref="D77:D78"/>
    <mergeCell ref="E77:G78"/>
    <mergeCell ref="H77:H78"/>
    <mergeCell ref="A75:A76"/>
    <mergeCell ref="B75:B76"/>
    <mergeCell ref="C75:C76"/>
    <mergeCell ref="D75:D76"/>
    <mergeCell ref="E75:G76"/>
    <mergeCell ref="H75:H76"/>
    <mergeCell ref="A73:A74"/>
    <mergeCell ref="B73:B74"/>
    <mergeCell ref="C73:C74"/>
    <mergeCell ref="D73:D74"/>
    <mergeCell ref="E73:G74"/>
    <mergeCell ref="H73:H74"/>
    <mergeCell ref="A71:A72"/>
    <mergeCell ref="B71:B72"/>
    <mergeCell ref="C71:C72"/>
    <mergeCell ref="D71:D72"/>
    <mergeCell ref="E71:G72"/>
    <mergeCell ref="H71:H72"/>
    <mergeCell ref="A69:A70"/>
    <mergeCell ref="B69:B70"/>
    <mergeCell ref="C69:C70"/>
    <mergeCell ref="D69:D70"/>
    <mergeCell ref="E69:G70"/>
    <mergeCell ref="H69:H70"/>
    <mergeCell ref="A67:A68"/>
    <mergeCell ref="B67:B68"/>
    <mergeCell ref="C67:C68"/>
    <mergeCell ref="D67:D68"/>
    <mergeCell ref="E67:G68"/>
    <mergeCell ref="H67:H68"/>
    <mergeCell ref="A65:A66"/>
    <mergeCell ref="B65:B66"/>
    <mergeCell ref="C65:C66"/>
    <mergeCell ref="D65:D66"/>
    <mergeCell ref="E65:G66"/>
    <mergeCell ref="H65:H66"/>
    <mergeCell ref="A63:A64"/>
    <mergeCell ref="B63:B64"/>
    <mergeCell ref="C63:C64"/>
    <mergeCell ref="D63:D64"/>
    <mergeCell ref="E63:G64"/>
    <mergeCell ref="H63:H64"/>
    <mergeCell ref="A61:A62"/>
    <mergeCell ref="B61:B62"/>
    <mergeCell ref="C61:C62"/>
    <mergeCell ref="D61:D62"/>
    <mergeCell ref="E61:G62"/>
    <mergeCell ref="H61:H62"/>
    <mergeCell ref="A59:A60"/>
    <mergeCell ref="B59:B60"/>
    <mergeCell ref="C59:C60"/>
    <mergeCell ref="D59:D60"/>
    <mergeCell ref="E59:G60"/>
    <mergeCell ref="H59:H60"/>
    <mergeCell ref="A57:A58"/>
    <mergeCell ref="B57:B58"/>
    <mergeCell ref="C57:C58"/>
    <mergeCell ref="D57:D58"/>
    <mergeCell ref="E57:G58"/>
    <mergeCell ref="H57:H58"/>
    <mergeCell ref="A54:A55"/>
    <mergeCell ref="B54:B55"/>
    <mergeCell ref="C54:C55"/>
    <mergeCell ref="D54:D55"/>
    <mergeCell ref="E54:G55"/>
    <mergeCell ref="H54:H55"/>
    <mergeCell ref="A52:A53"/>
    <mergeCell ref="B52:B53"/>
    <mergeCell ref="C52:C53"/>
    <mergeCell ref="D52:D53"/>
    <mergeCell ref="E52:G53"/>
    <mergeCell ref="H52:H53"/>
    <mergeCell ref="A50:A51"/>
    <mergeCell ref="B50:B51"/>
    <mergeCell ref="C50:C51"/>
    <mergeCell ref="D50:D51"/>
    <mergeCell ref="E50:G51"/>
    <mergeCell ref="H50:H51"/>
    <mergeCell ref="A48:A49"/>
    <mergeCell ref="B48:B49"/>
    <mergeCell ref="C48:C49"/>
    <mergeCell ref="D48:D49"/>
    <mergeCell ref="E48:G49"/>
    <mergeCell ref="H48:H49"/>
    <mergeCell ref="A46:A47"/>
    <mergeCell ref="B46:B47"/>
    <mergeCell ref="C46:C47"/>
    <mergeCell ref="D46:D47"/>
    <mergeCell ref="E46:G47"/>
    <mergeCell ref="H46:H47"/>
    <mergeCell ref="A44:A45"/>
    <mergeCell ref="B44:B45"/>
    <mergeCell ref="C44:C45"/>
    <mergeCell ref="D44:D45"/>
    <mergeCell ref="E44:G45"/>
    <mergeCell ref="H44:H45"/>
    <mergeCell ref="A42:A43"/>
    <mergeCell ref="B42:B43"/>
    <mergeCell ref="C42:C43"/>
    <mergeCell ref="D42:D43"/>
    <mergeCell ref="E42:G43"/>
    <mergeCell ref="H42:H43"/>
    <mergeCell ref="A40:A41"/>
    <mergeCell ref="B40:B41"/>
    <mergeCell ref="C40:C41"/>
    <mergeCell ref="D40:D41"/>
    <mergeCell ref="E40:G41"/>
    <mergeCell ref="H40:H41"/>
    <mergeCell ref="A38:A39"/>
    <mergeCell ref="B38:B39"/>
    <mergeCell ref="C38:C39"/>
    <mergeCell ref="D38:D39"/>
    <mergeCell ref="E38:G39"/>
    <mergeCell ref="H38:H39"/>
    <mergeCell ref="A36:A37"/>
    <mergeCell ref="B36:B37"/>
    <mergeCell ref="C36:C37"/>
    <mergeCell ref="D36:D37"/>
    <mergeCell ref="E36:G37"/>
    <mergeCell ref="H36:H37"/>
    <mergeCell ref="A34:A35"/>
    <mergeCell ref="B34:B35"/>
    <mergeCell ref="C34:C35"/>
    <mergeCell ref="D34:D35"/>
    <mergeCell ref="E34:G35"/>
    <mergeCell ref="H34:H35"/>
    <mergeCell ref="A26:A27"/>
    <mergeCell ref="B26:B27"/>
    <mergeCell ref="C26:C27"/>
    <mergeCell ref="D26:D27"/>
    <mergeCell ref="E26:G27"/>
    <mergeCell ref="H26:H27"/>
    <mergeCell ref="A32:A33"/>
    <mergeCell ref="B32:B33"/>
    <mergeCell ref="C32:C33"/>
    <mergeCell ref="D32:D33"/>
    <mergeCell ref="E32:G33"/>
    <mergeCell ref="H32:H33"/>
    <mergeCell ref="B28:H31"/>
    <mergeCell ref="A24:A25"/>
    <mergeCell ref="B24:B25"/>
    <mergeCell ref="C24:C25"/>
    <mergeCell ref="D24:D25"/>
    <mergeCell ref="E24:G25"/>
    <mergeCell ref="H24:H25"/>
    <mergeCell ref="A22:A23"/>
    <mergeCell ref="B22:B23"/>
    <mergeCell ref="C22:C23"/>
    <mergeCell ref="D22:D23"/>
    <mergeCell ref="E22:G23"/>
    <mergeCell ref="H22:H23"/>
    <mergeCell ref="A20:A21"/>
    <mergeCell ref="B20:B21"/>
    <mergeCell ref="C20:C21"/>
    <mergeCell ref="D20:D21"/>
    <mergeCell ref="E20:G21"/>
    <mergeCell ref="H20:H21"/>
    <mergeCell ref="A18:A19"/>
    <mergeCell ref="B18:B19"/>
    <mergeCell ref="C18:C19"/>
    <mergeCell ref="D18:D19"/>
    <mergeCell ref="E18:G19"/>
    <mergeCell ref="H18:H19"/>
    <mergeCell ref="A16:A17"/>
    <mergeCell ref="B16:B17"/>
    <mergeCell ref="C16:C17"/>
    <mergeCell ref="D16:D17"/>
    <mergeCell ref="E16:G17"/>
    <mergeCell ref="H16:H17"/>
    <mergeCell ref="A14:A15"/>
    <mergeCell ref="B14:B15"/>
    <mergeCell ref="C14:C15"/>
    <mergeCell ref="D14:D15"/>
    <mergeCell ref="E14:G15"/>
    <mergeCell ref="H14:H15"/>
    <mergeCell ref="A12:A13"/>
    <mergeCell ref="B12:B13"/>
    <mergeCell ref="C12:C13"/>
    <mergeCell ref="D12:D13"/>
    <mergeCell ref="E12:G13"/>
    <mergeCell ref="H12:H13"/>
    <mergeCell ref="A10:A11"/>
    <mergeCell ref="B10:B11"/>
    <mergeCell ref="C10:C11"/>
    <mergeCell ref="D10:D11"/>
    <mergeCell ref="E10:G11"/>
    <mergeCell ref="H10:H11"/>
    <mergeCell ref="A8:A9"/>
    <mergeCell ref="B8:B9"/>
    <mergeCell ref="C8:C9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A3:H3"/>
    <mergeCell ref="A4:A5"/>
    <mergeCell ref="B4:B5"/>
    <mergeCell ref="C4:C5"/>
    <mergeCell ref="D4:D5"/>
    <mergeCell ref="E4:G5"/>
    <mergeCell ref="H4:H5"/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</mergeCells>
  <phoneticPr fontId="1" type="noConversion"/>
  <pageMargins left="0" right="0" top="0" bottom="0" header="0" footer="0"/>
  <pageSetup paperSize="9" scale="3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277"/>
  <sheetViews>
    <sheetView showGridLines="0" zoomScale="115" zoomScaleNormal="115" workbookViewId="0">
      <pane xSplit="8" ySplit="2" topLeftCell="I102" activePane="bottomRight" state="frozen"/>
      <selection pane="topRight" activeCell="I1" sqref="I1"/>
      <selection pane="bottomLeft" activeCell="A3" sqref="A3"/>
      <selection pane="bottomRight" activeCell="H124" sqref="H124:H125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9" max="9" width="9.5" bestFit="1" customWidth="1"/>
    <col min="11" max="11" width="9.5" bestFit="1" customWidth="1"/>
    <col min="12" max="12" width="11" bestFit="1" customWidth="1"/>
  </cols>
  <sheetData>
    <row r="1" spans="1:18" ht="35.25" customHeight="1" thickBot="1">
      <c r="A1" s="388" t="s">
        <v>1433</v>
      </c>
      <c r="B1" s="389"/>
      <c r="C1" s="402" t="s">
        <v>27</v>
      </c>
      <c r="D1" s="403"/>
      <c r="E1" s="21" t="s">
        <v>26</v>
      </c>
      <c r="F1" s="20">
        <f>H1/26</f>
        <v>770553.84615384613</v>
      </c>
      <c r="G1" s="21" t="s">
        <v>4</v>
      </c>
      <c r="H1" s="22">
        <f>SUM(D4:D277)</f>
        <v>20034400</v>
      </c>
      <c r="I1" s="392"/>
      <c r="J1" s="338"/>
      <c r="K1" s="394"/>
      <c r="L1" s="396"/>
      <c r="M1" s="377"/>
      <c r="N1" s="379"/>
      <c r="O1" s="381"/>
      <c r="P1" s="383"/>
      <c r="Q1" s="377"/>
      <c r="R1" s="376"/>
    </row>
    <row r="2" spans="1:18" ht="17.25" thickBot="1">
      <c r="A2" s="27" t="s">
        <v>0</v>
      </c>
      <c r="B2" s="28" t="s">
        <v>1</v>
      </c>
      <c r="C2" s="28" t="s">
        <v>2</v>
      </c>
      <c r="D2" s="29" t="s">
        <v>3</v>
      </c>
      <c r="E2" s="385" t="s">
        <v>25</v>
      </c>
      <c r="F2" s="386"/>
      <c r="G2" s="387"/>
      <c r="H2" s="25" t="s">
        <v>5</v>
      </c>
      <c r="I2" s="393"/>
      <c r="J2" s="333"/>
      <c r="K2" s="395"/>
      <c r="L2" s="397"/>
      <c r="M2" s="378"/>
      <c r="N2" s="380"/>
      <c r="O2" s="382"/>
      <c r="P2" s="384"/>
      <c r="Q2" s="378"/>
      <c r="R2" s="376"/>
    </row>
    <row r="3" spans="1:18" ht="36" customHeight="1">
      <c r="A3" s="441" t="s">
        <v>1452</v>
      </c>
      <c r="B3" s="442"/>
      <c r="C3" s="442"/>
      <c r="D3" s="442"/>
      <c r="E3" s="442"/>
      <c r="F3" s="442"/>
      <c r="G3" s="442"/>
      <c r="H3" s="443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322" t="s">
        <v>1434</v>
      </c>
      <c r="B4" s="444" t="s">
        <v>1435</v>
      </c>
      <c r="C4" s="325" t="s">
        <v>1440</v>
      </c>
      <c r="D4" s="326">
        <v>660000</v>
      </c>
      <c r="E4" s="327" t="s">
        <v>1437</v>
      </c>
      <c r="F4" s="328"/>
      <c r="G4" s="329"/>
      <c r="H4" s="398" t="s">
        <v>1524</v>
      </c>
      <c r="J4" s="42" t="s">
        <v>932</v>
      </c>
    </row>
    <row r="5" spans="1:18" ht="16.5" customHeight="1">
      <c r="A5" s="323"/>
      <c r="B5" s="445"/>
      <c r="C5" s="325"/>
      <c r="D5" s="326"/>
      <c r="E5" s="330"/>
      <c r="F5" s="331"/>
      <c r="G5" s="332"/>
      <c r="H5" s="399"/>
      <c r="J5" s="43"/>
      <c r="L5">
        <v>18000</v>
      </c>
    </row>
    <row r="6" spans="1:18" ht="16.5" customHeight="1">
      <c r="A6" s="322" t="s">
        <v>1434</v>
      </c>
      <c r="B6" s="439" t="s">
        <v>1436</v>
      </c>
      <c r="C6" s="341" t="s">
        <v>1441</v>
      </c>
      <c r="D6" s="343">
        <v>275000</v>
      </c>
      <c r="E6" s="327" t="s">
        <v>1439</v>
      </c>
      <c r="F6" s="345"/>
      <c r="G6" s="346"/>
      <c r="H6" s="398" t="s">
        <v>1438</v>
      </c>
      <c r="J6" s="43" t="s">
        <v>933</v>
      </c>
      <c r="L6">
        <v>21000</v>
      </c>
    </row>
    <row r="7" spans="1:18" ht="16.5" customHeight="1">
      <c r="A7" s="323"/>
      <c r="B7" s="440"/>
      <c r="C7" s="352"/>
      <c r="D7" s="344"/>
      <c r="E7" s="347"/>
      <c r="F7" s="348"/>
      <c r="G7" s="349"/>
      <c r="H7" s="399"/>
      <c r="J7" s="43"/>
      <c r="L7">
        <v>16000</v>
      </c>
    </row>
    <row r="8" spans="1:18" ht="16.5" customHeight="1">
      <c r="A8" s="322" t="s">
        <v>1442</v>
      </c>
      <c r="B8" s="439" t="s">
        <v>1443</v>
      </c>
      <c r="C8" s="353"/>
      <c r="D8" s="343">
        <v>200000</v>
      </c>
      <c r="E8" s="327" t="s">
        <v>1444</v>
      </c>
      <c r="F8" s="345"/>
      <c r="G8" s="346"/>
      <c r="H8" s="398" t="s">
        <v>1445</v>
      </c>
      <c r="J8" s="43"/>
      <c r="L8">
        <v>16000</v>
      </c>
    </row>
    <row r="9" spans="1:18" ht="14.25" customHeight="1">
      <c r="A9" s="323"/>
      <c r="B9" s="440"/>
      <c r="C9" s="352"/>
      <c r="D9" s="344"/>
      <c r="E9" s="347"/>
      <c r="F9" s="348"/>
      <c r="G9" s="349"/>
      <c r="H9" s="399"/>
      <c r="L9">
        <v>67500</v>
      </c>
    </row>
    <row r="10" spans="1:18" ht="16.5" customHeight="1">
      <c r="A10" s="322" t="s">
        <v>1442</v>
      </c>
      <c r="B10" s="439" t="s">
        <v>1446</v>
      </c>
      <c r="C10" s="353"/>
      <c r="D10" s="343">
        <v>17000</v>
      </c>
      <c r="E10" s="547">
        <v>620</v>
      </c>
      <c r="F10" s="548"/>
      <c r="G10" s="549"/>
      <c r="H10" s="398" t="s">
        <v>1447</v>
      </c>
      <c r="L10">
        <v>150000</v>
      </c>
    </row>
    <row r="11" spans="1:18" ht="16.5" customHeight="1">
      <c r="A11" s="323"/>
      <c r="B11" s="440"/>
      <c r="C11" s="352"/>
      <c r="D11" s="344"/>
      <c r="E11" s="550"/>
      <c r="F11" s="551"/>
      <c r="G11" s="552"/>
      <c r="H11" s="399"/>
    </row>
    <row r="12" spans="1:18" ht="16.5" customHeight="1">
      <c r="A12" s="322"/>
      <c r="B12" s="541" t="s">
        <v>1497</v>
      </c>
      <c r="C12" s="542"/>
      <c r="D12" s="542"/>
      <c r="E12" s="542"/>
      <c r="F12" s="542"/>
      <c r="G12" s="542"/>
      <c r="H12" s="543"/>
    </row>
    <row r="13" spans="1:18" ht="56.25" customHeight="1">
      <c r="A13" s="323"/>
      <c r="B13" s="544"/>
      <c r="C13" s="545"/>
      <c r="D13" s="545"/>
      <c r="E13" s="545"/>
      <c r="F13" s="545"/>
      <c r="G13" s="545"/>
      <c r="H13" s="546"/>
    </row>
    <row r="14" spans="1:18" ht="16.5" customHeight="1">
      <c r="A14" s="322" t="s">
        <v>1449</v>
      </c>
      <c r="B14" s="444" t="s">
        <v>1450</v>
      </c>
      <c r="C14" s="324" t="s">
        <v>1470</v>
      </c>
      <c r="D14" s="343">
        <v>990000</v>
      </c>
      <c r="E14" s="327" t="s">
        <v>1456</v>
      </c>
      <c r="F14" s="328"/>
      <c r="G14" s="329"/>
      <c r="H14" s="398" t="s">
        <v>1455</v>
      </c>
    </row>
    <row r="15" spans="1:18" ht="16.5" customHeight="1">
      <c r="A15" s="323"/>
      <c r="B15" s="445"/>
      <c r="C15" s="325"/>
      <c r="D15" s="344"/>
      <c r="E15" s="330"/>
      <c r="F15" s="331"/>
      <c r="G15" s="332"/>
      <c r="H15" s="399"/>
    </row>
    <row r="16" spans="1:18" ht="16.5" customHeight="1">
      <c r="A16" s="322" t="s">
        <v>1449</v>
      </c>
      <c r="B16" s="439" t="s">
        <v>1448</v>
      </c>
      <c r="C16" s="324" t="s">
        <v>1471</v>
      </c>
      <c r="D16" s="326">
        <v>60000</v>
      </c>
      <c r="E16" s="327" t="s">
        <v>1454</v>
      </c>
      <c r="F16" s="345"/>
      <c r="G16" s="346"/>
      <c r="H16" s="398" t="s">
        <v>1451</v>
      </c>
    </row>
    <row r="17" spans="1:11" ht="39" customHeight="1">
      <c r="A17" s="323"/>
      <c r="B17" s="440"/>
      <c r="C17" s="325"/>
      <c r="D17" s="326"/>
      <c r="E17" s="347"/>
      <c r="F17" s="348"/>
      <c r="G17" s="349"/>
      <c r="H17" s="399"/>
    </row>
    <row r="18" spans="1:11" ht="16.5" customHeight="1">
      <c r="A18" s="322" t="s">
        <v>1459</v>
      </c>
      <c r="B18" s="439" t="s">
        <v>1458</v>
      </c>
      <c r="C18" s="341"/>
      <c r="D18" s="326">
        <v>4300</v>
      </c>
      <c r="E18" s="327"/>
      <c r="F18" s="328"/>
      <c r="G18" s="329"/>
      <c r="H18" s="398" t="s">
        <v>1463</v>
      </c>
    </row>
    <row r="19" spans="1:11" ht="16.5" customHeight="1">
      <c r="A19" s="323"/>
      <c r="B19" s="440"/>
      <c r="C19" s="342"/>
      <c r="D19" s="326"/>
      <c r="E19" s="330"/>
      <c r="F19" s="331"/>
      <c r="G19" s="332"/>
      <c r="H19" s="399"/>
    </row>
    <row r="20" spans="1:11" ht="16.5" customHeight="1">
      <c r="A20" s="322" t="s">
        <v>1457</v>
      </c>
      <c r="B20" s="439" t="s">
        <v>1460</v>
      </c>
      <c r="C20" s="341" t="s">
        <v>1464</v>
      </c>
      <c r="D20" s="343">
        <v>110000</v>
      </c>
      <c r="E20" s="327" t="s">
        <v>1469</v>
      </c>
      <c r="F20" s="345"/>
      <c r="G20" s="346"/>
      <c r="H20" s="398" t="s">
        <v>1462</v>
      </c>
    </row>
    <row r="21" spans="1:11" ht="16.5" customHeight="1">
      <c r="A21" s="323"/>
      <c r="B21" s="440"/>
      <c r="C21" s="342"/>
      <c r="D21" s="344"/>
      <c r="E21" s="347"/>
      <c r="F21" s="348"/>
      <c r="G21" s="349"/>
      <c r="H21" s="399"/>
    </row>
    <row r="22" spans="1:11" ht="16.5" customHeight="1">
      <c r="A22" s="322" t="s">
        <v>1457</v>
      </c>
      <c r="B22" s="439" t="s">
        <v>1458</v>
      </c>
      <c r="C22" s="341" t="s">
        <v>1464</v>
      </c>
      <c r="D22" s="343">
        <v>134600</v>
      </c>
      <c r="E22" s="327" t="s">
        <v>1472</v>
      </c>
      <c r="F22" s="345"/>
      <c r="G22" s="346"/>
      <c r="H22" s="398" t="s">
        <v>1461</v>
      </c>
    </row>
    <row r="23" spans="1:11" ht="16.5" customHeight="1">
      <c r="A23" s="323"/>
      <c r="B23" s="440"/>
      <c r="C23" s="352"/>
      <c r="D23" s="344"/>
      <c r="E23" s="347"/>
      <c r="F23" s="348"/>
      <c r="G23" s="349"/>
      <c r="H23" s="399"/>
      <c r="J23">
        <v>88000</v>
      </c>
    </row>
    <row r="24" spans="1:11" ht="16.5" customHeight="1">
      <c r="A24" s="322" t="s">
        <v>1465</v>
      </c>
      <c r="B24" s="444" t="s">
        <v>1466</v>
      </c>
      <c r="C24" s="324" t="s">
        <v>1467</v>
      </c>
      <c r="D24" s="326">
        <v>144000</v>
      </c>
      <c r="E24" s="327" t="s">
        <v>1468</v>
      </c>
      <c r="F24" s="328"/>
      <c r="G24" s="329"/>
      <c r="H24" s="398" t="s">
        <v>1473</v>
      </c>
    </row>
    <row r="25" spans="1:11" ht="16.5" customHeight="1">
      <c r="A25" s="323"/>
      <c r="B25" s="445"/>
      <c r="C25" s="325"/>
      <c r="D25" s="326"/>
      <c r="E25" s="330"/>
      <c r="F25" s="331"/>
      <c r="G25" s="332"/>
      <c r="H25" s="399"/>
    </row>
    <row r="26" spans="1:11" ht="16.5" customHeight="1">
      <c r="A26" s="322" t="s">
        <v>1474</v>
      </c>
      <c r="B26" s="444" t="s">
        <v>1475</v>
      </c>
      <c r="C26" s="325"/>
      <c r="D26" s="326">
        <v>104000</v>
      </c>
      <c r="E26" s="327" t="s">
        <v>1476</v>
      </c>
      <c r="F26" s="328"/>
      <c r="G26" s="329"/>
      <c r="H26" s="398" t="s">
        <v>1477</v>
      </c>
    </row>
    <row r="27" spans="1:11" ht="16.5" customHeight="1">
      <c r="A27" s="323"/>
      <c r="B27" s="445"/>
      <c r="C27" s="325"/>
      <c r="D27" s="326"/>
      <c r="E27" s="330"/>
      <c r="F27" s="331"/>
      <c r="G27" s="332"/>
      <c r="H27" s="399"/>
    </row>
    <row r="28" spans="1:11" ht="16.5" customHeight="1">
      <c r="A28" s="335" t="s">
        <v>1478</v>
      </c>
      <c r="B28" s="404" t="s">
        <v>1479</v>
      </c>
      <c r="C28" s="324" t="s">
        <v>1496</v>
      </c>
      <c r="D28" s="326">
        <v>430000</v>
      </c>
      <c r="E28" s="327" t="s">
        <v>1492</v>
      </c>
      <c r="F28" s="328"/>
      <c r="G28" s="329"/>
      <c r="H28" s="360" t="s">
        <v>1480</v>
      </c>
    </row>
    <row r="29" spans="1:11" ht="22.5" customHeight="1">
      <c r="A29" s="336"/>
      <c r="B29" s="405"/>
      <c r="C29" s="325"/>
      <c r="D29" s="326"/>
      <c r="E29" s="330"/>
      <c r="F29" s="331"/>
      <c r="G29" s="332"/>
      <c r="H29" s="359"/>
      <c r="K29" s="24"/>
    </row>
    <row r="30" spans="1:11" ht="16.5" customHeight="1">
      <c r="A30" s="335" t="s">
        <v>1478</v>
      </c>
      <c r="B30" s="444" t="s">
        <v>1481</v>
      </c>
      <c r="C30" s="341" t="s">
        <v>1495</v>
      </c>
      <c r="D30" s="326">
        <v>304000</v>
      </c>
      <c r="E30" s="364" t="s">
        <v>1491</v>
      </c>
      <c r="F30" s="365"/>
      <c r="G30" s="366"/>
      <c r="H30" s="360" t="s">
        <v>1546</v>
      </c>
    </row>
    <row r="31" spans="1:11" ht="16.5" customHeight="1">
      <c r="A31" s="336"/>
      <c r="B31" s="445"/>
      <c r="C31" s="342"/>
      <c r="D31" s="326"/>
      <c r="E31" s="347"/>
      <c r="F31" s="348"/>
      <c r="G31" s="349"/>
      <c r="H31" s="359"/>
    </row>
    <row r="32" spans="1:11" ht="16.5" customHeight="1">
      <c r="A32" s="335" t="s">
        <v>1478</v>
      </c>
      <c r="B32" s="439" t="s">
        <v>1482</v>
      </c>
      <c r="C32" s="341" t="s">
        <v>1494</v>
      </c>
      <c r="D32" s="326">
        <v>200000</v>
      </c>
      <c r="E32" s="327" t="s">
        <v>1490</v>
      </c>
      <c r="F32" s="345"/>
      <c r="G32" s="346"/>
      <c r="H32" s="360" t="s">
        <v>1486</v>
      </c>
    </row>
    <row r="33" spans="1:11" ht="16.5" customHeight="1">
      <c r="A33" s="336"/>
      <c r="B33" s="440"/>
      <c r="C33" s="342"/>
      <c r="D33" s="326"/>
      <c r="E33" s="347"/>
      <c r="F33" s="348"/>
      <c r="G33" s="349"/>
      <c r="H33" s="359"/>
    </row>
    <row r="34" spans="1:11" ht="16.5" customHeight="1">
      <c r="A34" s="335" t="s">
        <v>1478</v>
      </c>
      <c r="B34" s="444" t="s">
        <v>1483</v>
      </c>
      <c r="C34" s="341"/>
      <c r="D34" s="343">
        <v>170000</v>
      </c>
      <c r="E34" s="327" t="s">
        <v>1489</v>
      </c>
      <c r="F34" s="328"/>
      <c r="G34" s="329"/>
      <c r="H34" s="360" t="s">
        <v>1487</v>
      </c>
      <c r="K34" s="24"/>
    </row>
    <row r="35" spans="1:11" ht="16.5" customHeight="1">
      <c r="A35" s="336"/>
      <c r="B35" s="445"/>
      <c r="C35" s="342"/>
      <c r="D35" s="344"/>
      <c r="E35" s="330"/>
      <c r="F35" s="331"/>
      <c r="G35" s="332"/>
      <c r="H35" s="359"/>
      <c r="J35">
        <v>66</v>
      </c>
      <c r="K35" s="24"/>
    </row>
    <row r="36" spans="1:11" ht="16.5" customHeight="1">
      <c r="A36" s="335" t="s">
        <v>1484</v>
      </c>
      <c r="B36" s="444" t="s">
        <v>1485</v>
      </c>
      <c r="C36" s="341" t="s">
        <v>1493</v>
      </c>
      <c r="D36" s="326">
        <v>500000</v>
      </c>
      <c r="E36" s="337" t="s">
        <v>1488</v>
      </c>
      <c r="F36" s="326"/>
      <c r="G36" s="326"/>
      <c r="H36" s="360" t="s">
        <v>146</v>
      </c>
      <c r="I36" s="4"/>
      <c r="J36">
        <v>30</v>
      </c>
    </row>
    <row r="37" spans="1:11" ht="16.5" customHeight="1">
      <c r="A37" s="336"/>
      <c r="B37" s="445"/>
      <c r="C37" s="342"/>
      <c r="D37" s="326"/>
      <c r="E37" s="326"/>
      <c r="F37" s="326"/>
      <c r="G37" s="326"/>
      <c r="H37" s="359"/>
      <c r="J37">
        <v>20</v>
      </c>
    </row>
    <row r="38" spans="1:11" ht="16.5" customHeight="1">
      <c r="A38" s="335"/>
      <c r="B38" s="553" t="s">
        <v>1540</v>
      </c>
      <c r="C38" s="554"/>
      <c r="D38" s="554"/>
      <c r="E38" s="554"/>
      <c r="F38" s="554"/>
      <c r="G38" s="554"/>
      <c r="H38" s="555"/>
      <c r="J38">
        <v>17</v>
      </c>
    </row>
    <row r="39" spans="1:11" ht="16.5" customHeight="1">
      <c r="A39" s="336"/>
      <c r="B39" s="556"/>
      <c r="C39" s="557"/>
      <c r="D39" s="557"/>
      <c r="E39" s="557"/>
      <c r="F39" s="557"/>
      <c r="G39" s="557"/>
      <c r="H39" s="558"/>
      <c r="J39">
        <v>50</v>
      </c>
    </row>
    <row r="40" spans="1:11" ht="16.5" customHeight="1">
      <c r="A40" s="322"/>
      <c r="B40" s="556"/>
      <c r="C40" s="557"/>
      <c r="D40" s="557"/>
      <c r="E40" s="557"/>
      <c r="F40" s="557"/>
      <c r="G40" s="557"/>
      <c r="H40" s="558"/>
      <c r="J40">
        <v>19</v>
      </c>
    </row>
    <row r="41" spans="1:11" ht="16.5" customHeight="1">
      <c r="A41" s="323"/>
      <c r="B41" s="559"/>
      <c r="C41" s="560"/>
      <c r="D41" s="560"/>
      <c r="E41" s="560"/>
      <c r="F41" s="560"/>
      <c r="G41" s="560"/>
      <c r="H41" s="561"/>
      <c r="J41">
        <v>36</v>
      </c>
    </row>
    <row r="42" spans="1:11" ht="16.5" customHeight="1">
      <c r="A42" s="322" t="s">
        <v>1499</v>
      </c>
      <c r="B42" s="444" t="s">
        <v>1500</v>
      </c>
      <c r="C42" s="325"/>
      <c r="D42" s="326">
        <v>93500</v>
      </c>
      <c r="E42" s="327" t="s">
        <v>1501</v>
      </c>
      <c r="F42" s="345"/>
      <c r="G42" s="346"/>
      <c r="H42" s="360" t="s">
        <v>303</v>
      </c>
      <c r="J42">
        <v>100</v>
      </c>
    </row>
    <row r="43" spans="1:11" ht="16.5" customHeight="1">
      <c r="A43" s="323"/>
      <c r="B43" s="445"/>
      <c r="C43" s="325"/>
      <c r="D43" s="326"/>
      <c r="E43" s="347"/>
      <c r="F43" s="348"/>
      <c r="G43" s="349"/>
      <c r="H43" s="359"/>
      <c r="J43">
        <v>295</v>
      </c>
    </row>
    <row r="44" spans="1:11" ht="16.5" customHeight="1">
      <c r="A44" s="322" t="s">
        <v>1498</v>
      </c>
      <c r="B44" s="439" t="s">
        <v>1482</v>
      </c>
      <c r="C44" s="341" t="s">
        <v>1494</v>
      </c>
      <c r="D44" s="326">
        <v>170000</v>
      </c>
      <c r="E44" s="327" t="s">
        <v>1503</v>
      </c>
      <c r="F44" s="328"/>
      <c r="G44" s="329"/>
      <c r="H44" s="360" t="s">
        <v>1502</v>
      </c>
      <c r="J44">
        <v>62</v>
      </c>
    </row>
    <row r="45" spans="1:11" ht="16.5" customHeight="1">
      <c r="A45" s="323"/>
      <c r="B45" s="440"/>
      <c r="C45" s="342"/>
      <c r="D45" s="326"/>
      <c r="E45" s="330"/>
      <c r="F45" s="331"/>
      <c r="G45" s="332"/>
      <c r="H45" s="359"/>
      <c r="J45">
        <v>175</v>
      </c>
    </row>
    <row r="46" spans="1:11" ht="16.5" customHeight="1">
      <c r="A46" s="322" t="s">
        <v>1504</v>
      </c>
      <c r="B46" s="439" t="s">
        <v>1508</v>
      </c>
      <c r="C46" s="341"/>
      <c r="D46" s="343">
        <v>190000</v>
      </c>
      <c r="E46" s="327" t="s">
        <v>1506</v>
      </c>
      <c r="F46" s="328"/>
      <c r="G46" s="329"/>
      <c r="H46" s="360" t="s">
        <v>1507</v>
      </c>
      <c r="J46">
        <v>140</v>
      </c>
    </row>
    <row r="47" spans="1:11" ht="16.5" customHeight="1">
      <c r="A47" s="323"/>
      <c r="B47" s="440"/>
      <c r="C47" s="342"/>
      <c r="D47" s="344"/>
      <c r="E47" s="330"/>
      <c r="F47" s="331"/>
      <c r="G47" s="332"/>
      <c r="H47" s="359"/>
    </row>
    <row r="48" spans="1:11" ht="16.5" customHeight="1">
      <c r="A48" s="322" t="s">
        <v>1504</v>
      </c>
      <c r="B48" s="496" t="s">
        <v>1510</v>
      </c>
      <c r="C48" s="324"/>
      <c r="D48" s="326">
        <v>360000</v>
      </c>
      <c r="E48" s="327" t="s">
        <v>1505</v>
      </c>
      <c r="F48" s="328"/>
      <c r="G48" s="329"/>
      <c r="H48" s="360" t="s">
        <v>1509</v>
      </c>
    </row>
    <row r="49" spans="1:9" ht="16.5" customHeight="1">
      <c r="A49" s="323"/>
      <c r="B49" s="497"/>
      <c r="C49" s="325"/>
      <c r="D49" s="326"/>
      <c r="E49" s="330"/>
      <c r="F49" s="331"/>
      <c r="G49" s="332"/>
      <c r="H49" s="359"/>
      <c r="I49">
        <v>20034400</v>
      </c>
    </row>
    <row r="50" spans="1:9" ht="16.5" customHeight="1">
      <c r="A50" s="322" t="s">
        <v>1511</v>
      </c>
      <c r="B50" s="496" t="s">
        <v>1514</v>
      </c>
      <c r="C50" s="341"/>
      <c r="D50" s="326">
        <v>100000</v>
      </c>
      <c r="E50" s="327" t="s">
        <v>1515</v>
      </c>
      <c r="F50" s="328"/>
      <c r="G50" s="329"/>
      <c r="H50" s="360" t="s">
        <v>1516</v>
      </c>
    </row>
    <row r="51" spans="1:9" ht="16.5" customHeight="1">
      <c r="A51" s="323"/>
      <c r="B51" s="497"/>
      <c r="C51" s="342"/>
      <c r="D51" s="326"/>
      <c r="E51" s="330"/>
      <c r="F51" s="331"/>
      <c r="G51" s="332"/>
      <c r="H51" s="359"/>
    </row>
    <row r="52" spans="1:9" ht="16.5" customHeight="1">
      <c r="A52" s="322" t="s">
        <v>1511</v>
      </c>
      <c r="B52" s="496" t="s">
        <v>1512</v>
      </c>
      <c r="C52" s="324"/>
      <c r="D52" s="326">
        <v>120000</v>
      </c>
      <c r="E52" s="327" t="s">
        <v>1513</v>
      </c>
      <c r="F52" s="328"/>
      <c r="G52" s="329"/>
      <c r="H52" s="360" t="s">
        <v>1517</v>
      </c>
    </row>
    <row r="53" spans="1:9" ht="20.25" customHeight="1">
      <c r="A53" s="323"/>
      <c r="B53" s="497"/>
      <c r="C53" s="325"/>
      <c r="D53" s="326"/>
      <c r="E53" s="330"/>
      <c r="F53" s="331"/>
      <c r="G53" s="332"/>
      <c r="H53" s="359"/>
    </row>
    <row r="54" spans="1:9" ht="16.5" customHeight="1">
      <c r="A54" s="322" t="s">
        <v>1511</v>
      </c>
      <c r="B54" s="496" t="s">
        <v>1518</v>
      </c>
      <c r="C54" s="341"/>
      <c r="D54" s="326">
        <v>1000000</v>
      </c>
      <c r="E54" s="562" t="s">
        <v>1520</v>
      </c>
      <c r="F54" s="563"/>
      <c r="G54" s="564"/>
      <c r="H54" s="360" t="s">
        <v>1519</v>
      </c>
    </row>
    <row r="55" spans="1:9" ht="16.5" customHeight="1">
      <c r="A55" s="323"/>
      <c r="B55" s="497"/>
      <c r="C55" s="352"/>
      <c r="D55" s="326"/>
      <c r="E55" s="565"/>
      <c r="F55" s="566"/>
      <c r="G55" s="567"/>
      <c r="H55" s="359"/>
    </row>
    <row r="56" spans="1:9" ht="16.5" customHeight="1">
      <c r="A56" s="322" t="s">
        <v>1511</v>
      </c>
      <c r="B56" s="496" t="s">
        <v>1521</v>
      </c>
      <c r="C56" s="324"/>
      <c r="D56" s="326">
        <v>130000</v>
      </c>
      <c r="E56" s="327" t="s">
        <v>1522</v>
      </c>
      <c r="F56" s="328"/>
      <c r="G56" s="329"/>
      <c r="H56" s="360" t="s">
        <v>1523</v>
      </c>
    </row>
    <row r="57" spans="1:9" ht="16.5" customHeight="1">
      <c r="A57" s="323"/>
      <c r="B57" s="497"/>
      <c r="C57" s="325"/>
      <c r="D57" s="326"/>
      <c r="E57" s="330"/>
      <c r="F57" s="331"/>
      <c r="G57" s="332"/>
      <c r="H57" s="359"/>
    </row>
    <row r="58" spans="1:9" ht="16.5" customHeight="1">
      <c r="A58" s="335" t="s">
        <v>1525</v>
      </c>
      <c r="B58" s="496" t="s">
        <v>1526</v>
      </c>
      <c r="C58" s="324"/>
      <c r="D58" s="326">
        <v>370000</v>
      </c>
      <c r="E58" s="327"/>
      <c r="F58" s="328"/>
      <c r="G58" s="329"/>
      <c r="H58" s="360" t="s">
        <v>1527</v>
      </c>
    </row>
    <row r="59" spans="1:9" ht="16.5" customHeight="1">
      <c r="A59" s="336"/>
      <c r="B59" s="497"/>
      <c r="C59" s="325"/>
      <c r="D59" s="326"/>
      <c r="E59" s="330"/>
      <c r="F59" s="331"/>
      <c r="G59" s="332"/>
      <c r="H59" s="359"/>
    </row>
    <row r="60" spans="1:9" ht="16.5" customHeight="1">
      <c r="A60" s="335" t="s">
        <v>1539</v>
      </c>
      <c r="B60" s="496" t="s">
        <v>1528</v>
      </c>
      <c r="C60" s="324"/>
      <c r="D60" s="326">
        <v>1400000</v>
      </c>
      <c r="E60" s="327"/>
      <c r="F60" s="328"/>
      <c r="G60" s="329"/>
      <c r="H60" s="360" t="s">
        <v>1529</v>
      </c>
    </row>
    <row r="61" spans="1:9" ht="16.5" customHeight="1">
      <c r="A61" s="336"/>
      <c r="B61" s="497"/>
      <c r="C61" s="325"/>
      <c r="D61" s="326"/>
      <c r="E61" s="330"/>
      <c r="F61" s="331"/>
      <c r="G61" s="332"/>
      <c r="H61" s="359"/>
    </row>
    <row r="62" spans="1:9" ht="16.5" customHeight="1">
      <c r="A62" s="335" t="s">
        <v>1538</v>
      </c>
      <c r="B62" s="496" t="s">
        <v>1531</v>
      </c>
      <c r="C62" s="324" t="s">
        <v>1532</v>
      </c>
      <c r="D62" s="343">
        <v>3000000</v>
      </c>
      <c r="E62" s="327" t="s">
        <v>1536</v>
      </c>
      <c r="F62" s="328"/>
      <c r="G62" s="329"/>
      <c r="H62" s="360" t="s">
        <v>1258</v>
      </c>
    </row>
    <row r="63" spans="1:9" ht="16.5" customHeight="1">
      <c r="A63" s="336"/>
      <c r="B63" s="497"/>
      <c r="C63" s="325"/>
      <c r="D63" s="344"/>
      <c r="E63" s="330"/>
      <c r="F63" s="331"/>
      <c r="G63" s="332"/>
      <c r="H63" s="359"/>
    </row>
    <row r="64" spans="1:9" ht="16.5" customHeight="1">
      <c r="A64" s="335" t="s">
        <v>1538</v>
      </c>
      <c r="B64" s="496" t="s">
        <v>1533</v>
      </c>
      <c r="C64" s="341" t="s">
        <v>1535</v>
      </c>
      <c r="D64" s="326">
        <v>820000</v>
      </c>
      <c r="E64" s="562" t="s">
        <v>1534</v>
      </c>
      <c r="F64" s="563"/>
      <c r="G64" s="564"/>
      <c r="H64" s="359" t="s">
        <v>1530</v>
      </c>
    </row>
    <row r="65" spans="1:12" ht="35.25" customHeight="1">
      <c r="A65" s="336"/>
      <c r="B65" s="497"/>
      <c r="C65" s="352"/>
      <c r="D65" s="326"/>
      <c r="E65" s="565"/>
      <c r="F65" s="566"/>
      <c r="G65" s="567"/>
      <c r="H65" s="359"/>
    </row>
    <row r="66" spans="1:12" ht="16.5" customHeight="1">
      <c r="A66" s="322"/>
      <c r="B66" s="568" t="s">
        <v>1601</v>
      </c>
      <c r="C66" s="569"/>
      <c r="D66" s="569"/>
      <c r="E66" s="569"/>
      <c r="F66" s="569"/>
      <c r="G66" s="569"/>
      <c r="H66" s="570"/>
    </row>
    <row r="67" spans="1:12" ht="42.75" customHeight="1">
      <c r="A67" s="323"/>
      <c r="B67" s="571"/>
      <c r="C67" s="572"/>
      <c r="D67" s="572"/>
      <c r="E67" s="572"/>
      <c r="F67" s="572"/>
      <c r="G67" s="572"/>
      <c r="H67" s="573"/>
    </row>
    <row r="68" spans="1:12" ht="16.5" customHeight="1">
      <c r="A68" s="322" t="s">
        <v>1537</v>
      </c>
      <c r="B68" s="496" t="s">
        <v>1543</v>
      </c>
      <c r="C68" s="325" t="s">
        <v>1575</v>
      </c>
      <c r="D68" s="326">
        <v>365000</v>
      </c>
      <c r="E68" s="327" t="s">
        <v>1547</v>
      </c>
      <c r="F68" s="328"/>
      <c r="G68" s="329"/>
      <c r="H68" s="359" t="s">
        <v>1541</v>
      </c>
    </row>
    <row r="69" spans="1:12" ht="16.5" customHeight="1">
      <c r="A69" s="323"/>
      <c r="B69" s="497"/>
      <c r="C69" s="325"/>
      <c r="D69" s="326"/>
      <c r="E69" s="330"/>
      <c r="F69" s="331"/>
      <c r="G69" s="332"/>
      <c r="H69" s="359"/>
    </row>
    <row r="70" spans="1:12" ht="16.5" customHeight="1">
      <c r="A70" s="322" t="s">
        <v>1537</v>
      </c>
      <c r="B70" s="496" t="s">
        <v>1544</v>
      </c>
      <c r="C70" s="341"/>
      <c r="D70" s="326">
        <v>124000</v>
      </c>
      <c r="E70" s="327" t="s">
        <v>1545</v>
      </c>
      <c r="F70" s="328"/>
      <c r="G70" s="329"/>
      <c r="H70" s="359" t="s">
        <v>1542</v>
      </c>
    </row>
    <row r="71" spans="1:12" ht="16.5" customHeight="1">
      <c r="A71" s="323"/>
      <c r="B71" s="497"/>
      <c r="C71" s="352"/>
      <c r="D71" s="326"/>
      <c r="E71" s="330"/>
      <c r="F71" s="331"/>
      <c r="G71" s="332"/>
      <c r="H71" s="359"/>
    </row>
    <row r="72" spans="1:12" ht="16.5" customHeight="1">
      <c r="A72" s="335" t="s">
        <v>1548</v>
      </c>
      <c r="B72" s="496" t="s">
        <v>1549</v>
      </c>
      <c r="C72" s="341" t="s">
        <v>1574</v>
      </c>
      <c r="D72" s="343">
        <v>150000</v>
      </c>
      <c r="E72" s="327" t="s">
        <v>1578</v>
      </c>
      <c r="F72" s="345"/>
      <c r="G72" s="346"/>
      <c r="H72" s="359" t="s">
        <v>1550</v>
      </c>
    </row>
    <row r="73" spans="1:12" ht="16.5" customHeight="1">
      <c r="A73" s="340"/>
      <c r="B73" s="497"/>
      <c r="C73" s="352"/>
      <c r="D73" s="344"/>
      <c r="E73" s="347"/>
      <c r="F73" s="348"/>
      <c r="G73" s="349"/>
      <c r="H73" s="359"/>
    </row>
    <row r="74" spans="1:12" ht="16.5" customHeight="1">
      <c r="A74" s="322" t="s">
        <v>1551</v>
      </c>
      <c r="B74" s="496" t="s">
        <v>1552</v>
      </c>
      <c r="C74" s="324" t="s">
        <v>1573</v>
      </c>
      <c r="D74" s="326">
        <v>290000</v>
      </c>
      <c r="E74" s="327" t="s">
        <v>1576</v>
      </c>
      <c r="F74" s="328"/>
      <c r="G74" s="329"/>
      <c r="H74" s="359" t="s">
        <v>1577</v>
      </c>
      <c r="L74" s="23"/>
    </row>
    <row r="75" spans="1:12" ht="27" customHeight="1">
      <c r="A75" s="323"/>
      <c r="B75" s="497"/>
      <c r="C75" s="325"/>
      <c r="D75" s="326"/>
      <c r="E75" s="330"/>
      <c r="F75" s="331"/>
      <c r="G75" s="332"/>
      <c r="H75" s="359"/>
    </row>
    <row r="76" spans="1:12" ht="16.5" customHeight="1">
      <c r="A76" s="322" t="s">
        <v>1551</v>
      </c>
      <c r="B76" s="496" t="s">
        <v>1572</v>
      </c>
      <c r="C76" s="325"/>
      <c r="D76" s="326">
        <v>485000</v>
      </c>
      <c r="E76" s="327" t="s">
        <v>1553</v>
      </c>
      <c r="F76" s="328"/>
      <c r="G76" s="329"/>
      <c r="H76" s="359" t="s">
        <v>1554</v>
      </c>
    </row>
    <row r="77" spans="1:12" ht="24.75" customHeight="1">
      <c r="A77" s="323"/>
      <c r="B77" s="497"/>
      <c r="C77" s="325"/>
      <c r="D77" s="326"/>
      <c r="E77" s="330"/>
      <c r="F77" s="331"/>
      <c r="G77" s="332"/>
      <c r="H77" s="359"/>
    </row>
    <row r="78" spans="1:12" ht="16.5" customHeight="1">
      <c r="A78" s="322" t="s">
        <v>1555</v>
      </c>
      <c r="B78" s="496" t="s">
        <v>1556</v>
      </c>
      <c r="C78" s="325" t="s">
        <v>1569</v>
      </c>
      <c r="D78" s="326">
        <v>350000</v>
      </c>
      <c r="E78" s="327" t="s">
        <v>1562</v>
      </c>
      <c r="F78" s="328"/>
      <c r="G78" s="329"/>
      <c r="H78" s="360" t="s">
        <v>1561</v>
      </c>
    </row>
    <row r="79" spans="1:12" ht="16.5" customHeight="1">
      <c r="A79" s="323"/>
      <c r="B79" s="497"/>
      <c r="C79" s="325"/>
      <c r="D79" s="326"/>
      <c r="E79" s="330"/>
      <c r="F79" s="331"/>
      <c r="G79" s="332"/>
      <c r="H79" s="359"/>
    </row>
    <row r="80" spans="1:12" ht="16.5" customHeight="1">
      <c r="A80" s="322" t="s">
        <v>1555</v>
      </c>
      <c r="B80" s="496" t="s">
        <v>1557</v>
      </c>
      <c r="C80" s="341"/>
      <c r="D80" s="343">
        <v>150000</v>
      </c>
      <c r="E80" s="327" t="s">
        <v>1563</v>
      </c>
      <c r="F80" s="345"/>
      <c r="G80" s="346"/>
      <c r="H80" s="360" t="s">
        <v>1560</v>
      </c>
    </row>
    <row r="81" spans="1:8" ht="16.5" customHeight="1">
      <c r="A81" s="323"/>
      <c r="B81" s="497"/>
      <c r="C81" s="352"/>
      <c r="D81" s="344"/>
      <c r="E81" s="347"/>
      <c r="F81" s="348"/>
      <c r="G81" s="349"/>
      <c r="H81" s="359"/>
    </row>
    <row r="82" spans="1:8" ht="16.5" customHeight="1">
      <c r="A82" s="322" t="s">
        <v>1555</v>
      </c>
      <c r="B82" s="496" t="s">
        <v>1558</v>
      </c>
      <c r="C82" s="324"/>
      <c r="D82" s="326">
        <v>66000</v>
      </c>
      <c r="E82" s="327" t="s">
        <v>1564</v>
      </c>
      <c r="F82" s="328"/>
      <c r="G82" s="329"/>
      <c r="H82" s="360" t="s">
        <v>1560</v>
      </c>
    </row>
    <row r="83" spans="1:8" ht="16.5" customHeight="1">
      <c r="A83" s="323"/>
      <c r="B83" s="497"/>
      <c r="C83" s="325"/>
      <c r="D83" s="326"/>
      <c r="E83" s="330"/>
      <c r="F83" s="331"/>
      <c r="G83" s="332"/>
      <c r="H83" s="359"/>
    </row>
    <row r="84" spans="1:8" ht="16.5" customHeight="1">
      <c r="A84" s="322" t="s">
        <v>1565</v>
      </c>
      <c r="B84" s="496" t="s">
        <v>1566</v>
      </c>
      <c r="C84" s="324" t="s">
        <v>1568</v>
      </c>
      <c r="D84" s="343">
        <v>210000</v>
      </c>
      <c r="E84" s="327" t="s">
        <v>1567</v>
      </c>
      <c r="F84" s="328"/>
      <c r="G84" s="329"/>
      <c r="H84" s="360" t="s">
        <v>1559</v>
      </c>
    </row>
    <row r="85" spans="1:8" ht="36.75" customHeight="1">
      <c r="A85" s="323"/>
      <c r="B85" s="497"/>
      <c r="C85" s="325"/>
      <c r="D85" s="344"/>
      <c r="E85" s="330"/>
      <c r="F85" s="331"/>
      <c r="G85" s="332"/>
      <c r="H85" s="359"/>
    </row>
    <row r="86" spans="1:8">
      <c r="A86" s="322" t="s">
        <v>1565</v>
      </c>
      <c r="B86" s="498" t="s">
        <v>1571</v>
      </c>
      <c r="C86" s="325" t="s">
        <v>1570</v>
      </c>
      <c r="D86" s="343">
        <v>400000</v>
      </c>
      <c r="E86" s="337" t="s">
        <v>1579</v>
      </c>
      <c r="F86" s="326"/>
      <c r="G86" s="326"/>
      <c r="H86" s="359" t="s">
        <v>1586</v>
      </c>
    </row>
    <row r="87" spans="1:8">
      <c r="A87" s="323"/>
      <c r="B87" s="499"/>
      <c r="C87" s="325"/>
      <c r="D87" s="344"/>
      <c r="E87" s="326"/>
      <c r="F87" s="326"/>
      <c r="G87" s="326"/>
      <c r="H87" s="359"/>
    </row>
    <row r="88" spans="1:8">
      <c r="A88" s="322" t="s">
        <v>1565</v>
      </c>
      <c r="B88" s="498" t="s">
        <v>1580</v>
      </c>
      <c r="C88" s="324"/>
      <c r="D88" s="343">
        <v>380000</v>
      </c>
      <c r="E88" s="337"/>
      <c r="F88" s="326"/>
      <c r="G88" s="326"/>
      <c r="H88" s="359" t="s">
        <v>1585</v>
      </c>
    </row>
    <row r="89" spans="1:8">
      <c r="A89" s="323"/>
      <c r="B89" s="499"/>
      <c r="C89" s="325"/>
      <c r="D89" s="344"/>
      <c r="E89" s="326"/>
      <c r="F89" s="326"/>
      <c r="G89" s="326"/>
      <c r="H89" s="359"/>
    </row>
    <row r="90" spans="1:8">
      <c r="A90" s="322" t="s">
        <v>1565</v>
      </c>
      <c r="B90" s="498" t="s">
        <v>1581</v>
      </c>
      <c r="C90" s="325"/>
      <c r="D90" s="343">
        <v>140000</v>
      </c>
      <c r="E90" s="337"/>
      <c r="F90" s="326"/>
      <c r="G90" s="326"/>
      <c r="H90" s="359" t="s">
        <v>1587</v>
      </c>
    </row>
    <row r="91" spans="1:8">
      <c r="A91" s="323"/>
      <c r="B91" s="499"/>
      <c r="C91" s="325"/>
      <c r="D91" s="344"/>
      <c r="E91" s="326"/>
      <c r="F91" s="326"/>
      <c r="G91" s="326"/>
      <c r="H91" s="359"/>
    </row>
    <row r="92" spans="1:8">
      <c r="A92" s="322" t="s">
        <v>1565</v>
      </c>
      <c r="B92" s="498" t="s">
        <v>1582</v>
      </c>
      <c r="C92" s="325" t="s">
        <v>1583</v>
      </c>
      <c r="D92" s="343">
        <v>400000</v>
      </c>
      <c r="E92" s="337" t="s">
        <v>1584</v>
      </c>
      <c r="F92" s="326"/>
      <c r="G92" s="326"/>
      <c r="H92" s="359" t="s">
        <v>1586</v>
      </c>
    </row>
    <row r="93" spans="1:8">
      <c r="A93" s="323"/>
      <c r="B93" s="499"/>
      <c r="C93" s="325"/>
      <c r="D93" s="344"/>
      <c r="E93" s="326"/>
      <c r="F93" s="326"/>
      <c r="G93" s="326"/>
      <c r="H93" s="359"/>
    </row>
    <row r="94" spans="1:8">
      <c r="A94" s="322" t="s">
        <v>1588</v>
      </c>
      <c r="B94" s="498" t="s">
        <v>1589</v>
      </c>
      <c r="C94" s="325"/>
      <c r="D94" s="326">
        <v>200000</v>
      </c>
      <c r="E94" s="337" t="s">
        <v>1590</v>
      </c>
      <c r="F94" s="326"/>
      <c r="G94" s="326"/>
      <c r="H94" s="360" t="s">
        <v>1591</v>
      </c>
    </row>
    <row r="95" spans="1:8">
      <c r="A95" s="323"/>
      <c r="B95" s="499"/>
      <c r="C95" s="325"/>
      <c r="D95" s="326"/>
      <c r="E95" s="326"/>
      <c r="F95" s="326"/>
      <c r="G95" s="326"/>
      <c r="H95" s="359"/>
    </row>
    <row r="96" spans="1:8">
      <c r="A96" s="322" t="s">
        <v>1588</v>
      </c>
      <c r="B96" s="498" t="s">
        <v>1592</v>
      </c>
      <c r="C96" s="324" t="s">
        <v>1593</v>
      </c>
      <c r="D96" s="326">
        <v>380000</v>
      </c>
      <c r="E96" s="337" t="s">
        <v>1594</v>
      </c>
      <c r="F96" s="326"/>
      <c r="G96" s="326"/>
      <c r="H96" s="360" t="s">
        <v>1595</v>
      </c>
    </row>
    <row r="97" spans="1:8">
      <c r="A97" s="323"/>
      <c r="B97" s="499"/>
      <c r="C97" s="325"/>
      <c r="D97" s="326"/>
      <c r="E97" s="326"/>
      <c r="F97" s="326"/>
      <c r="G97" s="326"/>
      <c r="H97" s="359"/>
    </row>
    <row r="98" spans="1:8">
      <c r="A98" s="322" t="s">
        <v>1588</v>
      </c>
      <c r="B98" s="498" t="s">
        <v>1596</v>
      </c>
      <c r="C98" s="325"/>
      <c r="D98" s="326">
        <v>130000</v>
      </c>
      <c r="E98" s="337" t="s">
        <v>1597</v>
      </c>
      <c r="F98" s="326"/>
      <c r="G98" s="326"/>
      <c r="H98" s="360" t="s">
        <v>1600</v>
      </c>
    </row>
    <row r="99" spans="1:8">
      <c r="A99" s="323"/>
      <c r="B99" s="499"/>
      <c r="C99" s="325"/>
      <c r="D99" s="326"/>
      <c r="E99" s="326"/>
      <c r="F99" s="326"/>
      <c r="G99" s="326"/>
      <c r="H99" s="359"/>
    </row>
    <row r="100" spans="1:8" ht="16.5" customHeight="1">
      <c r="A100" s="322" t="s">
        <v>1588</v>
      </c>
      <c r="B100" s="498" t="s">
        <v>1589</v>
      </c>
      <c r="C100" s="324"/>
      <c r="D100" s="326">
        <v>20000</v>
      </c>
      <c r="E100" s="327"/>
      <c r="F100" s="328"/>
      <c r="G100" s="329"/>
      <c r="H100" s="359"/>
    </row>
    <row r="101" spans="1:8">
      <c r="A101" s="323"/>
      <c r="B101" s="499"/>
      <c r="C101" s="325"/>
      <c r="D101" s="326"/>
      <c r="E101" s="330"/>
      <c r="F101" s="331"/>
      <c r="G101" s="332"/>
      <c r="H101" s="359"/>
    </row>
    <row r="102" spans="1:8" ht="16.5" customHeight="1">
      <c r="A102" s="322" t="s">
        <v>1588</v>
      </c>
      <c r="B102" s="500" t="s">
        <v>1598</v>
      </c>
      <c r="C102" s="353"/>
      <c r="D102" s="343">
        <v>200000</v>
      </c>
      <c r="E102" s="327"/>
      <c r="F102" s="345"/>
      <c r="G102" s="346"/>
      <c r="H102" s="359" t="s">
        <v>1599</v>
      </c>
    </row>
    <row r="103" spans="1:8">
      <c r="A103" s="323"/>
      <c r="B103" s="501"/>
      <c r="C103" s="352"/>
      <c r="D103" s="344"/>
      <c r="E103" s="347"/>
      <c r="F103" s="348"/>
      <c r="G103" s="349"/>
      <c r="H103" s="359"/>
    </row>
    <row r="104" spans="1:8">
      <c r="A104" s="322"/>
      <c r="B104" s="500"/>
      <c r="C104" s="324"/>
      <c r="D104" s="326"/>
      <c r="E104" s="337"/>
      <c r="F104" s="326"/>
      <c r="G104" s="326"/>
      <c r="H104" s="359"/>
    </row>
    <row r="105" spans="1:8">
      <c r="A105" s="323"/>
      <c r="B105" s="501"/>
      <c r="C105" s="325"/>
      <c r="D105" s="326"/>
      <c r="E105" s="326"/>
      <c r="F105" s="326"/>
      <c r="G105" s="326"/>
      <c r="H105" s="359"/>
    </row>
    <row r="106" spans="1:8">
      <c r="A106" s="322"/>
      <c r="B106" s="523" t="s">
        <v>1632</v>
      </c>
      <c r="C106" s="524"/>
      <c r="D106" s="524"/>
      <c r="E106" s="524"/>
      <c r="F106" s="524"/>
      <c r="G106" s="524"/>
      <c r="H106" s="525"/>
    </row>
    <row r="107" spans="1:8" ht="55.5" customHeight="1">
      <c r="A107" s="323"/>
      <c r="B107" s="526"/>
      <c r="C107" s="527"/>
      <c r="D107" s="527"/>
      <c r="E107" s="527"/>
      <c r="F107" s="527"/>
      <c r="G107" s="527"/>
      <c r="H107" s="528"/>
    </row>
    <row r="108" spans="1:8">
      <c r="A108" s="322" t="s">
        <v>1602</v>
      </c>
      <c r="B108" s="498" t="s">
        <v>1603</v>
      </c>
      <c r="C108" s="324"/>
      <c r="D108" s="326">
        <v>25000</v>
      </c>
      <c r="E108" s="327">
        <v>620</v>
      </c>
      <c r="F108" s="328"/>
      <c r="G108" s="329"/>
      <c r="H108" s="359" t="s">
        <v>1610</v>
      </c>
    </row>
    <row r="109" spans="1:8">
      <c r="A109" s="323"/>
      <c r="B109" s="499"/>
      <c r="C109" s="325"/>
      <c r="D109" s="326"/>
      <c r="E109" s="330"/>
      <c r="F109" s="331"/>
      <c r="G109" s="332"/>
      <c r="H109" s="359"/>
    </row>
    <row r="110" spans="1:8">
      <c r="A110" s="322" t="s">
        <v>1604</v>
      </c>
      <c r="B110" s="498" t="s">
        <v>1605</v>
      </c>
      <c r="C110" s="325"/>
      <c r="D110" s="326">
        <v>38000</v>
      </c>
      <c r="E110" s="337" t="s">
        <v>1608</v>
      </c>
      <c r="F110" s="326"/>
      <c r="G110" s="326"/>
      <c r="H110" s="359" t="s">
        <v>1609</v>
      </c>
    </row>
    <row r="111" spans="1:8">
      <c r="A111" s="323"/>
      <c r="B111" s="499"/>
      <c r="C111" s="325"/>
      <c r="D111" s="326"/>
      <c r="E111" s="326"/>
      <c r="F111" s="326"/>
      <c r="G111" s="326"/>
      <c r="H111" s="359"/>
    </row>
    <row r="112" spans="1:8">
      <c r="A112" s="322" t="s">
        <v>1612</v>
      </c>
      <c r="B112" s="498" t="s">
        <v>1605</v>
      </c>
      <c r="C112" s="325"/>
      <c r="D112" s="326">
        <v>180000</v>
      </c>
      <c r="E112" s="337" t="s">
        <v>1607</v>
      </c>
      <c r="F112" s="326"/>
      <c r="G112" s="326"/>
      <c r="H112" s="360" t="s">
        <v>1606</v>
      </c>
    </row>
    <row r="113" spans="1:8">
      <c r="A113" s="323"/>
      <c r="B113" s="499"/>
      <c r="C113" s="325"/>
      <c r="D113" s="326"/>
      <c r="E113" s="326"/>
      <c r="F113" s="326"/>
      <c r="G113" s="326"/>
      <c r="H113" s="359"/>
    </row>
    <row r="114" spans="1:8">
      <c r="A114" s="322" t="s">
        <v>1611</v>
      </c>
      <c r="B114" s="498" t="s">
        <v>1623</v>
      </c>
      <c r="C114" s="324" t="s">
        <v>1629</v>
      </c>
      <c r="D114" s="326">
        <v>180000</v>
      </c>
      <c r="E114" s="327" t="s">
        <v>1626</v>
      </c>
      <c r="F114" s="328"/>
      <c r="G114" s="329"/>
      <c r="H114" s="359" t="s">
        <v>1627</v>
      </c>
    </row>
    <row r="115" spans="1:8">
      <c r="A115" s="323"/>
      <c r="B115" s="499"/>
      <c r="C115" s="325"/>
      <c r="D115" s="326"/>
      <c r="E115" s="330"/>
      <c r="F115" s="331"/>
      <c r="G115" s="332"/>
      <c r="H115" s="359"/>
    </row>
    <row r="116" spans="1:8">
      <c r="A116" s="322" t="s">
        <v>1611</v>
      </c>
      <c r="B116" s="498" t="s">
        <v>1615</v>
      </c>
      <c r="C116" s="324" t="s">
        <v>1630</v>
      </c>
      <c r="D116" s="326">
        <v>550000</v>
      </c>
      <c r="E116" s="337" t="s">
        <v>1625</v>
      </c>
      <c r="F116" s="326"/>
      <c r="G116" s="326"/>
      <c r="H116" s="359" t="s">
        <v>1622</v>
      </c>
    </row>
    <row r="117" spans="1:8">
      <c r="A117" s="323"/>
      <c r="B117" s="499"/>
      <c r="C117" s="325"/>
      <c r="D117" s="326"/>
      <c r="E117" s="326"/>
      <c r="F117" s="326"/>
      <c r="G117" s="326"/>
      <c r="H117" s="359"/>
    </row>
    <row r="118" spans="1:8">
      <c r="A118" s="322" t="s">
        <v>1611</v>
      </c>
      <c r="B118" s="478" t="s">
        <v>1616</v>
      </c>
      <c r="C118" s="325" t="s">
        <v>1631</v>
      </c>
      <c r="D118" s="326">
        <v>240000</v>
      </c>
      <c r="E118" s="337" t="s">
        <v>1628</v>
      </c>
      <c r="F118" s="326"/>
      <c r="G118" s="326"/>
      <c r="H118" s="359" t="s">
        <v>1621</v>
      </c>
    </row>
    <row r="119" spans="1:8">
      <c r="A119" s="323"/>
      <c r="B119" s="479"/>
      <c r="C119" s="325"/>
      <c r="D119" s="326"/>
      <c r="E119" s="326"/>
      <c r="F119" s="326"/>
      <c r="G119" s="326"/>
      <c r="H119" s="359"/>
    </row>
    <row r="120" spans="1:8">
      <c r="A120" s="322" t="s">
        <v>1613</v>
      </c>
      <c r="B120" s="478" t="s">
        <v>1617</v>
      </c>
      <c r="C120" s="325"/>
      <c r="D120" s="343">
        <v>2300000</v>
      </c>
      <c r="E120" s="337" t="s">
        <v>1614</v>
      </c>
      <c r="F120" s="326"/>
      <c r="G120" s="326"/>
      <c r="H120" s="360" t="s">
        <v>1620</v>
      </c>
    </row>
    <row r="121" spans="1:8">
      <c r="A121" s="323"/>
      <c r="B121" s="479"/>
      <c r="C121" s="325"/>
      <c r="D121" s="344"/>
      <c r="E121" s="326"/>
      <c r="F121" s="326"/>
      <c r="G121" s="326"/>
      <c r="H121" s="359"/>
    </row>
    <row r="122" spans="1:8">
      <c r="A122" s="322" t="s">
        <v>1613</v>
      </c>
      <c r="B122" s="478" t="s">
        <v>1618</v>
      </c>
      <c r="C122" s="324" t="s">
        <v>1624</v>
      </c>
      <c r="D122" s="326">
        <v>25000</v>
      </c>
      <c r="E122" s="337">
        <v>620</v>
      </c>
      <c r="F122" s="326"/>
      <c r="G122" s="326"/>
      <c r="H122" s="359" t="s">
        <v>1619</v>
      </c>
    </row>
    <row r="123" spans="1:8">
      <c r="A123" s="323"/>
      <c r="B123" s="479"/>
      <c r="C123" s="325"/>
      <c r="D123" s="326"/>
      <c r="E123" s="326"/>
      <c r="F123" s="326"/>
      <c r="G123" s="326"/>
      <c r="H123" s="359"/>
    </row>
    <row r="124" spans="1:8">
      <c r="A124" s="322" t="s">
        <v>1613</v>
      </c>
      <c r="B124" s="478"/>
      <c r="C124" s="324"/>
      <c r="D124" s="326"/>
      <c r="E124" s="337"/>
      <c r="F124" s="326"/>
      <c r="G124" s="326"/>
      <c r="H124" s="360" t="s">
        <v>4598</v>
      </c>
    </row>
    <row r="125" spans="1:8">
      <c r="A125" s="323"/>
      <c r="B125" s="479"/>
      <c r="C125" s="325"/>
      <c r="D125" s="326"/>
      <c r="E125" s="326"/>
      <c r="F125" s="326"/>
      <c r="G125" s="326"/>
      <c r="H125" s="359"/>
    </row>
    <row r="126" spans="1:8">
      <c r="A126" s="529" t="s">
        <v>3326</v>
      </c>
      <c r="B126" s="530"/>
      <c r="C126" s="530"/>
      <c r="D126" s="530"/>
      <c r="E126" s="530"/>
      <c r="F126" s="530"/>
      <c r="G126" s="530"/>
      <c r="H126" s="531"/>
    </row>
    <row r="127" spans="1:8">
      <c r="A127" s="532"/>
      <c r="B127" s="533"/>
      <c r="C127" s="533"/>
      <c r="D127" s="533"/>
      <c r="E127" s="533"/>
      <c r="F127" s="533"/>
      <c r="G127" s="533"/>
      <c r="H127" s="534"/>
    </row>
    <row r="128" spans="1:8">
      <c r="A128" s="532"/>
      <c r="B128" s="533"/>
      <c r="C128" s="533"/>
      <c r="D128" s="533"/>
      <c r="E128" s="533"/>
      <c r="F128" s="533"/>
      <c r="G128" s="533"/>
      <c r="H128" s="534"/>
    </row>
    <row r="129" spans="1:8">
      <c r="A129" s="535"/>
      <c r="B129" s="536"/>
      <c r="C129" s="536"/>
      <c r="D129" s="536"/>
      <c r="E129" s="536"/>
      <c r="F129" s="536"/>
      <c r="G129" s="536"/>
      <c r="H129" s="537"/>
    </row>
    <row r="130" spans="1:8">
      <c r="A130" s="322"/>
      <c r="B130" s="478"/>
      <c r="C130" s="325"/>
      <c r="D130" s="326"/>
      <c r="E130" s="337"/>
      <c r="F130" s="326"/>
      <c r="G130" s="326"/>
      <c r="H130" s="359"/>
    </row>
    <row r="131" spans="1:8">
      <c r="A131" s="323"/>
      <c r="B131" s="479"/>
      <c r="C131" s="325"/>
      <c r="D131" s="326"/>
      <c r="E131" s="326"/>
      <c r="F131" s="326"/>
      <c r="G131" s="326"/>
      <c r="H131" s="359"/>
    </row>
    <row r="132" spans="1:8" ht="16.5" customHeight="1">
      <c r="A132" s="322"/>
      <c r="B132" s="324"/>
      <c r="C132" s="324"/>
      <c r="D132" s="326"/>
      <c r="E132" s="337"/>
      <c r="F132" s="326"/>
      <c r="G132" s="326"/>
      <c r="H132" s="360"/>
    </row>
    <row r="133" spans="1:8">
      <c r="A133" s="323"/>
      <c r="B133" s="325"/>
      <c r="C133" s="325"/>
      <c r="D133" s="326"/>
      <c r="E133" s="326"/>
      <c r="F133" s="326"/>
      <c r="G133" s="326"/>
      <c r="H133" s="359"/>
    </row>
    <row r="134" spans="1:8">
      <c r="A134" s="322"/>
      <c r="B134" s="324"/>
      <c r="C134" s="325"/>
      <c r="D134" s="326"/>
      <c r="E134" s="337"/>
      <c r="F134" s="326"/>
      <c r="G134" s="326"/>
      <c r="H134" s="333"/>
    </row>
    <row r="135" spans="1:8">
      <c r="A135" s="323"/>
      <c r="B135" s="325"/>
      <c r="C135" s="325"/>
      <c r="D135" s="326"/>
      <c r="E135" s="326"/>
      <c r="F135" s="326"/>
      <c r="G135" s="326"/>
      <c r="H135" s="333"/>
    </row>
    <row r="136" spans="1:8">
      <c r="A136" s="322"/>
      <c r="B136" s="324"/>
      <c r="C136" s="324"/>
      <c r="D136" s="326"/>
      <c r="E136" s="337"/>
      <c r="F136" s="326"/>
      <c r="G136" s="326"/>
      <c r="H136" s="338"/>
    </row>
    <row r="137" spans="1:8">
      <c r="A137" s="323"/>
      <c r="B137" s="325"/>
      <c r="C137" s="325"/>
      <c r="D137" s="326"/>
      <c r="E137" s="326"/>
      <c r="F137" s="326"/>
      <c r="G137" s="326"/>
      <c r="H137" s="333"/>
    </row>
    <row r="138" spans="1:8">
      <c r="A138" s="322"/>
      <c r="B138" s="324"/>
      <c r="C138" s="325"/>
      <c r="D138" s="326"/>
      <c r="E138" s="337"/>
      <c r="F138" s="326"/>
      <c r="G138" s="326"/>
      <c r="H138" s="338"/>
    </row>
    <row r="139" spans="1:8">
      <c r="A139" s="323"/>
      <c r="B139" s="325"/>
      <c r="C139" s="325"/>
      <c r="D139" s="326"/>
      <c r="E139" s="326"/>
      <c r="F139" s="326"/>
      <c r="G139" s="326"/>
      <c r="H139" s="333"/>
    </row>
    <row r="140" spans="1:8">
      <c r="A140" s="323"/>
      <c r="B140" s="324"/>
      <c r="C140" s="325"/>
      <c r="D140" s="326"/>
      <c r="E140" s="337"/>
      <c r="F140" s="326"/>
      <c r="G140" s="326"/>
      <c r="H140" s="333"/>
    </row>
    <row r="141" spans="1:8">
      <c r="A141" s="323"/>
      <c r="B141" s="325"/>
      <c r="C141" s="325"/>
      <c r="D141" s="326"/>
      <c r="E141" s="326"/>
      <c r="F141" s="326"/>
      <c r="G141" s="326"/>
      <c r="H141" s="333"/>
    </row>
    <row r="142" spans="1:8">
      <c r="A142" s="323"/>
      <c r="B142" s="324"/>
      <c r="C142" s="325"/>
      <c r="D142" s="326"/>
      <c r="E142" s="337"/>
      <c r="F142" s="326"/>
      <c r="G142" s="326"/>
      <c r="H142" s="338"/>
    </row>
    <row r="143" spans="1:8">
      <c r="A143" s="323"/>
      <c r="B143" s="325"/>
      <c r="C143" s="325"/>
      <c r="D143" s="326"/>
      <c r="E143" s="326"/>
      <c r="F143" s="326"/>
      <c r="G143" s="326"/>
      <c r="H143" s="333"/>
    </row>
    <row r="144" spans="1:8" ht="16.5" customHeight="1">
      <c r="A144" s="322"/>
      <c r="B144" s="324"/>
      <c r="C144" s="325"/>
      <c r="D144" s="326"/>
      <c r="E144" s="337"/>
      <c r="F144" s="326"/>
      <c r="G144" s="326"/>
      <c r="H144" s="333"/>
    </row>
    <row r="145" spans="1:8">
      <c r="A145" s="323"/>
      <c r="B145" s="325"/>
      <c r="C145" s="325"/>
      <c r="D145" s="326"/>
      <c r="E145" s="326"/>
      <c r="F145" s="326"/>
      <c r="G145" s="326"/>
      <c r="H145" s="333"/>
    </row>
    <row r="146" spans="1:8">
      <c r="A146" s="323"/>
      <c r="B146" s="324"/>
      <c r="C146" s="325"/>
      <c r="D146" s="326"/>
      <c r="E146" s="337"/>
      <c r="F146" s="326"/>
      <c r="G146" s="326"/>
      <c r="H146" s="333"/>
    </row>
    <row r="147" spans="1:8">
      <c r="A147" s="323"/>
      <c r="B147" s="325"/>
      <c r="C147" s="325"/>
      <c r="D147" s="326"/>
      <c r="E147" s="326"/>
      <c r="F147" s="326"/>
      <c r="G147" s="326"/>
      <c r="H147" s="333"/>
    </row>
    <row r="148" spans="1:8">
      <c r="A148" s="323"/>
      <c r="B148" s="325"/>
      <c r="C148" s="325"/>
      <c r="D148" s="326"/>
      <c r="E148" s="337"/>
      <c r="F148" s="326"/>
      <c r="G148" s="326"/>
      <c r="H148" s="333"/>
    </row>
    <row r="149" spans="1:8">
      <c r="A149" s="323"/>
      <c r="B149" s="325"/>
      <c r="C149" s="325"/>
      <c r="D149" s="326"/>
      <c r="E149" s="326"/>
      <c r="F149" s="326"/>
      <c r="G149" s="326"/>
      <c r="H149" s="333"/>
    </row>
    <row r="150" spans="1:8">
      <c r="A150" s="322"/>
      <c r="B150" s="325"/>
      <c r="C150" s="325"/>
      <c r="D150" s="326"/>
      <c r="E150" s="337"/>
      <c r="F150" s="326"/>
      <c r="G150" s="326"/>
      <c r="H150" s="333"/>
    </row>
    <row r="151" spans="1:8">
      <c r="A151" s="323"/>
      <c r="B151" s="325"/>
      <c r="C151" s="325"/>
      <c r="D151" s="326"/>
      <c r="E151" s="326"/>
      <c r="F151" s="326"/>
      <c r="G151" s="326"/>
      <c r="H151" s="333"/>
    </row>
    <row r="152" spans="1:8">
      <c r="A152" s="322"/>
      <c r="B152" s="325"/>
      <c r="C152" s="325"/>
      <c r="D152" s="326"/>
      <c r="E152" s="337"/>
      <c r="F152" s="326"/>
      <c r="G152" s="326"/>
      <c r="H152" s="333"/>
    </row>
    <row r="153" spans="1:8">
      <c r="A153" s="323"/>
      <c r="B153" s="325"/>
      <c r="C153" s="325"/>
      <c r="D153" s="326"/>
      <c r="E153" s="326"/>
      <c r="F153" s="326"/>
      <c r="G153" s="326"/>
      <c r="H153" s="333"/>
    </row>
    <row r="154" spans="1:8">
      <c r="A154" s="322"/>
      <c r="B154" s="324"/>
      <c r="C154" s="325"/>
      <c r="D154" s="326"/>
      <c r="E154" s="337"/>
      <c r="F154" s="326"/>
      <c r="G154" s="326"/>
      <c r="H154" s="333"/>
    </row>
    <row r="155" spans="1:8">
      <c r="A155" s="323"/>
      <c r="B155" s="325"/>
      <c r="C155" s="325"/>
      <c r="D155" s="326"/>
      <c r="E155" s="326"/>
      <c r="F155" s="326"/>
      <c r="G155" s="326"/>
      <c r="H155" s="333"/>
    </row>
    <row r="156" spans="1:8">
      <c r="A156" s="322"/>
      <c r="B156" s="324"/>
      <c r="C156" s="325"/>
      <c r="D156" s="326"/>
      <c r="E156" s="337"/>
      <c r="F156" s="326"/>
      <c r="G156" s="326"/>
      <c r="H156" s="338"/>
    </row>
    <row r="157" spans="1:8" s="30" customFormat="1">
      <c r="A157" s="323"/>
      <c r="B157" s="325"/>
      <c r="C157" s="325"/>
      <c r="D157" s="326"/>
      <c r="E157" s="326"/>
      <c r="F157" s="326"/>
      <c r="G157" s="326"/>
      <c r="H157" s="333"/>
    </row>
    <row r="158" spans="1:8">
      <c r="A158" s="323"/>
      <c r="B158" s="325"/>
      <c r="C158" s="325"/>
      <c r="D158" s="326"/>
      <c r="E158" s="337"/>
      <c r="F158" s="326"/>
      <c r="G158" s="326"/>
      <c r="H158" s="333"/>
    </row>
    <row r="159" spans="1:8">
      <c r="A159" s="323"/>
      <c r="B159" s="325"/>
      <c r="C159" s="325"/>
      <c r="D159" s="326"/>
      <c r="E159" s="326"/>
      <c r="F159" s="326"/>
      <c r="G159" s="326"/>
      <c r="H159" s="333"/>
    </row>
    <row r="160" spans="1:8">
      <c r="A160" s="322"/>
      <c r="B160" s="324"/>
      <c r="C160" s="325"/>
      <c r="D160" s="326"/>
      <c r="E160" s="337"/>
      <c r="F160" s="326"/>
      <c r="G160" s="326"/>
      <c r="H160" s="333"/>
    </row>
    <row r="161" spans="1:8">
      <c r="A161" s="323"/>
      <c r="B161" s="325"/>
      <c r="C161" s="325"/>
      <c r="D161" s="326"/>
      <c r="E161" s="326"/>
      <c r="F161" s="326"/>
      <c r="G161" s="326"/>
      <c r="H161" s="333"/>
    </row>
    <row r="162" spans="1:8">
      <c r="A162" s="323"/>
      <c r="B162" s="324"/>
      <c r="C162" s="325"/>
      <c r="D162" s="326"/>
      <c r="E162" s="337"/>
      <c r="F162" s="326"/>
      <c r="G162" s="326"/>
      <c r="H162" s="338"/>
    </row>
    <row r="163" spans="1:8" s="30" customFormat="1">
      <c r="A163" s="323"/>
      <c r="B163" s="325"/>
      <c r="C163" s="325"/>
      <c r="D163" s="326"/>
      <c r="E163" s="326"/>
      <c r="F163" s="326"/>
      <c r="G163" s="326"/>
      <c r="H163" s="333"/>
    </row>
    <row r="164" spans="1:8">
      <c r="A164" s="323"/>
      <c r="B164" s="324"/>
      <c r="C164" s="325"/>
      <c r="D164" s="326"/>
      <c r="E164" s="337"/>
      <c r="F164" s="326"/>
      <c r="G164" s="326"/>
      <c r="H164" s="338"/>
    </row>
    <row r="165" spans="1:8">
      <c r="A165" s="323"/>
      <c r="B165" s="325"/>
      <c r="C165" s="325"/>
      <c r="D165" s="326"/>
      <c r="E165" s="326"/>
      <c r="F165" s="326"/>
      <c r="G165" s="326"/>
      <c r="H165" s="333"/>
    </row>
    <row r="166" spans="1:8">
      <c r="A166" s="322"/>
      <c r="B166" s="324"/>
      <c r="C166" s="325"/>
      <c r="D166" s="326"/>
      <c r="E166" s="337"/>
      <c r="F166" s="326"/>
      <c r="G166" s="326"/>
      <c r="H166" s="333"/>
    </row>
    <row r="167" spans="1:8">
      <c r="A167" s="323"/>
      <c r="B167" s="325"/>
      <c r="C167" s="325"/>
      <c r="D167" s="326"/>
      <c r="E167" s="326"/>
      <c r="F167" s="326"/>
      <c r="G167" s="326"/>
      <c r="H167" s="333"/>
    </row>
    <row r="168" spans="1:8">
      <c r="A168" s="323"/>
      <c r="B168" s="324"/>
      <c r="C168" s="325"/>
      <c r="D168" s="326"/>
      <c r="E168" s="337"/>
      <c r="F168" s="326"/>
      <c r="G168" s="326"/>
      <c r="H168" s="333"/>
    </row>
    <row r="169" spans="1:8">
      <c r="A169" s="323"/>
      <c r="B169" s="325"/>
      <c r="C169" s="325"/>
      <c r="D169" s="326"/>
      <c r="E169" s="326"/>
      <c r="F169" s="326"/>
      <c r="G169" s="326"/>
      <c r="H169" s="333"/>
    </row>
    <row r="170" spans="1:8">
      <c r="A170" s="322"/>
      <c r="B170" s="324"/>
      <c r="C170" s="325"/>
      <c r="D170" s="326"/>
      <c r="E170" s="326"/>
      <c r="F170" s="326"/>
      <c r="G170" s="326"/>
      <c r="H170" s="333"/>
    </row>
    <row r="171" spans="1:8">
      <c r="A171" s="323"/>
      <c r="B171" s="325"/>
      <c r="C171" s="325"/>
      <c r="D171" s="326"/>
      <c r="E171" s="326"/>
      <c r="F171" s="326"/>
      <c r="G171" s="326"/>
      <c r="H171" s="333"/>
    </row>
    <row r="172" spans="1:8">
      <c r="A172" s="322"/>
      <c r="B172" s="324"/>
      <c r="C172" s="325"/>
      <c r="D172" s="326"/>
      <c r="E172" s="337"/>
      <c r="F172" s="326"/>
      <c r="G172" s="326"/>
      <c r="H172" s="338"/>
    </row>
    <row r="173" spans="1:8" s="30" customFormat="1">
      <c r="A173" s="323"/>
      <c r="B173" s="325"/>
      <c r="C173" s="325"/>
      <c r="D173" s="326"/>
      <c r="E173" s="326"/>
      <c r="F173" s="326"/>
      <c r="G173" s="326"/>
      <c r="H173" s="333"/>
    </row>
    <row r="174" spans="1:8">
      <c r="A174" s="323"/>
      <c r="B174" s="325"/>
      <c r="C174" s="325"/>
      <c r="D174" s="326"/>
      <c r="E174" s="337"/>
      <c r="F174" s="326"/>
      <c r="G174" s="326"/>
      <c r="H174" s="338"/>
    </row>
    <row r="175" spans="1:8">
      <c r="A175" s="323"/>
      <c r="B175" s="325"/>
      <c r="C175" s="325"/>
      <c r="D175" s="326"/>
      <c r="E175" s="326"/>
      <c r="F175" s="326"/>
      <c r="G175" s="326"/>
      <c r="H175" s="333"/>
    </row>
    <row r="176" spans="1:8">
      <c r="A176" s="322"/>
      <c r="B176" s="324"/>
      <c r="C176" s="325"/>
      <c r="D176" s="326"/>
      <c r="E176" s="337"/>
      <c r="F176" s="326"/>
      <c r="G176" s="326"/>
      <c r="H176" s="333"/>
    </row>
    <row r="177" spans="1:8">
      <c r="A177" s="323"/>
      <c r="B177" s="325"/>
      <c r="C177" s="325"/>
      <c r="D177" s="326"/>
      <c r="E177" s="326"/>
      <c r="F177" s="326"/>
      <c r="G177" s="326"/>
      <c r="H177" s="333"/>
    </row>
    <row r="178" spans="1:8">
      <c r="A178" s="322"/>
      <c r="B178" s="324"/>
      <c r="C178" s="325"/>
      <c r="D178" s="326"/>
      <c r="E178" s="337"/>
      <c r="F178" s="326"/>
      <c r="G178" s="326"/>
      <c r="H178" s="338"/>
    </row>
    <row r="179" spans="1:8" s="30" customFormat="1">
      <c r="A179" s="323"/>
      <c r="B179" s="325"/>
      <c r="C179" s="325"/>
      <c r="D179" s="326"/>
      <c r="E179" s="326"/>
      <c r="F179" s="326"/>
      <c r="G179" s="326"/>
      <c r="H179" s="333"/>
    </row>
    <row r="180" spans="1:8">
      <c r="A180" s="323"/>
      <c r="B180" s="324"/>
      <c r="C180" s="325"/>
      <c r="D180" s="326"/>
      <c r="E180" s="337"/>
      <c r="F180" s="326"/>
      <c r="G180" s="326"/>
      <c r="H180" s="338"/>
    </row>
    <row r="181" spans="1:8">
      <c r="A181" s="323"/>
      <c r="B181" s="325"/>
      <c r="C181" s="325"/>
      <c r="D181" s="326"/>
      <c r="E181" s="326"/>
      <c r="F181" s="326"/>
      <c r="G181" s="326"/>
      <c r="H181" s="333"/>
    </row>
    <row r="182" spans="1:8">
      <c r="A182" s="323"/>
      <c r="B182" s="325"/>
      <c r="C182" s="325"/>
      <c r="D182" s="326"/>
      <c r="E182" s="326"/>
      <c r="F182" s="326"/>
      <c r="G182" s="326"/>
      <c r="H182" s="338"/>
    </row>
    <row r="183" spans="1:8">
      <c r="A183" s="323"/>
      <c r="B183" s="325"/>
      <c r="C183" s="325"/>
      <c r="D183" s="326"/>
      <c r="E183" s="326"/>
      <c r="F183" s="326"/>
      <c r="G183" s="326"/>
      <c r="H183" s="333"/>
    </row>
    <row r="184" spans="1:8">
      <c r="A184" s="322"/>
      <c r="B184" s="325"/>
      <c r="C184" s="325"/>
      <c r="D184" s="326"/>
      <c r="E184" s="337"/>
      <c r="F184" s="326"/>
      <c r="G184" s="326"/>
      <c r="H184" s="338"/>
    </row>
    <row r="185" spans="1:8" s="30" customFormat="1">
      <c r="A185" s="323"/>
      <c r="B185" s="325"/>
      <c r="C185" s="325"/>
      <c r="D185" s="326"/>
      <c r="E185" s="326"/>
      <c r="F185" s="326"/>
      <c r="G185" s="326"/>
      <c r="H185" s="333"/>
    </row>
    <row r="186" spans="1:8">
      <c r="A186" s="322"/>
      <c r="B186" s="325"/>
      <c r="C186" s="325"/>
      <c r="D186" s="326"/>
      <c r="E186" s="337"/>
      <c r="F186" s="326"/>
      <c r="G186" s="326"/>
      <c r="H186" s="338"/>
    </row>
    <row r="187" spans="1:8">
      <c r="A187" s="323"/>
      <c r="B187" s="325"/>
      <c r="C187" s="325"/>
      <c r="D187" s="326"/>
      <c r="E187" s="326"/>
      <c r="F187" s="326"/>
      <c r="G187" s="326"/>
      <c r="H187" s="333"/>
    </row>
    <row r="188" spans="1:8">
      <c r="A188" s="323"/>
      <c r="B188" s="324"/>
      <c r="C188" s="325"/>
      <c r="D188" s="326"/>
      <c r="E188" s="337"/>
      <c r="F188" s="326"/>
      <c r="G188" s="326"/>
      <c r="H188" s="338"/>
    </row>
    <row r="189" spans="1:8">
      <c r="A189" s="323"/>
      <c r="B189" s="325"/>
      <c r="C189" s="325"/>
      <c r="D189" s="326"/>
      <c r="E189" s="326"/>
      <c r="F189" s="326"/>
      <c r="G189" s="326"/>
      <c r="H189" s="333"/>
    </row>
    <row r="190" spans="1:8" ht="16.5" customHeight="1">
      <c r="A190" s="322"/>
      <c r="B190" s="324"/>
      <c r="C190" s="324"/>
      <c r="D190" s="326"/>
      <c r="E190" s="327"/>
      <c r="F190" s="328"/>
      <c r="G190" s="329"/>
      <c r="H190" s="338"/>
    </row>
    <row r="191" spans="1:8" ht="16.5" customHeight="1">
      <c r="A191" s="323"/>
      <c r="B191" s="325"/>
      <c r="C191" s="325"/>
      <c r="D191" s="326"/>
      <c r="E191" s="330"/>
      <c r="F191" s="331"/>
      <c r="G191" s="332"/>
      <c r="H191" s="333"/>
    </row>
    <row r="192" spans="1:8" ht="16.5" customHeight="1">
      <c r="A192" s="322"/>
      <c r="B192" s="324"/>
      <c r="C192" s="325"/>
      <c r="D192" s="326"/>
      <c r="E192" s="326"/>
      <c r="F192" s="326"/>
      <c r="G192" s="326"/>
      <c r="H192" s="338"/>
    </row>
    <row r="193" spans="1:8" ht="16.5" customHeight="1">
      <c r="A193" s="323"/>
      <c r="B193" s="325"/>
      <c r="C193" s="325"/>
      <c r="D193" s="326"/>
      <c r="E193" s="326"/>
      <c r="F193" s="326"/>
      <c r="G193" s="326"/>
      <c r="H193" s="333"/>
    </row>
    <row r="194" spans="1:8" ht="16.5" customHeight="1">
      <c r="A194" s="336"/>
      <c r="B194" s="324"/>
      <c r="C194" s="324"/>
      <c r="D194" s="326"/>
      <c r="E194" s="327"/>
      <c r="F194" s="328"/>
      <c r="G194" s="329"/>
      <c r="H194" s="350"/>
    </row>
    <row r="195" spans="1:8" ht="16.5" customHeight="1">
      <c r="A195" s="323"/>
      <c r="B195" s="325"/>
      <c r="C195" s="325"/>
      <c r="D195" s="326"/>
      <c r="E195" s="330"/>
      <c r="F195" s="331"/>
      <c r="G195" s="332"/>
      <c r="H195" s="351"/>
    </row>
    <row r="196" spans="1:8" ht="16.5" customHeight="1">
      <c r="A196" s="322"/>
      <c r="B196" s="324"/>
      <c r="C196" s="325"/>
      <c r="D196" s="326"/>
      <c r="E196" s="337"/>
      <c r="F196" s="326"/>
      <c r="G196" s="326"/>
      <c r="H196" s="338"/>
    </row>
    <row r="197" spans="1:8" ht="16.5" customHeight="1">
      <c r="A197" s="323"/>
      <c r="B197" s="325"/>
      <c r="C197" s="325"/>
      <c r="D197" s="326"/>
      <c r="E197" s="326"/>
      <c r="F197" s="326"/>
      <c r="G197" s="326"/>
      <c r="H197" s="333"/>
    </row>
    <row r="198" spans="1:8" ht="16.5" customHeight="1">
      <c r="A198" s="335"/>
      <c r="B198" s="324"/>
      <c r="C198" s="341"/>
      <c r="D198" s="343"/>
      <c r="E198" s="327"/>
      <c r="F198" s="345"/>
      <c r="G198" s="346"/>
      <c r="H198" s="333"/>
    </row>
    <row r="199" spans="1:8" ht="16.5" customHeight="1">
      <c r="A199" s="336"/>
      <c r="B199" s="325"/>
      <c r="C199" s="342"/>
      <c r="D199" s="344"/>
      <c r="E199" s="347"/>
      <c r="F199" s="348"/>
      <c r="G199" s="349"/>
      <c r="H199" s="333"/>
    </row>
    <row r="200" spans="1:8" ht="16.5" customHeight="1">
      <c r="A200" s="322"/>
      <c r="B200" s="324"/>
      <c r="C200" s="325"/>
      <c r="D200" s="326"/>
      <c r="E200" s="327"/>
      <c r="F200" s="328"/>
      <c r="G200" s="329"/>
      <c r="H200" s="333"/>
    </row>
    <row r="201" spans="1:8" ht="16.5" customHeight="1">
      <c r="A201" s="323"/>
      <c r="B201" s="325"/>
      <c r="C201" s="325"/>
      <c r="D201" s="326"/>
      <c r="E201" s="330"/>
      <c r="F201" s="331"/>
      <c r="G201" s="332"/>
      <c r="H201" s="333"/>
    </row>
    <row r="202" spans="1:8" ht="16.5" customHeight="1">
      <c r="A202" s="322"/>
      <c r="B202" s="324"/>
      <c r="C202" s="324"/>
      <c r="D202" s="326"/>
      <c r="E202" s="327"/>
      <c r="F202" s="328"/>
      <c r="G202" s="329"/>
      <c r="H202" s="333"/>
    </row>
    <row r="203" spans="1:8" ht="16.5" customHeight="1">
      <c r="A203" s="323"/>
      <c r="B203" s="325"/>
      <c r="C203" s="325"/>
      <c r="D203" s="326"/>
      <c r="E203" s="330"/>
      <c r="F203" s="331"/>
      <c r="G203" s="332"/>
      <c r="H203" s="333"/>
    </row>
    <row r="204" spans="1:8" ht="16.5" customHeight="1">
      <c r="A204" s="322"/>
      <c r="B204" s="324"/>
      <c r="C204" s="325"/>
      <c r="D204" s="326"/>
      <c r="E204" s="327"/>
      <c r="F204" s="328"/>
      <c r="G204" s="329"/>
      <c r="H204" s="333"/>
    </row>
    <row r="205" spans="1:8" ht="16.5" customHeight="1">
      <c r="A205" s="323"/>
      <c r="B205" s="325"/>
      <c r="C205" s="325"/>
      <c r="D205" s="326"/>
      <c r="E205" s="330"/>
      <c r="F205" s="331"/>
      <c r="G205" s="332"/>
      <c r="H205" s="333"/>
    </row>
    <row r="206" spans="1:8" ht="16.5" customHeight="1">
      <c r="A206" s="322"/>
      <c r="B206" s="324"/>
      <c r="C206" s="325"/>
      <c r="D206" s="326"/>
      <c r="E206" s="327"/>
      <c r="F206" s="328"/>
      <c r="G206" s="329"/>
      <c r="H206" s="333"/>
    </row>
    <row r="207" spans="1:8" ht="17.25" customHeight="1">
      <c r="A207" s="323"/>
      <c r="B207" s="325"/>
      <c r="C207" s="325"/>
      <c r="D207" s="326"/>
      <c r="E207" s="330"/>
      <c r="F207" s="331"/>
      <c r="G207" s="332"/>
      <c r="H207" s="333"/>
    </row>
    <row r="208" spans="1:8" ht="16.5" customHeight="1">
      <c r="A208" s="322"/>
      <c r="B208" s="324"/>
      <c r="C208" s="325"/>
      <c r="D208" s="326"/>
      <c r="E208" s="327"/>
      <c r="F208" s="328"/>
      <c r="G208" s="329"/>
      <c r="H208" s="333"/>
    </row>
    <row r="209" spans="1:11" ht="16.5" customHeight="1">
      <c r="A209" s="323"/>
      <c r="B209" s="325"/>
      <c r="C209" s="325"/>
      <c r="D209" s="326"/>
      <c r="E209" s="330"/>
      <c r="F209" s="331"/>
      <c r="G209" s="332"/>
      <c r="H209" s="333"/>
    </row>
    <row r="210" spans="1:11" ht="16.5" customHeight="1">
      <c r="A210" s="322"/>
      <c r="B210" s="324"/>
      <c r="C210" s="324"/>
      <c r="D210" s="326"/>
      <c r="E210" s="327"/>
      <c r="F210" s="328"/>
      <c r="G210" s="329"/>
      <c r="H210" s="333"/>
    </row>
    <row r="211" spans="1:11" ht="16.5" customHeight="1">
      <c r="A211" s="323"/>
      <c r="B211" s="325"/>
      <c r="C211" s="325"/>
      <c r="D211" s="326"/>
      <c r="E211" s="330"/>
      <c r="F211" s="331"/>
      <c r="G211" s="332"/>
      <c r="H211" s="333"/>
    </row>
    <row r="212" spans="1:11" ht="16.5" customHeight="1">
      <c r="A212" s="322"/>
      <c r="B212" s="324"/>
      <c r="C212" s="324"/>
      <c r="D212" s="326"/>
      <c r="E212" s="327"/>
      <c r="F212" s="328"/>
      <c r="G212" s="329"/>
      <c r="H212" s="333"/>
    </row>
    <row r="213" spans="1:11" ht="16.5" customHeight="1">
      <c r="A213" s="323"/>
      <c r="B213" s="325"/>
      <c r="C213" s="325"/>
      <c r="D213" s="326"/>
      <c r="E213" s="330"/>
      <c r="F213" s="331"/>
      <c r="G213" s="332"/>
      <c r="H213" s="333"/>
    </row>
    <row r="214" spans="1:11" ht="16.5" customHeight="1">
      <c r="A214" s="322"/>
      <c r="B214" s="324"/>
      <c r="C214" s="325"/>
      <c r="D214" s="326"/>
      <c r="E214" s="337"/>
      <c r="F214" s="326"/>
      <c r="G214" s="326"/>
      <c r="H214" s="333"/>
    </row>
    <row r="215" spans="1:11" ht="16.5" customHeight="1">
      <c r="A215" s="323"/>
      <c r="B215" s="325"/>
      <c r="C215" s="325"/>
      <c r="D215" s="326"/>
      <c r="E215" s="326"/>
      <c r="F215" s="326"/>
      <c r="G215" s="326"/>
      <c r="H215" s="333"/>
    </row>
    <row r="216" spans="1:11" ht="16.5" customHeight="1">
      <c r="A216" s="322"/>
      <c r="B216" s="324"/>
      <c r="C216" s="324"/>
      <c r="D216" s="326"/>
      <c r="E216" s="337"/>
      <c r="F216" s="326"/>
      <c r="G216" s="326"/>
      <c r="H216" s="333"/>
    </row>
    <row r="217" spans="1:11" ht="16.5" customHeight="1">
      <c r="A217" s="323"/>
      <c r="B217" s="325"/>
      <c r="C217" s="325"/>
      <c r="D217" s="326"/>
      <c r="E217" s="326"/>
      <c r="F217" s="326"/>
      <c r="G217" s="326"/>
      <c r="H217" s="333"/>
    </row>
    <row r="218" spans="1:11" ht="16.5" customHeight="1">
      <c r="A218" s="339"/>
      <c r="B218" s="324"/>
      <c r="C218" s="324"/>
      <c r="D218" s="326"/>
      <c r="E218" s="327"/>
      <c r="F218" s="328"/>
      <c r="G218" s="329"/>
      <c r="H218" s="333"/>
    </row>
    <row r="219" spans="1:11" ht="16.5" customHeight="1">
      <c r="A219" s="340"/>
      <c r="B219" s="325"/>
      <c r="C219" s="325"/>
      <c r="D219" s="326"/>
      <c r="E219" s="330"/>
      <c r="F219" s="331"/>
      <c r="G219" s="332"/>
      <c r="H219" s="333"/>
    </row>
    <row r="220" spans="1:11" ht="16.5" customHeight="1">
      <c r="A220" s="322"/>
      <c r="B220" s="324"/>
      <c r="C220" s="324"/>
      <c r="D220" s="326"/>
      <c r="E220" s="327"/>
      <c r="F220" s="328"/>
      <c r="G220" s="329"/>
      <c r="H220" s="333"/>
    </row>
    <row r="221" spans="1:11" ht="16.5" customHeight="1">
      <c r="A221" s="323"/>
      <c r="B221" s="325"/>
      <c r="C221" s="325"/>
      <c r="D221" s="326"/>
      <c r="E221" s="330"/>
      <c r="F221" s="331"/>
      <c r="G221" s="332"/>
      <c r="H221" s="333"/>
      <c r="K221" s="24"/>
    </row>
    <row r="222" spans="1:11" ht="16.5" customHeight="1">
      <c r="A222" s="322"/>
      <c r="B222" s="324"/>
      <c r="C222" s="324"/>
      <c r="D222" s="326"/>
      <c r="E222" s="327"/>
      <c r="F222" s="328"/>
      <c r="G222" s="329"/>
      <c r="H222" s="338"/>
    </row>
    <row r="223" spans="1:11" ht="16.5" customHeight="1">
      <c r="A223" s="323"/>
      <c r="B223" s="325"/>
      <c r="C223" s="325"/>
      <c r="D223" s="326"/>
      <c r="E223" s="330"/>
      <c r="F223" s="331"/>
      <c r="G223" s="332"/>
      <c r="H223" s="333"/>
      <c r="K223" s="24"/>
    </row>
    <row r="224" spans="1:11" ht="16.5" customHeight="1">
      <c r="A224" s="322"/>
      <c r="B224" s="324"/>
      <c r="C224" s="324"/>
      <c r="D224" s="326"/>
      <c r="E224" s="327"/>
      <c r="F224" s="328"/>
      <c r="G224" s="329"/>
      <c r="H224" s="333"/>
      <c r="K224" s="24"/>
    </row>
    <row r="225" spans="1:11" ht="16.5" customHeight="1">
      <c r="A225" s="323"/>
      <c r="B225" s="325"/>
      <c r="C225" s="325"/>
      <c r="D225" s="326"/>
      <c r="E225" s="330"/>
      <c r="F225" s="331"/>
      <c r="G225" s="332"/>
      <c r="H225" s="333"/>
      <c r="K225" s="24"/>
    </row>
    <row r="226" spans="1:11" ht="16.5" customHeight="1">
      <c r="A226" s="322"/>
      <c r="B226" s="324"/>
      <c r="C226" s="325"/>
      <c r="D226" s="326"/>
      <c r="E226" s="337"/>
      <c r="F226" s="326"/>
      <c r="G226" s="326"/>
      <c r="H226" s="333"/>
      <c r="K226" s="24"/>
    </row>
    <row r="227" spans="1:11" ht="16.5" customHeight="1">
      <c r="A227" s="323"/>
      <c r="B227" s="325"/>
      <c r="C227" s="325"/>
      <c r="D227" s="326"/>
      <c r="E227" s="326"/>
      <c r="F227" s="326"/>
      <c r="G227" s="326"/>
      <c r="H227" s="333"/>
      <c r="K227" s="24"/>
    </row>
    <row r="228" spans="1:11" ht="16.5" customHeight="1">
      <c r="A228" s="322"/>
      <c r="B228" s="324"/>
      <c r="C228" s="325"/>
      <c r="D228" s="326"/>
      <c r="E228" s="327"/>
      <c r="F228" s="328"/>
      <c r="G228" s="329"/>
      <c r="H228" s="338"/>
      <c r="I228" s="4"/>
    </row>
    <row r="229" spans="1:11" ht="16.5" customHeight="1">
      <c r="A229" s="323"/>
      <c r="B229" s="325"/>
      <c r="C229" s="325"/>
      <c r="D229" s="326"/>
      <c r="E229" s="330"/>
      <c r="F229" s="331"/>
      <c r="G229" s="332"/>
      <c r="H229" s="333"/>
    </row>
    <row r="230" spans="1:11" ht="16.5" customHeight="1">
      <c r="A230" s="322"/>
      <c r="B230" s="324"/>
      <c r="C230" s="325"/>
      <c r="D230" s="326"/>
      <c r="E230" s="327"/>
      <c r="F230" s="328"/>
      <c r="G230" s="329"/>
      <c r="H230" s="333"/>
    </row>
    <row r="231" spans="1:11" ht="16.5" customHeight="1">
      <c r="A231" s="323"/>
      <c r="B231" s="325"/>
      <c r="C231" s="325"/>
      <c r="D231" s="326"/>
      <c r="E231" s="330"/>
      <c r="F231" s="331"/>
      <c r="G231" s="332"/>
      <c r="H231" s="333"/>
    </row>
    <row r="232" spans="1:11" ht="16.5" customHeight="1">
      <c r="A232" s="322"/>
      <c r="B232" s="324"/>
      <c r="C232" s="325"/>
      <c r="D232" s="326"/>
      <c r="E232" s="327"/>
      <c r="F232" s="328"/>
      <c r="G232" s="329"/>
      <c r="H232" s="333"/>
    </row>
    <row r="233" spans="1:11" ht="16.5" customHeight="1">
      <c r="A233" s="323"/>
      <c r="B233" s="325"/>
      <c r="C233" s="325"/>
      <c r="D233" s="326"/>
      <c r="E233" s="330"/>
      <c r="F233" s="331"/>
      <c r="G233" s="332"/>
      <c r="H233" s="333"/>
    </row>
    <row r="234" spans="1:11" ht="16.5" customHeight="1">
      <c r="A234" s="322"/>
      <c r="B234" s="324"/>
      <c r="C234" s="325"/>
      <c r="D234" s="326"/>
      <c r="E234" s="327"/>
      <c r="F234" s="328"/>
      <c r="G234" s="329"/>
      <c r="H234" s="333"/>
    </row>
    <row r="235" spans="1:11" ht="16.5" customHeight="1">
      <c r="A235" s="323"/>
      <c r="B235" s="325"/>
      <c r="C235" s="325"/>
      <c r="D235" s="326"/>
      <c r="E235" s="330"/>
      <c r="F235" s="331"/>
      <c r="G235" s="332"/>
      <c r="H235" s="333"/>
    </row>
    <row r="236" spans="1:11" ht="16.5" customHeight="1">
      <c r="A236" s="322"/>
      <c r="B236" s="324"/>
      <c r="C236" s="325"/>
      <c r="D236" s="326"/>
      <c r="E236" s="327"/>
      <c r="F236" s="328"/>
      <c r="G236" s="329"/>
      <c r="H236" s="333"/>
    </row>
    <row r="237" spans="1:11" ht="16.5" customHeight="1">
      <c r="A237" s="323"/>
      <c r="B237" s="325"/>
      <c r="C237" s="325"/>
      <c r="D237" s="326"/>
      <c r="E237" s="330"/>
      <c r="F237" s="331"/>
      <c r="G237" s="332"/>
      <c r="H237" s="333"/>
    </row>
    <row r="238" spans="1:11" ht="16.5" customHeight="1">
      <c r="A238" s="322"/>
      <c r="B238" s="324"/>
      <c r="C238" s="326"/>
      <c r="D238" s="326"/>
      <c r="E238" s="327"/>
      <c r="F238" s="328"/>
      <c r="G238" s="329"/>
      <c r="H238" s="333"/>
    </row>
    <row r="239" spans="1:11" ht="16.5" customHeight="1">
      <c r="A239" s="323"/>
      <c r="B239" s="325"/>
      <c r="C239" s="326"/>
      <c r="D239" s="326"/>
      <c r="E239" s="330"/>
      <c r="F239" s="331"/>
      <c r="G239" s="332"/>
      <c r="H239" s="333"/>
    </row>
    <row r="240" spans="1:11" ht="16.5" customHeight="1">
      <c r="A240" s="322"/>
      <c r="B240" s="324"/>
      <c r="C240" s="325"/>
      <c r="D240" s="326"/>
      <c r="E240" s="337"/>
      <c r="F240" s="326"/>
      <c r="G240" s="326"/>
      <c r="H240" s="333"/>
      <c r="I240" s="3"/>
      <c r="K240" s="23"/>
    </row>
    <row r="241" spans="1:8" ht="16.5" customHeight="1">
      <c r="A241" s="323"/>
      <c r="B241" s="325"/>
      <c r="C241" s="325"/>
      <c r="D241" s="326"/>
      <c r="E241" s="326"/>
      <c r="F241" s="326"/>
      <c r="G241" s="326"/>
      <c r="H241" s="333"/>
    </row>
    <row r="242" spans="1:8" ht="16.5" customHeight="1">
      <c r="A242" s="322"/>
      <c r="B242" s="324"/>
      <c r="C242" s="325"/>
      <c r="D242" s="326"/>
      <c r="E242" s="327"/>
      <c r="F242" s="328"/>
      <c r="G242" s="329"/>
      <c r="H242" s="333"/>
    </row>
    <row r="243" spans="1:8" ht="16.5" customHeight="1">
      <c r="A243" s="323"/>
      <c r="B243" s="325"/>
      <c r="C243" s="325"/>
      <c r="D243" s="326"/>
      <c r="E243" s="330"/>
      <c r="F243" s="331"/>
      <c r="G243" s="332"/>
      <c r="H243" s="333"/>
    </row>
    <row r="244" spans="1:8" ht="16.5" customHeight="1">
      <c r="A244" s="322"/>
      <c r="B244" s="324"/>
      <c r="C244" s="324"/>
      <c r="D244" s="326"/>
      <c r="E244" s="327"/>
      <c r="F244" s="328"/>
      <c r="G244" s="329"/>
      <c r="H244" s="333"/>
    </row>
    <row r="245" spans="1:8" ht="16.5" customHeight="1">
      <c r="A245" s="323"/>
      <c r="B245" s="325"/>
      <c r="C245" s="325"/>
      <c r="D245" s="326"/>
      <c r="E245" s="330"/>
      <c r="F245" s="331"/>
      <c r="G245" s="332"/>
      <c r="H245" s="333"/>
    </row>
    <row r="246" spans="1:8" ht="16.5" customHeight="1">
      <c r="A246" s="335"/>
      <c r="B246" s="324"/>
      <c r="C246" s="325"/>
      <c r="D246" s="326"/>
      <c r="E246" s="327"/>
      <c r="F246" s="328"/>
      <c r="G246" s="329"/>
      <c r="H246" s="333"/>
    </row>
    <row r="247" spans="1:8" ht="16.5" customHeight="1">
      <c r="A247" s="336"/>
      <c r="B247" s="325"/>
      <c r="C247" s="325"/>
      <c r="D247" s="326"/>
      <c r="E247" s="330"/>
      <c r="F247" s="331"/>
      <c r="G247" s="332"/>
      <c r="H247" s="333"/>
    </row>
    <row r="248" spans="1:8" ht="16.5" customHeight="1">
      <c r="A248" s="334"/>
      <c r="B248" s="324"/>
      <c r="C248" s="324"/>
      <c r="D248" s="326"/>
      <c r="E248" s="327"/>
      <c r="F248" s="328"/>
      <c r="G248" s="329"/>
      <c r="H248" s="333"/>
    </row>
    <row r="249" spans="1:8" ht="16.5" customHeight="1">
      <c r="A249" s="323"/>
      <c r="B249" s="325"/>
      <c r="C249" s="325"/>
      <c r="D249" s="326"/>
      <c r="E249" s="330"/>
      <c r="F249" s="331"/>
      <c r="G249" s="332"/>
      <c r="H249" s="333"/>
    </row>
    <row r="250" spans="1:8" ht="16.5" customHeight="1">
      <c r="A250" s="322"/>
      <c r="B250" s="324"/>
      <c r="C250" s="325"/>
      <c r="D250" s="326"/>
      <c r="E250" s="327"/>
      <c r="F250" s="328"/>
      <c r="G250" s="329"/>
      <c r="H250" s="333"/>
    </row>
    <row r="251" spans="1:8" ht="16.5" customHeight="1">
      <c r="A251" s="323"/>
      <c r="B251" s="325"/>
      <c r="C251" s="325"/>
      <c r="D251" s="326"/>
      <c r="E251" s="330"/>
      <c r="F251" s="331"/>
      <c r="G251" s="332"/>
      <c r="H251" s="333"/>
    </row>
    <row r="252" spans="1:8" ht="16.5" customHeight="1">
      <c r="A252" s="313"/>
      <c r="B252" s="314"/>
      <c r="C252" s="307"/>
      <c r="D252" s="309"/>
      <c r="E252" s="315"/>
      <c r="F252" s="316"/>
      <c r="G252" s="317"/>
      <c r="H252" s="321"/>
    </row>
    <row r="253" spans="1:8" ht="16.5" customHeight="1">
      <c r="A253" s="305"/>
      <c r="B253" s="307"/>
      <c r="C253" s="307"/>
      <c r="D253" s="309"/>
      <c r="E253" s="318"/>
      <c r="F253" s="319"/>
      <c r="G253" s="320"/>
      <c r="H253" s="311"/>
    </row>
    <row r="254" spans="1:8" ht="16.5" customHeight="1">
      <c r="A254" s="313"/>
      <c r="B254" s="314"/>
      <c r="C254" s="307"/>
      <c r="D254" s="309"/>
      <c r="E254" s="315"/>
      <c r="F254" s="316"/>
      <c r="G254" s="317"/>
      <c r="H254" s="321"/>
    </row>
    <row r="255" spans="1:8" ht="16.5" customHeight="1">
      <c r="A255" s="305"/>
      <c r="B255" s="307"/>
      <c r="C255" s="307"/>
      <c r="D255" s="309"/>
      <c r="E255" s="318"/>
      <c r="F255" s="319"/>
      <c r="G255" s="320"/>
      <c r="H255" s="311"/>
    </row>
    <row r="256" spans="1:8">
      <c r="A256" s="305"/>
      <c r="B256" s="307"/>
      <c r="C256" s="307"/>
      <c r="D256" s="309"/>
      <c r="E256" s="309"/>
      <c r="F256" s="309"/>
      <c r="G256" s="309"/>
      <c r="H256" s="311"/>
    </row>
    <row r="257" spans="1:8">
      <c r="A257" s="305"/>
      <c r="B257" s="307"/>
      <c r="C257" s="307"/>
      <c r="D257" s="309"/>
      <c r="E257" s="309"/>
      <c r="F257" s="309"/>
      <c r="G257" s="309"/>
      <c r="H257" s="311"/>
    </row>
    <row r="258" spans="1:8" ht="16.5" customHeight="1">
      <c r="A258" s="313"/>
      <c r="B258" s="314"/>
      <c r="C258" s="307"/>
      <c r="D258" s="309"/>
      <c r="E258" s="315"/>
      <c r="F258" s="316"/>
      <c r="G258" s="317"/>
      <c r="H258" s="311"/>
    </row>
    <row r="259" spans="1:8" ht="16.5" customHeight="1">
      <c r="A259" s="305"/>
      <c r="B259" s="307"/>
      <c r="C259" s="307"/>
      <c r="D259" s="309"/>
      <c r="E259" s="318"/>
      <c r="F259" s="319"/>
      <c r="G259" s="320"/>
      <c r="H259" s="311"/>
    </row>
    <row r="260" spans="1:8" ht="16.5" customHeight="1">
      <c r="A260" s="313"/>
      <c r="B260" s="314"/>
      <c r="C260" s="307"/>
      <c r="D260" s="309"/>
      <c r="E260" s="315"/>
      <c r="F260" s="316"/>
      <c r="G260" s="317"/>
      <c r="H260" s="311"/>
    </row>
    <row r="261" spans="1:8" ht="16.5" customHeight="1">
      <c r="A261" s="305"/>
      <c r="B261" s="307"/>
      <c r="C261" s="307"/>
      <c r="D261" s="309"/>
      <c r="E261" s="318"/>
      <c r="F261" s="319"/>
      <c r="G261" s="320"/>
      <c r="H261" s="311"/>
    </row>
    <row r="262" spans="1:8" ht="16.5" customHeight="1">
      <c r="A262" s="313"/>
      <c r="B262" s="314"/>
      <c r="C262" s="307"/>
      <c r="D262" s="309"/>
      <c r="E262" s="315"/>
      <c r="F262" s="316"/>
      <c r="G262" s="317"/>
      <c r="H262" s="321"/>
    </row>
    <row r="263" spans="1:8" ht="16.5" customHeight="1">
      <c r="A263" s="305"/>
      <c r="B263" s="307"/>
      <c r="C263" s="307"/>
      <c r="D263" s="309"/>
      <c r="E263" s="318"/>
      <c r="F263" s="319"/>
      <c r="G263" s="320"/>
      <c r="H263" s="311"/>
    </row>
    <row r="264" spans="1:8" ht="16.5" customHeight="1">
      <c r="A264" s="313"/>
      <c r="B264" s="314"/>
      <c r="C264" s="307"/>
      <c r="D264" s="309"/>
      <c r="E264" s="315"/>
      <c r="F264" s="316"/>
      <c r="G264" s="317"/>
      <c r="H264" s="321"/>
    </row>
    <row r="265" spans="1:8" ht="16.5" customHeight="1">
      <c r="A265" s="305"/>
      <c r="B265" s="307"/>
      <c r="C265" s="307"/>
      <c r="D265" s="309"/>
      <c r="E265" s="318"/>
      <c r="F265" s="319"/>
      <c r="G265" s="320"/>
      <c r="H265" s="311"/>
    </row>
    <row r="266" spans="1:8">
      <c r="A266" s="305"/>
      <c r="B266" s="307"/>
      <c r="C266" s="307"/>
      <c r="D266" s="309"/>
      <c r="E266" s="309"/>
      <c r="F266" s="309"/>
      <c r="G266" s="309"/>
      <c r="H266" s="311"/>
    </row>
    <row r="267" spans="1:8">
      <c r="A267" s="305"/>
      <c r="B267" s="307"/>
      <c r="C267" s="307"/>
      <c r="D267" s="309"/>
      <c r="E267" s="309"/>
      <c r="F267" s="309"/>
      <c r="G267" s="309"/>
      <c r="H267" s="311"/>
    </row>
    <row r="268" spans="1:8" ht="16.5" customHeight="1">
      <c r="A268" s="313"/>
      <c r="B268" s="314"/>
      <c r="C268" s="307"/>
      <c r="D268" s="309"/>
      <c r="E268" s="315"/>
      <c r="F268" s="316"/>
      <c r="G268" s="317"/>
      <c r="H268" s="311"/>
    </row>
    <row r="269" spans="1:8" ht="16.5" customHeight="1">
      <c r="A269" s="305"/>
      <c r="B269" s="307"/>
      <c r="C269" s="307"/>
      <c r="D269" s="309"/>
      <c r="E269" s="318"/>
      <c r="F269" s="319"/>
      <c r="G269" s="320"/>
      <c r="H269" s="311"/>
    </row>
    <row r="270" spans="1:8" ht="16.5" customHeight="1">
      <c r="A270" s="313"/>
      <c r="B270" s="314"/>
      <c r="C270" s="307"/>
      <c r="D270" s="309"/>
      <c r="E270" s="315"/>
      <c r="F270" s="316"/>
      <c r="G270" s="317"/>
      <c r="H270" s="321"/>
    </row>
    <row r="271" spans="1:8" ht="16.5" customHeight="1">
      <c r="A271" s="305"/>
      <c r="B271" s="307"/>
      <c r="C271" s="307"/>
      <c r="D271" s="309"/>
      <c r="E271" s="318"/>
      <c r="F271" s="319"/>
      <c r="G271" s="320"/>
      <c r="H271" s="311"/>
    </row>
    <row r="272" spans="1:8" ht="16.5" customHeight="1">
      <c r="A272" s="313"/>
      <c r="B272" s="314"/>
      <c r="C272" s="307"/>
      <c r="D272" s="309"/>
      <c r="E272" s="315"/>
      <c r="F272" s="316"/>
      <c r="G272" s="317"/>
      <c r="H272" s="321"/>
    </row>
    <row r="273" spans="1:8" ht="16.5" customHeight="1">
      <c r="A273" s="305"/>
      <c r="B273" s="307"/>
      <c r="C273" s="307"/>
      <c r="D273" s="309"/>
      <c r="E273" s="318"/>
      <c r="F273" s="319"/>
      <c r="G273" s="320"/>
      <c r="H273" s="311"/>
    </row>
    <row r="274" spans="1:8">
      <c r="A274" s="305"/>
      <c r="B274" s="307"/>
      <c r="C274" s="307"/>
      <c r="D274" s="309"/>
      <c r="E274" s="309"/>
      <c r="F274" s="309"/>
      <c r="G274" s="309"/>
      <c r="H274" s="311"/>
    </row>
    <row r="275" spans="1:8">
      <c r="A275" s="305"/>
      <c r="B275" s="307"/>
      <c r="C275" s="307"/>
      <c r="D275" s="309"/>
      <c r="E275" s="309"/>
      <c r="F275" s="309"/>
      <c r="G275" s="309"/>
      <c r="H275" s="311"/>
    </row>
    <row r="276" spans="1:8">
      <c r="A276" s="305"/>
      <c r="B276" s="307"/>
      <c r="C276" s="307"/>
      <c r="D276" s="309"/>
      <c r="E276" s="309"/>
      <c r="F276" s="309"/>
      <c r="G276" s="309"/>
      <c r="H276" s="311"/>
    </row>
    <row r="277" spans="1:8" ht="17.25" thickBot="1">
      <c r="A277" s="306"/>
      <c r="B277" s="308"/>
      <c r="C277" s="308"/>
      <c r="D277" s="310"/>
      <c r="E277" s="310"/>
      <c r="F277" s="310"/>
      <c r="G277" s="310"/>
      <c r="H277" s="312"/>
    </row>
  </sheetData>
  <mergeCells count="804">
    <mergeCell ref="A276:A277"/>
    <mergeCell ref="B276:B277"/>
    <mergeCell ref="C276:C277"/>
    <mergeCell ref="D276:D277"/>
    <mergeCell ref="E276:G277"/>
    <mergeCell ref="H276:H277"/>
    <mergeCell ref="A274:A275"/>
    <mergeCell ref="B274:B275"/>
    <mergeCell ref="C274:C275"/>
    <mergeCell ref="D274:D275"/>
    <mergeCell ref="E274:G275"/>
    <mergeCell ref="H274:H275"/>
    <mergeCell ref="A272:A273"/>
    <mergeCell ref="B272:B273"/>
    <mergeCell ref="C272:C273"/>
    <mergeCell ref="D272:D273"/>
    <mergeCell ref="E272:G273"/>
    <mergeCell ref="H272:H273"/>
    <mergeCell ref="A270:A271"/>
    <mergeCell ref="B270:B271"/>
    <mergeCell ref="C270:C271"/>
    <mergeCell ref="D270:D271"/>
    <mergeCell ref="E270:G271"/>
    <mergeCell ref="H270:H271"/>
    <mergeCell ref="A268:A269"/>
    <mergeCell ref="B268:B269"/>
    <mergeCell ref="C268:C269"/>
    <mergeCell ref="D268:D269"/>
    <mergeCell ref="E268:G269"/>
    <mergeCell ref="H268:H269"/>
    <mergeCell ref="A266:A267"/>
    <mergeCell ref="B266:B267"/>
    <mergeCell ref="C266:C267"/>
    <mergeCell ref="D266:D267"/>
    <mergeCell ref="E266:G267"/>
    <mergeCell ref="H266:H267"/>
    <mergeCell ref="A264:A265"/>
    <mergeCell ref="B264:B265"/>
    <mergeCell ref="C264:C265"/>
    <mergeCell ref="D264:D265"/>
    <mergeCell ref="E264:G265"/>
    <mergeCell ref="H264:H265"/>
    <mergeCell ref="A262:A263"/>
    <mergeCell ref="B262:B263"/>
    <mergeCell ref="C262:C263"/>
    <mergeCell ref="D262:D263"/>
    <mergeCell ref="E262:G263"/>
    <mergeCell ref="H262:H263"/>
    <mergeCell ref="A260:A261"/>
    <mergeCell ref="B260:B261"/>
    <mergeCell ref="C260:C261"/>
    <mergeCell ref="D260:D261"/>
    <mergeCell ref="E260:G261"/>
    <mergeCell ref="H260:H261"/>
    <mergeCell ref="A258:A259"/>
    <mergeCell ref="B258:B259"/>
    <mergeCell ref="C258:C259"/>
    <mergeCell ref="D258:D259"/>
    <mergeCell ref="E258:G259"/>
    <mergeCell ref="H258:H259"/>
    <mergeCell ref="A256:A257"/>
    <mergeCell ref="B256:B257"/>
    <mergeCell ref="C256:C257"/>
    <mergeCell ref="D256:D257"/>
    <mergeCell ref="E256:G257"/>
    <mergeCell ref="H256:H257"/>
    <mergeCell ref="A254:A255"/>
    <mergeCell ref="B254:B255"/>
    <mergeCell ref="C254:C255"/>
    <mergeCell ref="D254:D255"/>
    <mergeCell ref="E254:G255"/>
    <mergeCell ref="H254:H255"/>
    <mergeCell ref="A252:A253"/>
    <mergeCell ref="B252:B253"/>
    <mergeCell ref="C252:C253"/>
    <mergeCell ref="D252:D253"/>
    <mergeCell ref="E252:G253"/>
    <mergeCell ref="H252:H253"/>
    <mergeCell ref="A250:A251"/>
    <mergeCell ref="B250:B251"/>
    <mergeCell ref="C250:C251"/>
    <mergeCell ref="D250:D251"/>
    <mergeCell ref="E250:G251"/>
    <mergeCell ref="H250:H251"/>
    <mergeCell ref="A248:A249"/>
    <mergeCell ref="B248:B249"/>
    <mergeCell ref="C248:C249"/>
    <mergeCell ref="D248:D249"/>
    <mergeCell ref="E248:G249"/>
    <mergeCell ref="H248:H249"/>
    <mergeCell ref="A246:A247"/>
    <mergeCell ref="B246:B247"/>
    <mergeCell ref="C246:C247"/>
    <mergeCell ref="D246:D247"/>
    <mergeCell ref="E246:G247"/>
    <mergeCell ref="H246:H247"/>
    <mergeCell ref="A244:A245"/>
    <mergeCell ref="B244:B245"/>
    <mergeCell ref="C244:C245"/>
    <mergeCell ref="D244:D245"/>
    <mergeCell ref="E244:G245"/>
    <mergeCell ref="H244:H245"/>
    <mergeCell ref="A242:A243"/>
    <mergeCell ref="B242:B243"/>
    <mergeCell ref="C242:C243"/>
    <mergeCell ref="D242:D243"/>
    <mergeCell ref="E242:G243"/>
    <mergeCell ref="H242:H243"/>
    <mergeCell ref="A240:A241"/>
    <mergeCell ref="B240:B241"/>
    <mergeCell ref="C240:C241"/>
    <mergeCell ref="D240:D241"/>
    <mergeCell ref="E240:G241"/>
    <mergeCell ref="H240:H241"/>
    <mergeCell ref="A238:A239"/>
    <mergeCell ref="B238:B239"/>
    <mergeCell ref="C238:C239"/>
    <mergeCell ref="D238:D239"/>
    <mergeCell ref="E238:G239"/>
    <mergeCell ref="H238:H239"/>
    <mergeCell ref="A236:A237"/>
    <mergeCell ref="B236:B237"/>
    <mergeCell ref="C236:C237"/>
    <mergeCell ref="D236:D237"/>
    <mergeCell ref="E236:G237"/>
    <mergeCell ref="H236:H237"/>
    <mergeCell ref="A234:A235"/>
    <mergeCell ref="B234:B235"/>
    <mergeCell ref="C234:C235"/>
    <mergeCell ref="D234:D235"/>
    <mergeCell ref="E234:G235"/>
    <mergeCell ref="H234:H235"/>
    <mergeCell ref="A232:A233"/>
    <mergeCell ref="B232:B233"/>
    <mergeCell ref="C232:C233"/>
    <mergeCell ref="D232:D233"/>
    <mergeCell ref="E232:G233"/>
    <mergeCell ref="H232:H233"/>
    <mergeCell ref="A230:A231"/>
    <mergeCell ref="B230:B231"/>
    <mergeCell ref="C230:C231"/>
    <mergeCell ref="D230:D231"/>
    <mergeCell ref="E230:G231"/>
    <mergeCell ref="H230:H231"/>
    <mergeCell ref="A228:A229"/>
    <mergeCell ref="B228:B229"/>
    <mergeCell ref="C228:C229"/>
    <mergeCell ref="D228:D229"/>
    <mergeCell ref="E228:G229"/>
    <mergeCell ref="H228:H229"/>
    <mergeCell ref="A226:A227"/>
    <mergeCell ref="B226:B227"/>
    <mergeCell ref="C226:C227"/>
    <mergeCell ref="D226:D227"/>
    <mergeCell ref="E226:G227"/>
    <mergeCell ref="H226:H227"/>
    <mergeCell ref="A224:A225"/>
    <mergeCell ref="B224:B225"/>
    <mergeCell ref="C224:C225"/>
    <mergeCell ref="D224:D225"/>
    <mergeCell ref="E224:G225"/>
    <mergeCell ref="H224:H225"/>
    <mergeCell ref="A222:A223"/>
    <mergeCell ref="B222:B223"/>
    <mergeCell ref="C222:C223"/>
    <mergeCell ref="D222:D223"/>
    <mergeCell ref="E222:G223"/>
    <mergeCell ref="H222:H223"/>
    <mergeCell ref="A220:A221"/>
    <mergeCell ref="B220:B221"/>
    <mergeCell ref="C220:C221"/>
    <mergeCell ref="D220:D221"/>
    <mergeCell ref="E220:G221"/>
    <mergeCell ref="H220:H221"/>
    <mergeCell ref="A218:A219"/>
    <mergeCell ref="B218:B219"/>
    <mergeCell ref="C218:C219"/>
    <mergeCell ref="D218:D219"/>
    <mergeCell ref="E218:G219"/>
    <mergeCell ref="H218:H219"/>
    <mergeCell ref="A216:A217"/>
    <mergeCell ref="B216:B217"/>
    <mergeCell ref="C216:C217"/>
    <mergeCell ref="D216:D217"/>
    <mergeCell ref="E216:G217"/>
    <mergeCell ref="H216:H217"/>
    <mergeCell ref="A214:A215"/>
    <mergeCell ref="B214:B215"/>
    <mergeCell ref="C214:C215"/>
    <mergeCell ref="D214:D215"/>
    <mergeCell ref="E214:G215"/>
    <mergeCell ref="H214:H215"/>
    <mergeCell ref="A212:A213"/>
    <mergeCell ref="B212:B213"/>
    <mergeCell ref="C212:C213"/>
    <mergeCell ref="D212:D213"/>
    <mergeCell ref="E212:G213"/>
    <mergeCell ref="H212:H213"/>
    <mergeCell ref="A210:A211"/>
    <mergeCell ref="B210:B211"/>
    <mergeCell ref="C210:C211"/>
    <mergeCell ref="D210:D211"/>
    <mergeCell ref="E210:G211"/>
    <mergeCell ref="H210:H211"/>
    <mergeCell ref="A208:A209"/>
    <mergeCell ref="B208:B209"/>
    <mergeCell ref="C208:C209"/>
    <mergeCell ref="D208:D209"/>
    <mergeCell ref="E208:G209"/>
    <mergeCell ref="H208:H209"/>
    <mergeCell ref="A206:A207"/>
    <mergeCell ref="B206:B207"/>
    <mergeCell ref="C206:C207"/>
    <mergeCell ref="D206:D207"/>
    <mergeCell ref="E206:G207"/>
    <mergeCell ref="H206:H207"/>
    <mergeCell ref="A204:A205"/>
    <mergeCell ref="B204:B205"/>
    <mergeCell ref="C204:C205"/>
    <mergeCell ref="D204:D205"/>
    <mergeCell ref="E204:G205"/>
    <mergeCell ref="H204:H205"/>
    <mergeCell ref="A202:A203"/>
    <mergeCell ref="B202:B203"/>
    <mergeCell ref="C202:C203"/>
    <mergeCell ref="D202:D203"/>
    <mergeCell ref="E202:G203"/>
    <mergeCell ref="H202:H203"/>
    <mergeCell ref="A200:A201"/>
    <mergeCell ref="B200:B201"/>
    <mergeCell ref="C200:C201"/>
    <mergeCell ref="D200:D201"/>
    <mergeCell ref="E200:G201"/>
    <mergeCell ref="H200:H201"/>
    <mergeCell ref="A198:A199"/>
    <mergeCell ref="B198:B199"/>
    <mergeCell ref="C198:C199"/>
    <mergeCell ref="D198:D199"/>
    <mergeCell ref="E198:G199"/>
    <mergeCell ref="H198:H199"/>
    <mergeCell ref="A196:A197"/>
    <mergeCell ref="B196:B197"/>
    <mergeCell ref="C196:C197"/>
    <mergeCell ref="D196:D197"/>
    <mergeCell ref="E196:G197"/>
    <mergeCell ref="H196:H197"/>
    <mergeCell ref="A194:A195"/>
    <mergeCell ref="B194:B195"/>
    <mergeCell ref="C194:C195"/>
    <mergeCell ref="D194:D195"/>
    <mergeCell ref="E194:G195"/>
    <mergeCell ref="H194:H195"/>
    <mergeCell ref="A192:A193"/>
    <mergeCell ref="B192:B193"/>
    <mergeCell ref="C192:C193"/>
    <mergeCell ref="D192:D193"/>
    <mergeCell ref="E192:G193"/>
    <mergeCell ref="H192:H193"/>
    <mergeCell ref="A190:A191"/>
    <mergeCell ref="B190:B191"/>
    <mergeCell ref="C190:C191"/>
    <mergeCell ref="D190:D191"/>
    <mergeCell ref="E190:G191"/>
    <mergeCell ref="H190:H191"/>
    <mergeCell ref="A188:A189"/>
    <mergeCell ref="B188:B189"/>
    <mergeCell ref="C188:C189"/>
    <mergeCell ref="D188:D189"/>
    <mergeCell ref="E188:G189"/>
    <mergeCell ref="H188:H189"/>
    <mergeCell ref="A186:A187"/>
    <mergeCell ref="B186:B187"/>
    <mergeCell ref="C186:C187"/>
    <mergeCell ref="D186:D187"/>
    <mergeCell ref="E186:G187"/>
    <mergeCell ref="H186:H187"/>
    <mergeCell ref="A184:A185"/>
    <mergeCell ref="B184:B185"/>
    <mergeCell ref="C184:C185"/>
    <mergeCell ref="D184:D185"/>
    <mergeCell ref="E184:G185"/>
    <mergeCell ref="H184:H185"/>
    <mergeCell ref="A182:A183"/>
    <mergeCell ref="B182:B183"/>
    <mergeCell ref="C182:C183"/>
    <mergeCell ref="D182:D183"/>
    <mergeCell ref="E182:G183"/>
    <mergeCell ref="H182:H183"/>
    <mergeCell ref="A180:A181"/>
    <mergeCell ref="B180:B181"/>
    <mergeCell ref="C180:C181"/>
    <mergeCell ref="D180:D181"/>
    <mergeCell ref="E180:G181"/>
    <mergeCell ref="H180:H181"/>
    <mergeCell ref="A178:A179"/>
    <mergeCell ref="B178:B179"/>
    <mergeCell ref="C178:C179"/>
    <mergeCell ref="D178:D179"/>
    <mergeCell ref="E178:G179"/>
    <mergeCell ref="H178:H179"/>
    <mergeCell ref="A176:A177"/>
    <mergeCell ref="B176:B177"/>
    <mergeCell ref="C176:C177"/>
    <mergeCell ref="D176:D177"/>
    <mergeCell ref="E176:G177"/>
    <mergeCell ref="H176:H177"/>
    <mergeCell ref="A174:A175"/>
    <mergeCell ref="B174:B175"/>
    <mergeCell ref="C174:C175"/>
    <mergeCell ref="D174:D175"/>
    <mergeCell ref="E174:G175"/>
    <mergeCell ref="H174:H175"/>
    <mergeCell ref="A172:A173"/>
    <mergeCell ref="B172:B173"/>
    <mergeCell ref="C172:C173"/>
    <mergeCell ref="D172:D173"/>
    <mergeCell ref="E172:G173"/>
    <mergeCell ref="H172:H173"/>
    <mergeCell ref="A170:A171"/>
    <mergeCell ref="B170:B171"/>
    <mergeCell ref="C170:C171"/>
    <mergeCell ref="D170:D171"/>
    <mergeCell ref="E170:G171"/>
    <mergeCell ref="H170:H171"/>
    <mergeCell ref="A168:A169"/>
    <mergeCell ref="B168:B169"/>
    <mergeCell ref="C168:C169"/>
    <mergeCell ref="D168:D169"/>
    <mergeCell ref="E168:G169"/>
    <mergeCell ref="H168:H169"/>
    <mergeCell ref="A166:A167"/>
    <mergeCell ref="B166:B167"/>
    <mergeCell ref="C166:C167"/>
    <mergeCell ref="D166:D167"/>
    <mergeCell ref="E166:G167"/>
    <mergeCell ref="H166:H167"/>
    <mergeCell ref="A164:A165"/>
    <mergeCell ref="B164:B165"/>
    <mergeCell ref="C164:C165"/>
    <mergeCell ref="D164:D165"/>
    <mergeCell ref="E164:G165"/>
    <mergeCell ref="H164:H165"/>
    <mergeCell ref="A162:A163"/>
    <mergeCell ref="B162:B163"/>
    <mergeCell ref="C162:C163"/>
    <mergeCell ref="D162:D163"/>
    <mergeCell ref="E162:G163"/>
    <mergeCell ref="H162:H163"/>
    <mergeCell ref="A160:A161"/>
    <mergeCell ref="B160:B161"/>
    <mergeCell ref="C160:C161"/>
    <mergeCell ref="D160:D161"/>
    <mergeCell ref="E160:G161"/>
    <mergeCell ref="H160:H161"/>
    <mergeCell ref="A158:A159"/>
    <mergeCell ref="B158:B159"/>
    <mergeCell ref="C158:C159"/>
    <mergeCell ref="D158:D159"/>
    <mergeCell ref="E158:G159"/>
    <mergeCell ref="H158:H159"/>
    <mergeCell ref="A156:A157"/>
    <mergeCell ref="B156:B157"/>
    <mergeCell ref="C156:C157"/>
    <mergeCell ref="D156:D157"/>
    <mergeCell ref="E156:G157"/>
    <mergeCell ref="H156:H157"/>
    <mergeCell ref="A154:A155"/>
    <mergeCell ref="B154:B155"/>
    <mergeCell ref="C154:C155"/>
    <mergeCell ref="D154:D155"/>
    <mergeCell ref="E154:G155"/>
    <mergeCell ref="H154:H155"/>
    <mergeCell ref="A152:A153"/>
    <mergeCell ref="B152:B153"/>
    <mergeCell ref="C152:C153"/>
    <mergeCell ref="D152:D153"/>
    <mergeCell ref="E152:G153"/>
    <mergeCell ref="H152:H153"/>
    <mergeCell ref="A150:A151"/>
    <mergeCell ref="B150:B151"/>
    <mergeCell ref="C150:C151"/>
    <mergeCell ref="D150:D151"/>
    <mergeCell ref="E150:G151"/>
    <mergeCell ref="H150:H151"/>
    <mergeCell ref="A148:A149"/>
    <mergeCell ref="B148:B149"/>
    <mergeCell ref="C148:C149"/>
    <mergeCell ref="D148:D149"/>
    <mergeCell ref="E148:G149"/>
    <mergeCell ref="H148:H149"/>
    <mergeCell ref="A146:A147"/>
    <mergeCell ref="B146:B147"/>
    <mergeCell ref="C146:C147"/>
    <mergeCell ref="D146:D147"/>
    <mergeCell ref="E146:G147"/>
    <mergeCell ref="H146:H147"/>
    <mergeCell ref="A144:A145"/>
    <mergeCell ref="B144:B145"/>
    <mergeCell ref="C144:C145"/>
    <mergeCell ref="D144:D145"/>
    <mergeCell ref="E144:G145"/>
    <mergeCell ref="H144:H145"/>
    <mergeCell ref="A142:A143"/>
    <mergeCell ref="B142:B143"/>
    <mergeCell ref="C142:C143"/>
    <mergeCell ref="D142:D143"/>
    <mergeCell ref="E142:G143"/>
    <mergeCell ref="H142:H143"/>
    <mergeCell ref="A140:A141"/>
    <mergeCell ref="B140:B141"/>
    <mergeCell ref="C140:C141"/>
    <mergeCell ref="D140:D141"/>
    <mergeCell ref="E140:G141"/>
    <mergeCell ref="H140:H141"/>
    <mergeCell ref="A138:A139"/>
    <mergeCell ref="B138:B139"/>
    <mergeCell ref="C138:C139"/>
    <mergeCell ref="D138:D139"/>
    <mergeCell ref="E138:G139"/>
    <mergeCell ref="H138:H139"/>
    <mergeCell ref="A136:A137"/>
    <mergeCell ref="B136:B137"/>
    <mergeCell ref="C136:C137"/>
    <mergeCell ref="D136:D137"/>
    <mergeCell ref="E136:G137"/>
    <mergeCell ref="H136:H137"/>
    <mergeCell ref="A134:A135"/>
    <mergeCell ref="B134:B135"/>
    <mergeCell ref="C134:C135"/>
    <mergeCell ref="D134:D135"/>
    <mergeCell ref="E134:G135"/>
    <mergeCell ref="H134:H135"/>
    <mergeCell ref="A132:A133"/>
    <mergeCell ref="B132:B133"/>
    <mergeCell ref="C132:C133"/>
    <mergeCell ref="D132:D133"/>
    <mergeCell ref="E132:G133"/>
    <mergeCell ref="H132:H133"/>
    <mergeCell ref="A126:H129"/>
    <mergeCell ref="A130:A131"/>
    <mergeCell ref="B130:B131"/>
    <mergeCell ref="C130:C131"/>
    <mergeCell ref="D130:D131"/>
    <mergeCell ref="E130:G131"/>
    <mergeCell ref="H130:H131"/>
    <mergeCell ref="A124:A125"/>
    <mergeCell ref="B124:B125"/>
    <mergeCell ref="C124:C125"/>
    <mergeCell ref="D124:D125"/>
    <mergeCell ref="E124:G125"/>
    <mergeCell ref="H124:H125"/>
    <mergeCell ref="A122:A123"/>
    <mergeCell ref="B122:B123"/>
    <mergeCell ref="C122:C123"/>
    <mergeCell ref="D122:D123"/>
    <mergeCell ref="E122:G123"/>
    <mergeCell ref="H122:H123"/>
    <mergeCell ref="A120:A121"/>
    <mergeCell ref="B120:B121"/>
    <mergeCell ref="C120:C121"/>
    <mergeCell ref="D120:D121"/>
    <mergeCell ref="E120:G121"/>
    <mergeCell ref="H120:H121"/>
    <mergeCell ref="A118:A119"/>
    <mergeCell ref="B118:B119"/>
    <mergeCell ref="C118:C119"/>
    <mergeCell ref="D118:D119"/>
    <mergeCell ref="E118:G119"/>
    <mergeCell ref="H118:H119"/>
    <mergeCell ref="A116:A117"/>
    <mergeCell ref="B116:B117"/>
    <mergeCell ref="C116:C117"/>
    <mergeCell ref="D116:D117"/>
    <mergeCell ref="E116:G117"/>
    <mergeCell ref="H116:H117"/>
    <mergeCell ref="A114:A115"/>
    <mergeCell ref="B114:B115"/>
    <mergeCell ref="C114:C115"/>
    <mergeCell ref="D114:D115"/>
    <mergeCell ref="E114:G115"/>
    <mergeCell ref="H114:H115"/>
    <mergeCell ref="A112:A113"/>
    <mergeCell ref="B112:B113"/>
    <mergeCell ref="C112:C113"/>
    <mergeCell ref="D112:D113"/>
    <mergeCell ref="E112:G113"/>
    <mergeCell ref="H112:H113"/>
    <mergeCell ref="A110:A111"/>
    <mergeCell ref="B110:B111"/>
    <mergeCell ref="C110:C111"/>
    <mergeCell ref="D110:D111"/>
    <mergeCell ref="E110:G111"/>
    <mergeCell ref="H110:H111"/>
    <mergeCell ref="A106:A107"/>
    <mergeCell ref="B106:H107"/>
    <mergeCell ref="A108:A109"/>
    <mergeCell ref="B108:B109"/>
    <mergeCell ref="C108:C109"/>
    <mergeCell ref="D108:D109"/>
    <mergeCell ref="E108:G109"/>
    <mergeCell ref="H108:H109"/>
    <mergeCell ref="A104:A105"/>
    <mergeCell ref="B104:B105"/>
    <mergeCell ref="C104:C105"/>
    <mergeCell ref="D104:D105"/>
    <mergeCell ref="E104:G105"/>
    <mergeCell ref="H104:H105"/>
    <mergeCell ref="A102:A103"/>
    <mergeCell ref="B102:B103"/>
    <mergeCell ref="C102:C103"/>
    <mergeCell ref="D102:D103"/>
    <mergeCell ref="E102:G103"/>
    <mergeCell ref="H102:H103"/>
    <mergeCell ref="A100:A101"/>
    <mergeCell ref="B100:B101"/>
    <mergeCell ref="C100:C101"/>
    <mergeCell ref="D100:D101"/>
    <mergeCell ref="E100:G101"/>
    <mergeCell ref="H100:H101"/>
    <mergeCell ref="A98:A99"/>
    <mergeCell ref="B98:B99"/>
    <mergeCell ref="C98:C99"/>
    <mergeCell ref="D98:D99"/>
    <mergeCell ref="E98:G99"/>
    <mergeCell ref="H98:H99"/>
    <mergeCell ref="A96:A97"/>
    <mergeCell ref="B96:B97"/>
    <mergeCell ref="C96:C97"/>
    <mergeCell ref="D96:D97"/>
    <mergeCell ref="E96:G97"/>
    <mergeCell ref="H96:H97"/>
    <mergeCell ref="A94:A95"/>
    <mergeCell ref="B94:B95"/>
    <mergeCell ref="C94:C95"/>
    <mergeCell ref="D94:D95"/>
    <mergeCell ref="E94:G95"/>
    <mergeCell ref="H94:H95"/>
    <mergeCell ref="A92:A93"/>
    <mergeCell ref="B92:B93"/>
    <mergeCell ref="C92:C93"/>
    <mergeCell ref="D92:D93"/>
    <mergeCell ref="E92:G93"/>
    <mergeCell ref="H92:H93"/>
    <mergeCell ref="A90:A91"/>
    <mergeCell ref="B90:B91"/>
    <mergeCell ref="C90:C91"/>
    <mergeCell ref="D90:D91"/>
    <mergeCell ref="E90:G91"/>
    <mergeCell ref="H90:H91"/>
    <mergeCell ref="A88:A89"/>
    <mergeCell ref="B88:B89"/>
    <mergeCell ref="C88:C89"/>
    <mergeCell ref="D88:D89"/>
    <mergeCell ref="E88:G89"/>
    <mergeCell ref="H88:H89"/>
    <mergeCell ref="A86:A87"/>
    <mergeCell ref="B86:B87"/>
    <mergeCell ref="C86:C87"/>
    <mergeCell ref="D86:D87"/>
    <mergeCell ref="E86:G87"/>
    <mergeCell ref="H86:H87"/>
    <mergeCell ref="A84:A85"/>
    <mergeCell ref="B84:B85"/>
    <mergeCell ref="C84:C85"/>
    <mergeCell ref="D84:D85"/>
    <mergeCell ref="E84:G85"/>
    <mergeCell ref="H84:H85"/>
    <mergeCell ref="A82:A83"/>
    <mergeCell ref="B82:B83"/>
    <mergeCell ref="C82:C83"/>
    <mergeCell ref="D82:D83"/>
    <mergeCell ref="E82:G83"/>
    <mergeCell ref="H82:H83"/>
    <mergeCell ref="A80:A81"/>
    <mergeCell ref="B80:B81"/>
    <mergeCell ref="C80:C81"/>
    <mergeCell ref="D80:D81"/>
    <mergeCell ref="E80:G81"/>
    <mergeCell ref="H80:H81"/>
    <mergeCell ref="A78:A79"/>
    <mergeCell ref="B78:B79"/>
    <mergeCell ref="C78:C79"/>
    <mergeCell ref="D78:D79"/>
    <mergeCell ref="E78:G79"/>
    <mergeCell ref="H78:H79"/>
    <mergeCell ref="A76:A77"/>
    <mergeCell ref="B76:B77"/>
    <mergeCell ref="C76:C77"/>
    <mergeCell ref="D76:D77"/>
    <mergeCell ref="E76:G77"/>
    <mergeCell ref="H76:H77"/>
    <mergeCell ref="A74:A75"/>
    <mergeCell ref="B74:B75"/>
    <mergeCell ref="C74:C75"/>
    <mergeCell ref="D74:D75"/>
    <mergeCell ref="E74:G75"/>
    <mergeCell ref="H74:H75"/>
    <mergeCell ref="A72:A73"/>
    <mergeCell ref="B72:B73"/>
    <mergeCell ref="C72:C73"/>
    <mergeCell ref="D72:D73"/>
    <mergeCell ref="E72:G73"/>
    <mergeCell ref="H72:H73"/>
    <mergeCell ref="A70:A71"/>
    <mergeCell ref="B70:B71"/>
    <mergeCell ref="C70:C71"/>
    <mergeCell ref="D70:D71"/>
    <mergeCell ref="E70:G71"/>
    <mergeCell ref="H70:H71"/>
    <mergeCell ref="A68:A69"/>
    <mergeCell ref="B68:B69"/>
    <mergeCell ref="C68:C69"/>
    <mergeCell ref="D68:D69"/>
    <mergeCell ref="E68:G69"/>
    <mergeCell ref="H68:H69"/>
    <mergeCell ref="A66:A67"/>
    <mergeCell ref="A64:A65"/>
    <mergeCell ref="B64:B65"/>
    <mergeCell ref="C64:C65"/>
    <mergeCell ref="D64:D65"/>
    <mergeCell ref="E64:G65"/>
    <mergeCell ref="H64:H65"/>
    <mergeCell ref="B66:H67"/>
    <mergeCell ref="A62:A63"/>
    <mergeCell ref="B62:B63"/>
    <mergeCell ref="C62:C63"/>
    <mergeCell ref="D62:D63"/>
    <mergeCell ref="E62:G63"/>
    <mergeCell ref="H62:H63"/>
    <mergeCell ref="A60:A61"/>
    <mergeCell ref="B60:B61"/>
    <mergeCell ref="C60:C61"/>
    <mergeCell ref="D60:D61"/>
    <mergeCell ref="E60:G61"/>
    <mergeCell ref="H60:H61"/>
    <mergeCell ref="A58:A59"/>
    <mergeCell ref="B58:B59"/>
    <mergeCell ref="C58:C59"/>
    <mergeCell ref="D58:D59"/>
    <mergeCell ref="E58:G59"/>
    <mergeCell ref="H58:H59"/>
    <mergeCell ref="A56:A57"/>
    <mergeCell ref="B56:B57"/>
    <mergeCell ref="C56:C57"/>
    <mergeCell ref="D56:D57"/>
    <mergeCell ref="E56:G57"/>
    <mergeCell ref="H56:H57"/>
    <mergeCell ref="A54:A55"/>
    <mergeCell ref="B54:B55"/>
    <mergeCell ref="C54:C55"/>
    <mergeCell ref="D54:D55"/>
    <mergeCell ref="E54:G55"/>
    <mergeCell ref="H54:H55"/>
    <mergeCell ref="A52:A53"/>
    <mergeCell ref="B52:B53"/>
    <mergeCell ref="C52:C53"/>
    <mergeCell ref="D52:D53"/>
    <mergeCell ref="E52:G53"/>
    <mergeCell ref="H52:H53"/>
    <mergeCell ref="A50:A51"/>
    <mergeCell ref="B50:B51"/>
    <mergeCell ref="C50:C51"/>
    <mergeCell ref="D50:D51"/>
    <mergeCell ref="E50:G51"/>
    <mergeCell ref="H50:H51"/>
    <mergeCell ref="A48:A49"/>
    <mergeCell ref="B48:B49"/>
    <mergeCell ref="C48:C49"/>
    <mergeCell ref="D48:D49"/>
    <mergeCell ref="E48:G49"/>
    <mergeCell ref="H48:H49"/>
    <mergeCell ref="A46:A47"/>
    <mergeCell ref="B46:B47"/>
    <mergeCell ref="C46:C47"/>
    <mergeCell ref="D46:D47"/>
    <mergeCell ref="E46:G47"/>
    <mergeCell ref="H46:H47"/>
    <mergeCell ref="A44:A45"/>
    <mergeCell ref="B44:B45"/>
    <mergeCell ref="C44:C45"/>
    <mergeCell ref="D44:D45"/>
    <mergeCell ref="E44:G45"/>
    <mergeCell ref="H44:H45"/>
    <mergeCell ref="A42:A43"/>
    <mergeCell ref="B42:B43"/>
    <mergeCell ref="C42:C43"/>
    <mergeCell ref="D42:D43"/>
    <mergeCell ref="E42:G43"/>
    <mergeCell ref="H42:H43"/>
    <mergeCell ref="A40:A41"/>
    <mergeCell ref="B38:H41"/>
    <mergeCell ref="A38:A39"/>
    <mergeCell ref="A36:A37"/>
    <mergeCell ref="B36:B37"/>
    <mergeCell ref="C36:C37"/>
    <mergeCell ref="D36:D37"/>
    <mergeCell ref="E36:G37"/>
    <mergeCell ref="H36:H37"/>
    <mergeCell ref="A34:A35"/>
    <mergeCell ref="B34:B35"/>
    <mergeCell ref="C34:C35"/>
    <mergeCell ref="D34:D35"/>
    <mergeCell ref="E34:G35"/>
    <mergeCell ref="H34:H35"/>
    <mergeCell ref="A32:A33"/>
    <mergeCell ref="B32:B33"/>
    <mergeCell ref="C32:C33"/>
    <mergeCell ref="D32:D33"/>
    <mergeCell ref="E32:G33"/>
    <mergeCell ref="H32:H33"/>
    <mergeCell ref="A30:A31"/>
    <mergeCell ref="B30:B31"/>
    <mergeCell ref="C30:C31"/>
    <mergeCell ref="D30:D31"/>
    <mergeCell ref="E30:G31"/>
    <mergeCell ref="H30:H31"/>
    <mergeCell ref="A28:A29"/>
    <mergeCell ref="B28:B29"/>
    <mergeCell ref="C28:C29"/>
    <mergeCell ref="D28:D29"/>
    <mergeCell ref="E28:G29"/>
    <mergeCell ref="H28:H29"/>
    <mergeCell ref="A26:A27"/>
    <mergeCell ref="B26:B27"/>
    <mergeCell ref="C26:C27"/>
    <mergeCell ref="D26:D27"/>
    <mergeCell ref="E26:G27"/>
    <mergeCell ref="H26:H27"/>
    <mergeCell ref="A24:A25"/>
    <mergeCell ref="B24:B25"/>
    <mergeCell ref="C24:C25"/>
    <mergeCell ref="D24:D25"/>
    <mergeCell ref="E24:G25"/>
    <mergeCell ref="H24:H25"/>
    <mergeCell ref="A22:A23"/>
    <mergeCell ref="B22:B23"/>
    <mergeCell ref="C22:C23"/>
    <mergeCell ref="D22:D23"/>
    <mergeCell ref="E22:G23"/>
    <mergeCell ref="H22:H23"/>
    <mergeCell ref="A20:A21"/>
    <mergeCell ref="B20:B21"/>
    <mergeCell ref="C20:C21"/>
    <mergeCell ref="D20:D21"/>
    <mergeCell ref="E20:G21"/>
    <mergeCell ref="H20:H21"/>
    <mergeCell ref="A18:A19"/>
    <mergeCell ref="B18:B19"/>
    <mergeCell ref="C18:C19"/>
    <mergeCell ref="D18:D19"/>
    <mergeCell ref="E18:G19"/>
    <mergeCell ref="H18:H19"/>
    <mergeCell ref="A16:A17"/>
    <mergeCell ref="B16:B17"/>
    <mergeCell ref="C16:C17"/>
    <mergeCell ref="D16:D17"/>
    <mergeCell ref="E16:G17"/>
    <mergeCell ref="H16:H17"/>
    <mergeCell ref="A14:A15"/>
    <mergeCell ref="B14:B15"/>
    <mergeCell ref="C14:C15"/>
    <mergeCell ref="D14:D15"/>
    <mergeCell ref="E14:G15"/>
    <mergeCell ref="H14:H15"/>
    <mergeCell ref="A12:A13"/>
    <mergeCell ref="B12:H13"/>
    <mergeCell ref="A10:A11"/>
    <mergeCell ref="B10:B11"/>
    <mergeCell ref="C10:C11"/>
    <mergeCell ref="D10:D11"/>
    <mergeCell ref="E10:G11"/>
    <mergeCell ref="H10:H11"/>
    <mergeCell ref="A8:A9"/>
    <mergeCell ref="B8:B9"/>
    <mergeCell ref="C8:C9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A3:H3"/>
    <mergeCell ref="A4:A5"/>
    <mergeCell ref="B4:B5"/>
    <mergeCell ref="C4:C5"/>
    <mergeCell ref="D4:D5"/>
    <mergeCell ref="E4:G5"/>
    <mergeCell ref="H4:H5"/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</mergeCells>
  <phoneticPr fontId="1" type="noConversion"/>
  <pageMargins left="0" right="0" top="0" bottom="0" header="0" footer="0"/>
  <pageSetup paperSize="9" scale="3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257"/>
  <sheetViews>
    <sheetView showGridLines="0" zoomScale="115" zoomScaleNormal="115" workbookViewId="0">
      <pane xSplit="8" ySplit="2" topLeftCell="I93" activePane="bottomRight" state="frozen"/>
      <selection pane="topRight" activeCell="I1" sqref="I1"/>
      <selection pane="bottomLeft" activeCell="A3" sqref="A3"/>
      <selection pane="bottomRight" activeCell="E42" sqref="E42:G43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9" max="9" width="9.5" bestFit="1" customWidth="1"/>
    <col min="11" max="11" width="9.5" bestFit="1" customWidth="1"/>
    <col min="12" max="12" width="11" bestFit="1" customWidth="1"/>
  </cols>
  <sheetData>
    <row r="1" spans="1:18" ht="35.25" customHeight="1" thickBot="1">
      <c r="A1" s="388" t="s">
        <v>1633</v>
      </c>
      <c r="B1" s="389"/>
      <c r="C1" s="402" t="s">
        <v>27</v>
      </c>
      <c r="D1" s="403"/>
      <c r="E1" s="21" t="s">
        <v>26</v>
      </c>
      <c r="F1" s="20">
        <f>H1/14</f>
        <v>1086642.857142857</v>
      </c>
      <c r="G1" s="21" t="s">
        <v>4</v>
      </c>
      <c r="H1" s="22">
        <f>SUM(D4:D257)</f>
        <v>15213000</v>
      </c>
      <c r="I1" s="392"/>
      <c r="J1" s="338"/>
      <c r="K1" s="394"/>
      <c r="L1" s="396"/>
      <c r="M1" s="377"/>
      <c r="N1" s="379"/>
      <c r="O1" s="381"/>
      <c r="P1" s="383"/>
      <c r="Q1" s="377"/>
      <c r="R1" s="376"/>
    </row>
    <row r="2" spans="1:18" ht="17.25" thickBot="1">
      <c r="A2" s="27" t="s">
        <v>0</v>
      </c>
      <c r="B2" s="28" t="s">
        <v>1</v>
      </c>
      <c r="C2" s="28" t="s">
        <v>2</v>
      </c>
      <c r="D2" s="29" t="s">
        <v>3</v>
      </c>
      <c r="E2" s="385" t="s">
        <v>25</v>
      </c>
      <c r="F2" s="386"/>
      <c r="G2" s="387"/>
      <c r="H2" s="25" t="s">
        <v>5</v>
      </c>
      <c r="I2" s="393"/>
      <c r="J2" s="333"/>
      <c r="K2" s="395"/>
      <c r="L2" s="397"/>
      <c r="M2" s="378"/>
      <c r="N2" s="380"/>
      <c r="O2" s="382"/>
      <c r="P2" s="384"/>
      <c r="Q2" s="378"/>
      <c r="R2" s="376"/>
    </row>
    <row r="3" spans="1:18" ht="36" customHeight="1">
      <c r="A3" s="441" t="s">
        <v>1649</v>
      </c>
      <c r="B3" s="442"/>
      <c r="C3" s="442"/>
      <c r="D3" s="442"/>
      <c r="E3" s="442"/>
      <c r="F3" s="442"/>
      <c r="G3" s="442"/>
      <c r="H3" s="443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322" t="s">
        <v>1634</v>
      </c>
      <c r="B4" s="444" t="s">
        <v>1635</v>
      </c>
      <c r="C4" s="325"/>
      <c r="D4" s="326">
        <v>110000</v>
      </c>
      <c r="E4" s="327" t="s">
        <v>1636</v>
      </c>
      <c r="F4" s="328"/>
      <c r="G4" s="329"/>
      <c r="H4" s="398" t="s">
        <v>1641</v>
      </c>
      <c r="J4" s="42"/>
    </row>
    <row r="5" spans="1:18" ht="16.5" customHeight="1">
      <c r="A5" s="323"/>
      <c r="B5" s="445"/>
      <c r="C5" s="325"/>
      <c r="D5" s="326"/>
      <c r="E5" s="330"/>
      <c r="F5" s="331"/>
      <c r="G5" s="332"/>
      <c r="H5" s="399"/>
      <c r="J5" s="43"/>
    </row>
    <row r="6" spans="1:18" ht="16.5" customHeight="1">
      <c r="A6" s="322" t="s">
        <v>1637</v>
      </c>
      <c r="B6" s="439" t="s">
        <v>1639</v>
      </c>
      <c r="C6" s="341"/>
      <c r="D6" s="343">
        <v>870000</v>
      </c>
      <c r="E6" s="327" t="s">
        <v>1640</v>
      </c>
      <c r="F6" s="345"/>
      <c r="G6" s="346"/>
      <c r="H6" s="398" t="s">
        <v>1641</v>
      </c>
      <c r="J6" s="43"/>
    </row>
    <row r="7" spans="1:18" ht="16.5" customHeight="1">
      <c r="A7" s="323"/>
      <c r="B7" s="440"/>
      <c r="C7" s="352"/>
      <c r="D7" s="344"/>
      <c r="E7" s="347"/>
      <c r="F7" s="348"/>
      <c r="G7" s="349"/>
      <c r="H7" s="399"/>
      <c r="J7" s="43"/>
    </row>
    <row r="8" spans="1:18" ht="16.5" customHeight="1">
      <c r="A8" s="322" t="s">
        <v>1637</v>
      </c>
      <c r="B8" s="439" t="s">
        <v>1638</v>
      </c>
      <c r="C8" s="353"/>
      <c r="D8" s="343">
        <v>400000</v>
      </c>
      <c r="E8" s="327" t="s">
        <v>1642</v>
      </c>
      <c r="F8" s="345"/>
      <c r="G8" s="346"/>
      <c r="H8" s="398" t="s">
        <v>1641</v>
      </c>
      <c r="J8" s="43"/>
    </row>
    <row r="9" spans="1:18" ht="24" customHeight="1">
      <c r="A9" s="323"/>
      <c r="B9" s="440"/>
      <c r="C9" s="352"/>
      <c r="D9" s="344"/>
      <c r="E9" s="347"/>
      <c r="F9" s="348"/>
      <c r="G9" s="349"/>
      <c r="H9" s="399"/>
    </row>
    <row r="10" spans="1:18" ht="16.5" customHeight="1">
      <c r="A10" s="322"/>
      <c r="B10" s="541" t="s">
        <v>1692</v>
      </c>
      <c r="C10" s="542"/>
      <c r="D10" s="542"/>
      <c r="E10" s="542"/>
      <c r="F10" s="542"/>
      <c r="G10" s="542"/>
      <c r="H10" s="543"/>
    </row>
    <row r="11" spans="1:18" ht="56.25" customHeight="1">
      <c r="A11" s="323"/>
      <c r="B11" s="544"/>
      <c r="C11" s="545"/>
      <c r="D11" s="545"/>
      <c r="E11" s="545"/>
      <c r="F11" s="545"/>
      <c r="G11" s="545"/>
      <c r="H11" s="546"/>
    </row>
    <row r="12" spans="1:18" ht="16.5" customHeight="1">
      <c r="A12" s="322" t="s">
        <v>1643</v>
      </c>
      <c r="B12" s="444" t="s">
        <v>1645</v>
      </c>
      <c r="C12" s="324"/>
      <c r="D12" s="343">
        <v>450000</v>
      </c>
      <c r="E12" s="327" t="s">
        <v>1648</v>
      </c>
      <c r="F12" s="328"/>
      <c r="G12" s="329"/>
      <c r="H12" s="398" t="s">
        <v>1647</v>
      </c>
    </row>
    <row r="13" spans="1:18" ht="16.5" customHeight="1">
      <c r="A13" s="323"/>
      <c r="B13" s="445"/>
      <c r="C13" s="325"/>
      <c r="D13" s="344"/>
      <c r="E13" s="330"/>
      <c r="F13" s="331"/>
      <c r="G13" s="332"/>
      <c r="H13" s="399"/>
    </row>
    <row r="14" spans="1:18" ht="16.5" customHeight="1">
      <c r="A14" s="322" t="s">
        <v>1644</v>
      </c>
      <c r="B14" s="439" t="s">
        <v>1646</v>
      </c>
      <c r="C14" s="324" t="s">
        <v>1650</v>
      </c>
      <c r="D14" s="326">
        <v>750000</v>
      </c>
      <c r="E14" s="327" t="s">
        <v>1651</v>
      </c>
      <c r="F14" s="345"/>
      <c r="G14" s="346"/>
      <c r="H14" s="398" t="s">
        <v>1652</v>
      </c>
    </row>
    <row r="15" spans="1:18" ht="39" customHeight="1">
      <c r="A15" s="323"/>
      <c r="B15" s="440"/>
      <c r="C15" s="325"/>
      <c r="D15" s="326"/>
      <c r="E15" s="347"/>
      <c r="F15" s="348"/>
      <c r="G15" s="349"/>
      <c r="H15" s="399"/>
    </row>
    <row r="16" spans="1:18" ht="16.5" customHeight="1">
      <c r="A16" s="322" t="s">
        <v>1653</v>
      </c>
      <c r="B16" s="439" t="s">
        <v>1662</v>
      </c>
      <c r="C16" s="341"/>
      <c r="D16" s="326">
        <v>160000</v>
      </c>
      <c r="E16" s="327" t="s">
        <v>1663</v>
      </c>
      <c r="F16" s="328"/>
      <c r="G16" s="329"/>
      <c r="H16" s="398" t="s">
        <v>1661</v>
      </c>
    </row>
    <row r="17" spans="1:11" ht="16.5" customHeight="1">
      <c r="A17" s="323"/>
      <c r="B17" s="440"/>
      <c r="C17" s="342"/>
      <c r="D17" s="326"/>
      <c r="E17" s="330"/>
      <c r="F17" s="331"/>
      <c r="G17" s="332"/>
      <c r="H17" s="399"/>
    </row>
    <row r="18" spans="1:11" ht="16.5" customHeight="1">
      <c r="A18" s="322" t="s">
        <v>1653</v>
      </c>
      <c r="B18" s="439" t="s">
        <v>1657</v>
      </c>
      <c r="C18" s="341"/>
      <c r="D18" s="343">
        <v>350000</v>
      </c>
      <c r="E18" s="327" t="s">
        <v>1658</v>
      </c>
      <c r="F18" s="345"/>
      <c r="G18" s="346"/>
      <c r="H18" s="398"/>
    </row>
    <row r="19" spans="1:11" ht="16.5" customHeight="1">
      <c r="A19" s="323"/>
      <c r="B19" s="440"/>
      <c r="C19" s="342"/>
      <c r="D19" s="344"/>
      <c r="E19" s="347"/>
      <c r="F19" s="348"/>
      <c r="G19" s="349"/>
      <c r="H19" s="399"/>
    </row>
    <row r="20" spans="1:11" ht="16.5" customHeight="1">
      <c r="A20" s="322" t="s">
        <v>1653</v>
      </c>
      <c r="B20" s="439" t="s">
        <v>1656</v>
      </c>
      <c r="C20" s="341"/>
      <c r="D20" s="343">
        <v>572000</v>
      </c>
      <c r="E20" s="327"/>
      <c r="F20" s="345"/>
      <c r="G20" s="346"/>
      <c r="H20" s="398" t="s">
        <v>1654</v>
      </c>
    </row>
    <row r="21" spans="1:11" ht="16.5" customHeight="1">
      <c r="A21" s="323"/>
      <c r="B21" s="440"/>
      <c r="C21" s="352"/>
      <c r="D21" s="344"/>
      <c r="E21" s="347"/>
      <c r="F21" s="348"/>
      <c r="G21" s="349"/>
      <c r="H21" s="399"/>
    </row>
    <row r="22" spans="1:11" ht="16.5" customHeight="1">
      <c r="A22" s="322" t="s">
        <v>1655</v>
      </c>
      <c r="B22" s="439" t="s">
        <v>1646</v>
      </c>
      <c r="C22" s="324" t="s">
        <v>1650</v>
      </c>
      <c r="D22" s="326">
        <v>25000</v>
      </c>
      <c r="E22" s="327" t="s">
        <v>1659</v>
      </c>
      <c r="F22" s="328"/>
      <c r="G22" s="329"/>
      <c r="H22" s="398" t="s">
        <v>1660</v>
      </c>
    </row>
    <row r="23" spans="1:11" ht="16.5" customHeight="1">
      <c r="A23" s="323"/>
      <c r="B23" s="440"/>
      <c r="C23" s="325"/>
      <c r="D23" s="326"/>
      <c r="E23" s="330"/>
      <c r="F23" s="331"/>
      <c r="G23" s="332"/>
      <c r="H23" s="399"/>
    </row>
    <row r="24" spans="1:11" ht="16.5" customHeight="1">
      <c r="A24" s="322" t="s">
        <v>1655</v>
      </c>
      <c r="B24" s="444" t="s">
        <v>1664</v>
      </c>
      <c r="C24" s="325"/>
      <c r="D24" s="326">
        <v>170000</v>
      </c>
      <c r="E24" s="327" t="s">
        <v>1665</v>
      </c>
      <c r="F24" s="328"/>
      <c r="G24" s="329"/>
      <c r="H24" s="398" t="s">
        <v>1666</v>
      </c>
    </row>
    <row r="25" spans="1:11" ht="16.5" customHeight="1">
      <c r="A25" s="323"/>
      <c r="B25" s="445"/>
      <c r="C25" s="325"/>
      <c r="D25" s="326"/>
      <c r="E25" s="330"/>
      <c r="F25" s="331"/>
      <c r="G25" s="332"/>
      <c r="H25" s="399"/>
    </row>
    <row r="26" spans="1:11" ht="16.5" customHeight="1">
      <c r="A26" s="335" t="s">
        <v>1667</v>
      </c>
      <c r="B26" s="404" t="s">
        <v>1668</v>
      </c>
      <c r="C26" s="324" t="s">
        <v>1669</v>
      </c>
      <c r="D26" s="326">
        <v>400000</v>
      </c>
      <c r="E26" s="327" t="s">
        <v>1670</v>
      </c>
      <c r="F26" s="328"/>
      <c r="G26" s="329"/>
      <c r="H26" s="360" t="s">
        <v>1671</v>
      </c>
    </row>
    <row r="27" spans="1:11" ht="22.5" customHeight="1">
      <c r="A27" s="336"/>
      <c r="B27" s="405"/>
      <c r="C27" s="325"/>
      <c r="D27" s="326"/>
      <c r="E27" s="330"/>
      <c r="F27" s="331"/>
      <c r="G27" s="332"/>
      <c r="H27" s="359"/>
      <c r="K27" s="24"/>
    </row>
    <row r="28" spans="1:11" ht="16.5" customHeight="1">
      <c r="A28" s="335" t="s">
        <v>1680</v>
      </c>
      <c r="B28" s="444" t="s">
        <v>1681</v>
      </c>
      <c r="C28" s="341" t="s">
        <v>1682</v>
      </c>
      <c r="D28" s="326">
        <v>166000</v>
      </c>
      <c r="E28" s="364"/>
      <c r="F28" s="365"/>
      <c r="G28" s="366"/>
      <c r="H28" s="360" t="s">
        <v>1671</v>
      </c>
    </row>
    <row r="29" spans="1:11" ht="16.5" customHeight="1">
      <c r="A29" s="336"/>
      <c r="B29" s="445"/>
      <c r="C29" s="342"/>
      <c r="D29" s="326"/>
      <c r="E29" s="347"/>
      <c r="F29" s="348"/>
      <c r="G29" s="349"/>
      <c r="H29" s="359"/>
    </row>
    <row r="30" spans="1:11" ht="16.5" customHeight="1">
      <c r="A30" s="335" t="s">
        <v>1678</v>
      </c>
      <c r="B30" s="439" t="s">
        <v>1672</v>
      </c>
      <c r="C30" s="341"/>
      <c r="D30" s="326">
        <v>110000</v>
      </c>
      <c r="E30" s="327" t="s">
        <v>1673</v>
      </c>
      <c r="F30" s="345"/>
      <c r="G30" s="346"/>
      <c r="H30" s="360" t="s">
        <v>1674</v>
      </c>
    </row>
    <row r="31" spans="1:11" ht="16.5" customHeight="1">
      <c r="A31" s="336"/>
      <c r="B31" s="440"/>
      <c r="C31" s="342"/>
      <c r="D31" s="326"/>
      <c r="E31" s="347"/>
      <c r="F31" s="348"/>
      <c r="G31" s="349"/>
      <c r="H31" s="359"/>
    </row>
    <row r="32" spans="1:11" ht="16.5" customHeight="1">
      <c r="A32" s="335" t="s">
        <v>1679</v>
      </c>
      <c r="B32" s="444" t="s">
        <v>1675</v>
      </c>
      <c r="C32" s="341"/>
      <c r="D32" s="343">
        <v>15000</v>
      </c>
      <c r="E32" s="327"/>
      <c r="F32" s="328"/>
      <c r="G32" s="329"/>
      <c r="H32" s="360" t="s">
        <v>1685</v>
      </c>
      <c r="K32" s="24"/>
    </row>
    <row r="33" spans="1:11" ht="16.5" customHeight="1">
      <c r="A33" s="336"/>
      <c r="B33" s="445"/>
      <c r="C33" s="342"/>
      <c r="D33" s="344"/>
      <c r="E33" s="330"/>
      <c r="F33" s="331"/>
      <c r="G33" s="332"/>
      <c r="H33" s="359"/>
      <c r="K33" s="24"/>
    </row>
    <row r="34" spans="1:11" ht="16.5" customHeight="1">
      <c r="A34" s="335" t="s">
        <v>1677</v>
      </c>
      <c r="B34" s="444" t="s">
        <v>1676</v>
      </c>
      <c r="C34" s="341"/>
      <c r="D34" s="326">
        <v>35000</v>
      </c>
      <c r="E34" s="337" t="s">
        <v>1683</v>
      </c>
      <c r="F34" s="326"/>
      <c r="G34" s="326"/>
      <c r="H34" s="360" t="s">
        <v>1684</v>
      </c>
      <c r="I34" s="4"/>
    </row>
    <row r="35" spans="1:11" ht="16.5" customHeight="1">
      <c r="A35" s="336"/>
      <c r="B35" s="445"/>
      <c r="C35" s="342"/>
      <c r="D35" s="326"/>
      <c r="E35" s="326"/>
      <c r="F35" s="326"/>
      <c r="G35" s="326"/>
      <c r="H35" s="359"/>
    </row>
    <row r="36" spans="1:11" ht="16.5" customHeight="1">
      <c r="A36" s="335" t="s">
        <v>1677</v>
      </c>
      <c r="B36" s="444" t="s">
        <v>1681</v>
      </c>
      <c r="C36" s="341" t="s">
        <v>1682</v>
      </c>
      <c r="D36" s="326">
        <v>133000</v>
      </c>
      <c r="E36" s="327" t="s">
        <v>1687</v>
      </c>
      <c r="F36" s="345"/>
      <c r="G36" s="346"/>
      <c r="H36" s="360" t="s">
        <v>1686</v>
      </c>
    </row>
    <row r="37" spans="1:11" ht="16.5" customHeight="1">
      <c r="A37" s="336"/>
      <c r="B37" s="445"/>
      <c r="C37" s="342"/>
      <c r="D37" s="326"/>
      <c r="E37" s="347"/>
      <c r="F37" s="348"/>
      <c r="G37" s="349"/>
      <c r="H37" s="359"/>
    </row>
    <row r="38" spans="1:11" ht="16.5" customHeight="1">
      <c r="A38" s="322" t="s">
        <v>1688</v>
      </c>
      <c r="B38" s="439" t="s">
        <v>1689</v>
      </c>
      <c r="C38" s="341"/>
      <c r="D38" s="326">
        <v>490000</v>
      </c>
      <c r="E38" s="327" t="s">
        <v>1690</v>
      </c>
      <c r="F38" s="328"/>
      <c r="G38" s="329"/>
      <c r="H38" s="360" t="s">
        <v>1691</v>
      </c>
    </row>
    <row r="39" spans="1:11" ht="16.5" customHeight="1">
      <c r="A39" s="323"/>
      <c r="B39" s="440"/>
      <c r="C39" s="342"/>
      <c r="D39" s="326"/>
      <c r="E39" s="330"/>
      <c r="F39" s="331"/>
      <c r="G39" s="332"/>
      <c r="H39" s="359"/>
    </row>
    <row r="40" spans="1:11" ht="16.5" customHeight="1">
      <c r="A40" s="322"/>
      <c r="B40" s="598" t="s">
        <v>1727</v>
      </c>
      <c r="C40" s="599"/>
      <c r="D40" s="599"/>
      <c r="E40" s="599"/>
      <c r="F40" s="599"/>
      <c r="G40" s="599"/>
      <c r="H40" s="600"/>
    </row>
    <row r="41" spans="1:11" ht="45" customHeight="1">
      <c r="A41" s="323"/>
      <c r="B41" s="601"/>
      <c r="C41" s="602"/>
      <c r="D41" s="602"/>
      <c r="E41" s="602"/>
      <c r="F41" s="602"/>
      <c r="G41" s="602"/>
      <c r="H41" s="603"/>
    </row>
    <row r="42" spans="1:11" ht="16.5" customHeight="1">
      <c r="A42" s="322" t="s">
        <v>1693</v>
      </c>
      <c r="B42" s="496" t="s">
        <v>1702</v>
      </c>
      <c r="C42" s="324"/>
      <c r="D42" s="326">
        <v>480000</v>
      </c>
      <c r="E42" s="327" t="s">
        <v>1704</v>
      </c>
      <c r="F42" s="328"/>
      <c r="G42" s="329"/>
      <c r="H42" s="360" t="s">
        <v>1703</v>
      </c>
    </row>
    <row r="43" spans="1:11" ht="16.5" customHeight="1">
      <c r="A43" s="323"/>
      <c r="B43" s="497"/>
      <c r="C43" s="325"/>
      <c r="D43" s="326"/>
      <c r="E43" s="330"/>
      <c r="F43" s="331"/>
      <c r="G43" s="332"/>
      <c r="H43" s="359"/>
    </row>
    <row r="44" spans="1:11" ht="16.5" customHeight="1">
      <c r="A44" s="322" t="s">
        <v>1693</v>
      </c>
      <c r="B44" s="496" t="s">
        <v>1698</v>
      </c>
      <c r="C44" s="341" t="s">
        <v>1699</v>
      </c>
      <c r="D44" s="326">
        <v>575000</v>
      </c>
      <c r="E44" s="327" t="s">
        <v>1700</v>
      </c>
      <c r="F44" s="328"/>
      <c r="G44" s="329"/>
      <c r="H44" s="360" t="s">
        <v>1701</v>
      </c>
    </row>
    <row r="45" spans="1:11" ht="16.5" customHeight="1">
      <c r="A45" s="323"/>
      <c r="B45" s="497"/>
      <c r="C45" s="342"/>
      <c r="D45" s="326"/>
      <c r="E45" s="330"/>
      <c r="F45" s="331"/>
      <c r="G45" s="332"/>
      <c r="H45" s="359"/>
    </row>
    <row r="46" spans="1:11" ht="16.5" customHeight="1">
      <c r="A46" s="322" t="s">
        <v>1693</v>
      </c>
      <c r="B46" s="496" t="s">
        <v>1695</v>
      </c>
      <c r="C46" s="324"/>
      <c r="D46" s="326">
        <v>900000</v>
      </c>
      <c r="E46" s="327" t="s">
        <v>1696</v>
      </c>
      <c r="F46" s="328"/>
      <c r="G46" s="329"/>
      <c r="H46" s="360" t="s">
        <v>1697</v>
      </c>
    </row>
    <row r="47" spans="1:11" ht="35.25" customHeight="1">
      <c r="A47" s="323"/>
      <c r="B47" s="497"/>
      <c r="C47" s="325"/>
      <c r="D47" s="326"/>
      <c r="E47" s="330"/>
      <c r="F47" s="331"/>
      <c r="G47" s="332"/>
      <c r="H47" s="359"/>
    </row>
    <row r="48" spans="1:11" ht="16.5" customHeight="1">
      <c r="A48" s="322" t="s">
        <v>1693</v>
      </c>
      <c r="B48" s="496" t="s">
        <v>1706</v>
      </c>
      <c r="C48" s="341"/>
      <c r="D48" s="326">
        <v>56000</v>
      </c>
      <c r="E48" s="327" t="s">
        <v>1705</v>
      </c>
      <c r="F48" s="345"/>
      <c r="G48" s="346"/>
      <c r="H48" s="360" t="s">
        <v>1707</v>
      </c>
    </row>
    <row r="49" spans="1:8" ht="16.5" customHeight="1">
      <c r="A49" s="323"/>
      <c r="B49" s="497"/>
      <c r="C49" s="352"/>
      <c r="D49" s="326"/>
      <c r="E49" s="347"/>
      <c r="F49" s="348"/>
      <c r="G49" s="349"/>
      <c r="H49" s="359"/>
    </row>
    <row r="50" spans="1:8" ht="16.5" customHeight="1">
      <c r="A50" s="322" t="s">
        <v>1694</v>
      </c>
      <c r="B50" s="496" t="s">
        <v>1722</v>
      </c>
      <c r="C50" s="324"/>
      <c r="D50" s="326">
        <v>155000</v>
      </c>
      <c r="E50" s="327" t="s">
        <v>1721</v>
      </c>
      <c r="F50" s="328"/>
      <c r="G50" s="329"/>
      <c r="H50" s="360" t="s">
        <v>1710</v>
      </c>
    </row>
    <row r="51" spans="1:8" ht="16.5" customHeight="1">
      <c r="A51" s="323"/>
      <c r="B51" s="497"/>
      <c r="C51" s="325"/>
      <c r="D51" s="326"/>
      <c r="E51" s="330"/>
      <c r="F51" s="331"/>
      <c r="G51" s="332"/>
      <c r="H51" s="359"/>
    </row>
    <row r="52" spans="1:8" ht="16.5" customHeight="1">
      <c r="A52" s="322" t="s">
        <v>1694</v>
      </c>
      <c r="B52" s="496" t="s">
        <v>1708</v>
      </c>
      <c r="C52" s="324" t="s">
        <v>1719</v>
      </c>
      <c r="D52" s="326">
        <v>105000</v>
      </c>
      <c r="E52" s="327"/>
      <c r="F52" s="328"/>
      <c r="G52" s="329"/>
      <c r="H52" s="360" t="s">
        <v>1709</v>
      </c>
    </row>
    <row r="53" spans="1:8" ht="16.5" customHeight="1">
      <c r="A53" s="323"/>
      <c r="B53" s="497"/>
      <c r="C53" s="325"/>
      <c r="D53" s="326"/>
      <c r="E53" s="330"/>
      <c r="F53" s="331"/>
      <c r="G53" s="332"/>
      <c r="H53" s="359"/>
    </row>
    <row r="54" spans="1:8" ht="16.5" customHeight="1">
      <c r="A54" s="335" t="s">
        <v>1711</v>
      </c>
      <c r="B54" s="496" t="s">
        <v>1712</v>
      </c>
      <c r="C54" s="324"/>
      <c r="D54" s="326">
        <v>600000</v>
      </c>
      <c r="E54" s="327" t="s">
        <v>1713</v>
      </c>
      <c r="F54" s="328"/>
      <c r="G54" s="329"/>
      <c r="H54" s="360" t="s">
        <v>145</v>
      </c>
    </row>
    <row r="55" spans="1:8" ht="16.5" customHeight="1">
      <c r="A55" s="336"/>
      <c r="B55" s="497"/>
      <c r="C55" s="325"/>
      <c r="D55" s="326"/>
      <c r="E55" s="330"/>
      <c r="F55" s="331"/>
      <c r="G55" s="332"/>
      <c r="H55" s="359"/>
    </row>
    <row r="56" spans="1:8" ht="16.5" customHeight="1">
      <c r="A56" s="335" t="s">
        <v>1711</v>
      </c>
      <c r="B56" s="496" t="s">
        <v>1714</v>
      </c>
      <c r="C56" s="324" t="s">
        <v>1720</v>
      </c>
      <c r="D56" s="343">
        <v>400000</v>
      </c>
      <c r="E56" s="327" t="s">
        <v>1715</v>
      </c>
      <c r="F56" s="328"/>
      <c r="G56" s="329"/>
      <c r="H56" s="360" t="s">
        <v>1716</v>
      </c>
    </row>
    <row r="57" spans="1:8" ht="16.5" customHeight="1">
      <c r="A57" s="336"/>
      <c r="B57" s="497"/>
      <c r="C57" s="325"/>
      <c r="D57" s="344"/>
      <c r="E57" s="330"/>
      <c r="F57" s="331"/>
      <c r="G57" s="332"/>
      <c r="H57" s="359"/>
    </row>
    <row r="58" spans="1:8" ht="16.5" customHeight="1">
      <c r="A58" s="335" t="s">
        <v>1717</v>
      </c>
      <c r="B58" s="596" t="s">
        <v>1639</v>
      </c>
      <c r="C58" s="341" t="s">
        <v>1718</v>
      </c>
      <c r="D58" s="326">
        <v>60000</v>
      </c>
      <c r="E58" s="327" t="s">
        <v>1723</v>
      </c>
      <c r="F58" s="345"/>
      <c r="G58" s="346"/>
      <c r="H58" s="359" t="s">
        <v>1726</v>
      </c>
    </row>
    <row r="59" spans="1:8" ht="35.25" customHeight="1">
      <c r="A59" s="336"/>
      <c r="B59" s="597"/>
      <c r="C59" s="352"/>
      <c r="D59" s="326"/>
      <c r="E59" s="347"/>
      <c r="F59" s="348"/>
      <c r="G59" s="349"/>
      <c r="H59" s="359"/>
    </row>
    <row r="60" spans="1:8" ht="16.5" customHeight="1">
      <c r="A60" s="322" t="s">
        <v>1724</v>
      </c>
      <c r="B60" s="496" t="s">
        <v>1725</v>
      </c>
      <c r="C60" s="325"/>
      <c r="D60" s="326">
        <v>135000</v>
      </c>
      <c r="E60" s="327"/>
      <c r="F60" s="328"/>
      <c r="G60" s="329"/>
      <c r="H60" s="359" t="s">
        <v>1726</v>
      </c>
    </row>
    <row r="61" spans="1:8" ht="16.5" customHeight="1">
      <c r="A61" s="323"/>
      <c r="B61" s="497"/>
      <c r="C61" s="325"/>
      <c r="D61" s="326"/>
      <c r="E61" s="330"/>
      <c r="F61" s="331"/>
      <c r="G61" s="332"/>
      <c r="H61" s="359"/>
    </row>
    <row r="62" spans="1:8" ht="16.5" customHeight="1">
      <c r="A62" s="322"/>
      <c r="B62" s="587" t="s">
        <v>1756</v>
      </c>
      <c r="C62" s="588"/>
      <c r="D62" s="588"/>
      <c r="E62" s="588"/>
      <c r="F62" s="588"/>
      <c r="G62" s="588"/>
      <c r="H62" s="589"/>
    </row>
    <row r="63" spans="1:8" ht="16.5" customHeight="1">
      <c r="A63" s="323"/>
      <c r="B63" s="590"/>
      <c r="C63" s="591"/>
      <c r="D63" s="591"/>
      <c r="E63" s="591"/>
      <c r="F63" s="591"/>
      <c r="G63" s="591"/>
      <c r="H63" s="592"/>
    </row>
    <row r="64" spans="1:8" ht="16.5" customHeight="1">
      <c r="A64" s="335"/>
      <c r="B64" s="590"/>
      <c r="C64" s="591"/>
      <c r="D64" s="591"/>
      <c r="E64" s="591"/>
      <c r="F64" s="591"/>
      <c r="G64" s="591"/>
      <c r="H64" s="592"/>
    </row>
    <row r="65" spans="1:12" ht="16.5" customHeight="1">
      <c r="A65" s="340"/>
      <c r="B65" s="593"/>
      <c r="C65" s="594"/>
      <c r="D65" s="594"/>
      <c r="E65" s="594"/>
      <c r="F65" s="594"/>
      <c r="G65" s="594"/>
      <c r="H65" s="595"/>
    </row>
    <row r="66" spans="1:12" ht="16.5" customHeight="1">
      <c r="A66" s="322" t="s">
        <v>1729</v>
      </c>
      <c r="B66" s="496" t="s">
        <v>1728</v>
      </c>
      <c r="C66" s="324"/>
      <c r="D66" s="326">
        <v>270000</v>
      </c>
      <c r="E66" s="327"/>
      <c r="F66" s="328"/>
      <c r="G66" s="329"/>
      <c r="H66" s="359" t="s">
        <v>1730</v>
      </c>
      <c r="L66" s="23"/>
    </row>
    <row r="67" spans="1:12" ht="27" customHeight="1">
      <c r="A67" s="323"/>
      <c r="B67" s="497"/>
      <c r="C67" s="325"/>
      <c r="D67" s="326"/>
      <c r="E67" s="330"/>
      <c r="F67" s="331"/>
      <c r="G67" s="332"/>
      <c r="H67" s="359"/>
    </row>
    <row r="68" spans="1:12" ht="16.5" customHeight="1">
      <c r="A68" s="322" t="s">
        <v>1731</v>
      </c>
      <c r="B68" s="496" t="s">
        <v>1736</v>
      </c>
      <c r="C68" s="325"/>
      <c r="D68" s="326">
        <v>330000</v>
      </c>
      <c r="E68" s="327" t="s">
        <v>1737</v>
      </c>
      <c r="F68" s="328"/>
      <c r="G68" s="329"/>
      <c r="H68" s="359" t="s">
        <v>1742</v>
      </c>
    </row>
    <row r="69" spans="1:12" ht="24.75" customHeight="1">
      <c r="A69" s="323"/>
      <c r="B69" s="497"/>
      <c r="C69" s="325"/>
      <c r="D69" s="326"/>
      <c r="E69" s="330"/>
      <c r="F69" s="331"/>
      <c r="G69" s="332"/>
      <c r="H69" s="359"/>
    </row>
    <row r="70" spans="1:12" ht="16.5" customHeight="1">
      <c r="A70" s="322" t="s">
        <v>1731</v>
      </c>
      <c r="B70" s="496" t="s">
        <v>1734</v>
      </c>
      <c r="C70" s="325"/>
      <c r="D70" s="326">
        <v>460000</v>
      </c>
      <c r="E70" s="327" t="s">
        <v>1735</v>
      </c>
      <c r="F70" s="328"/>
      <c r="G70" s="329"/>
      <c r="H70" s="360" t="s">
        <v>1744</v>
      </c>
    </row>
    <row r="71" spans="1:12" ht="16.5" customHeight="1">
      <c r="A71" s="323"/>
      <c r="B71" s="497"/>
      <c r="C71" s="325"/>
      <c r="D71" s="326"/>
      <c r="E71" s="330"/>
      <c r="F71" s="331"/>
      <c r="G71" s="332"/>
      <c r="H71" s="359"/>
    </row>
    <row r="72" spans="1:12" ht="16.5" customHeight="1">
      <c r="A72" s="322" t="s">
        <v>1731</v>
      </c>
      <c r="B72" s="496" t="s">
        <v>1732</v>
      </c>
      <c r="C72" s="341"/>
      <c r="D72" s="343">
        <v>200000</v>
      </c>
      <c r="E72" s="327" t="s">
        <v>1733</v>
      </c>
      <c r="F72" s="345"/>
      <c r="G72" s="346"/>
      <c r="H72" s="360" t="s">
        <v>1751</v>
      </c>
    </row>
    <row r="73" spans="1:12" ht="16.5" customHeight="1">
      <c r="A73" s="323"/>
      <c r="B73" s="497"/>
      <c r="C73" s="352"/>
      <c r="D73" s="344"/>
      <c r="E73" s="347"/>
      <c r="F73" s="348"/>
      <c r="G73" s="349"/>
      <c r="H73" s="359"/>
    </row>
    <row r="74" spans="1:12" ht="16.5" customHeight="1">
      <c r="A74" s="322" t="s">
        <v>1738</v>
      </c>
      <c r="B74" s="496" t="s">
        <v>1739</v>
      </c>
      <c r="C74" s="324"/>
      <c r="D74" s="326">
        <v>900000</v>
      </c>
      <c r="E74" s="327" t="s">
        <v>1740</v>
      </c>
      <c r="F74" s="328"/>
      <c r="G74" s="329"/>
      <c r="H74" s="360" t="s">
        <v>1743</v>
      </c>
    </row>
    <row r="75" spans="1:12" ht="16.5" customHeight="1">
      <c r="A75" s="323"/>
      <c r="B75" s="497"/>
      <c r="C75" s="325"/>
      <c r="D75" s="326"/>
      <c r="E75" s="330"/>
      <c r="F75" s="331"/>
      <c r="G75" s="332"/>
      <c r="H75" s="359"/>
    </row>
    <row r="76" spans="1:12" ht="16.5" customHeight="1">
      <c r="A76" s="322" t="s">
        <v>1741</v>
      </c>
      <c r="B76" s="496" t="s">
        <v>1746</v>
      </c>
      <c r="C76" s="324"/>
      <c r="D76" s="343">
        <v>1500000</v>
      </c>
      <c r="E76" s="562" t="s">
        <v>1748</v>
      </c>
      <c r="F76" s="582"/>
      <c r="G76" s="583"/>
      <c r="H76" s="360" t="s">
        <v>1747</v>
      </c>
    </row>
    <row r="77" spans="1:12" ht="36.75" customHeight="1">
      <c r="A77" s="323"/>
      <c r="B77" s="497"/>
      <c r="C77" s="325"/>
      <c r="D77" s="344"/>
      <c r="E77" s="584"/>
      <c r="F77" s="585"/>
      <c r="G77" s="586"/>
      <c r="H77" s="359"/>
    </row>
    <row r="78" spans="1:12">
      <c r="A78" s="322" t="s">
        <v>1745</v>
      </c>
      <c r="B78" s="498" t="s">
        <v>1749</v>
      </c>
      <c r="C78" s="325"/>
      <c r="D78" s="343">
        <v>140000</v>
      </c>
      <c r="E78" s="574" t="s">
        <v>1750</v>
      </c>
      <c r="F78" s="575"/>
      <c r="G78" s="575"/>
      <c r="H78" s="359" t="s">
        <v>1764</v>
      </c>
    </row>
    <row r="79" spans="1:12">
      <c r="A79" s="323"/>
      <c r="B79" s="499"/>
      <c r="C79" s="325"/>
      <c r="D79" s="344"/>
      <c r="E79" s="575"/>
      <c r="F79" s="575"/>
      <c r="G79" s="575"/>
      <c r="H79" s="359"/>
    </row>
    <row r="80" spans="1:12">
      <c r="A80" s="322" t="s">
        <v>1752</v>
      </c>
      <c r="B80" s="498" t="s">
        <v>1754</v>
      </c>
      <c r="C80" s="324"/>
      <c r="D80" s="343">
        <v>220000</v>
      </c>
      <c r="E80" s="337"/>
      <c r="F80" s="326"/>
      <c r="G80" s="326"/>
      <c r="H80" s="359" t="s">
        <v>1763</v>
      </c>
    </row>
    <row r="81" spans="1:9">
      <c r="A81" s="323"/>
      <c r="B81" s="499"/>
      <c r="C81" s="325"/>
      <c r="D81" s="344"/>
      <c r="E81" s="326"/>
      <c r="F81" s="326"/>
      <c r="G81" s="326"/>
      <c r="H81" s="359"/>
    </row>
    <row r="82" spans="1:9">
      <c r="A82" s="322" t="s">
        <v>1752</v>
      </c>
      <c r="B82" s="498" t="s">
        <v>1753</v>
      </c>
      <c r="C82" s="325"/>
      <c r="D82" s="343">
        <v>180000</v>
      </c>
      <c r="E82" s="337"/>
      <c r="F82" s="326"/>
      <c r="G82" s="326"/>
      <c r="H82" s="359" t="s">
        <v>1763</v>
      </c>
    </row>
    <row r="83" spans="1:9">
      <c r="A83" s="323"/>
      <c r="B83" s="499"/>
      <c r="C83" s="325"/>
      <c r="D83" s="344"/>
      <c r="E83" s="326"/>
      <c r="F83" s="326"/>
      <c r="G83" s="326"/>
      <c r="H83" s="359"/>
    </row>
    <row r="84" spans="1:9">
      <c r="A84" s="322"/>
      <c r="B84" s="576" t="s">
        <v>1787</v>
      </c>
      <c r="C84" s="577"/>
      <c r="D84" s="577"/>
      <c r="E84" s="577"/>
      <c r="F84" s="577"/>
      <c r="G84" s="578"/>
      <c r="H84" s="359"/>
    </row>
    <row r="85" spans="1:9" ht="48.75" customHeight="1">
      <c r="A85" s="323"/>
      <c r="B85" s="579"/>
      <c r="C85" s="580"/>
      <c r="D85" s="580"/>
      <c r="E85" s="580"/>
      <c r="F85" s="580"/>
      <c r="G85" s="581"/>
      <c r="H85" s="359"/>
    </row>
    <row r="86" spans="1:9">
      <c r="A86" s="322" t="s">
        <v>1755</v>
      </c>
      <c r="B86" s="498" t="s">
        <v>1759</v>
      </c>
      <c r="C86" s="325"/>
      <c r="D86" s="343">
        <v>170000</v>
      </c>
      <c r="E86" s="574" t="s">
        <v>1760</v>
      </c>
      <c r="F86" s="575"/>
      <c r="G86" s="575"/>
      <c r="H86" s="360" t="s">
        <v>1763</v>
      </c>
    </row>
    <row r="87" spans="1:9">
      <c r="A87" s="323"/>
      <c r="B87" s="499"/>
      <c r="C87" s="325"/>
      <c r="D87" s="344"/>
      <c r="E87" s="575"/>
      <c r="F87" s="575"/>
      <c r="G87" s="575"/>
      <c r="H87" s="359"/>
    </row>
    <row r="88" spans="1:9">
      <c r="A88" s="322" t="s">
        <v>1757</v>
      </c>
      <c r="B88" s="498" t="s">
        <v>1758</v>
      </c>
      <c r="C88" s="324"/>
      <c r="D88" s="326">
        <v>90000</v>
      </c>
      <c r="E88" s="337" t="s">
        <v>1761</v>
      </c>
      <c r="F88" s="326"/>
      <c r="G88" s="326"/>
      <c r="H88" s="360" t="s">
        <v>1762</v>
      </c>
    </row>
    <row r="89" spans="1:9">
      <c r="A89" s="323"/>
      <c r="B89" s="499"/>
      <c r="C89" s="325"/>
      <c r="D89" s="326"/>
      <c r="E89" s="326"/>
      <c r="F89" s="326"/>
      <c r="G89" s="326"/>
      <c r="H89" s="359"/>
    </row>
    <row r="90" spans="1:9">
      <c r="A90" s="322" t="s">
        <v>1766</v>
      </c>
      <c r="B90" s="498" t="s">
        <v>1767</v>
      </c>
      <c r="C90" s="325"/>
      <c r="D90" s="326">
        <v>280000</v>
      </c>
      <c r="E90" s="337"/>
      <c r="F90" s="326"/>
      <c r="G90" s="326"/>
      <c r="H90" s="360" t="s">
        <v>1765</v>
      </c>
    </row>
    <row r="91" spans="1:9">
      <c r="A91" s="323"/>
      <c r="B91" s="499"/>
      <c r="C91" s="325"/>
      <c r="D91" s="326"/>
      <c r="E91" s="326"/>
      <c r="F91" s="326"/>
      <c r="G91" s="326"/>
      <c r="H91" s="359"/>
    </row>
    <row r="92" spans="1:9" ht="16.5" customHeight="1">
      <c r="A92" s="322" t="s">
        <v>1768</v>
      </c>
      <c r="B92" s="498" t="s">
        <v>1769</v>
      </c>
      <c r="C92" s="324"/>
      <c r="D92" s="326">
        <v>115000</v>
      </c>
      <c r="E92" s="327" t="s">
        <v>1770</v>
      </c>
      <c r="F92" s="328"/>
      <c r="G92" s="329"/>
      <c r="H92" s="359" t="s">
        <v>1771</v>
      </c>
    </row>
    <row r="93" spans="1:9">
      <c r="A93" s="323"/>
      <c r="B93" s="499"/>
      <c r="C93" s="325"/>
      <c r="D93" s="326"/>
      <c r="E93" s="330"/>
      <c r="F93" s="331"/>
      <c r="G93" s="332"/>
      <c r="H93" s="359"/>
    </row>
    <row r="94" spans="1:9" ht="16.5" customHeight="1">
      <c r="A94" s="322" t="s">
        <v>1772</v>
      </c>
      <c r="B94" s="500" t="s">
        <v>1773</v>
      </c>
      <c r="C94" s="353"/>
      <c r="D94" s="343">
        <v>330000</v>
      </c>
      <c r="E94" s="327" t="s">
        <v>1774</v>
      </c>
      <c r="F94" s="345"/>
      <c r="G94" s="346"/>
      <c r="H94" s="359" t="s">
        <v>1775</v>
      </c>
    </row>
    <row r="95" spans="1:9">
      <c r="A95" s="323"/>
      <c r="B95" s="501"/>
      <c r="C95" s="352"/>
      <c r="D95" s="344"/>
      <c r="E95" s="347"/>
      <c r="F95" s="348"/>
      <c r="G95" s="349"/>
      <c r="H95" s="359"/>
      <c r="I95">
        <v>15213000</v>
      </c>
    </row>
    <row r="96" spans="1:9">
      <c r="A96" s="322" t="s">
        <v>1776</v>
      </c>
      <c r="B96" s="500" t="s">
        <v>1777</v>
      </c>
      <c r="C96" s="324"/>
      <c r="D96" s="326">
        <v>290000</v>
      </c>
      <c r="E96" s="337" t="s">
        <v>1778</v>
      </c>
      <c r="F96" s="326"/>
      <c r="G96" s="326"/>
      <c r="H96" s="359" t="s">
        <v>1780</v>
      </c>
    </row>
    <row r="97" spans="1:8">
      <c r="A97" s="323"/>
      <c r="B97" s="501"/>
      <c r="C97" s="325"/>
      <c r="D97" s="326"/>
      <c r="E97" s="326"/>
      <c r="F97" s="326"/>
      <c r="G97" s="326"/>
      <c r="H97" s="359"/>
    </row>
    <row r="98" spans="1:8">
      <c r="A98" s="322" t="s">
        <v>1779</v>
      </c>
      <c r="B98" s="498" t="s">
        <v>1782</v>
      </c>
      <c r="C98" s="324"/>
      <c r="D98" s="326">
        <v>560000</v>
      </c>
      <c r="E98" s="327"/>
      <c r="F98" s="328"/>
      <c r="G98" s="329"/>
      <c r="H98" s="359" t="s">
        <v>146</v>
      </c>
    </row>
    <row r="99" spans="1:8">
      <c r="A99" s="323"/>
      <c r="B99" s="499"/>
      <c r="C99" s="325"/>
      <c r="D99" s="326"/>
      <c r="E99" s="330"/>
      <c r="F99" s="331"/>
      <c r="G99" s="332"/>
      <c r="H99" s="359"/>
    </row>
    <row r="100" spans="1:8">
      <c r="A100" s="322" t="s">
        <v>1781</v>
      </c>
      <c r="B100" s="498" t="s">
        <v>1785</v>
      </c>
      <c r="C100" s="325"/>
      <c r="D100" s="326">
        <v>140000</v>
      </c>
      <c r="E100" s="337"/>
      <c r="F100" s="326"/>
      <c r="G100" s="326"/>
      <c r="H100" s="359" t="s">
        <v>146</v>
      </c>
    </row>
    <row r="101" spans="1:8">
      <c r="A101" s="323"/>
      <c r="B101" s="499"/>
      <c r="C101" s="325"/>
      <c r="D101" s="326"/>
      <c r="E101" s="326"/>
      <c r="F101" s="326"/>
      <c r="G101" s="326"/>
      <c r="H101" s="359"/>
    </row>
    <row r="102" spans="1:8">
      <c r="A102" s="322" t="s">
        <v>1783</v>
      </c>
      <c r="B102" s="498" t="s">
        <v>1784</v>
      </c>
      <c r="C102" s="325"/>
      <c r="D102" s="326">
        <v>300000</v>
      </c>
      <c r="E102" s="337"/>
      <c r="F102" s="326"/>
      <c r="G102" s="326"/>
      <c r="H102" s="359" t="s">
        <v>146</v>
      </c>
    </row>
    <row r="103" spans="1:8">
      <c r="A103" s="323"/>
      <c r="B103" s="499"/>
      <c r="C103" s="325"/>
      <c r="D103" s="326"/>
      <c r="E103" s="326"/>
      <c r="F103" s="326"/>
      <c r="G103" s="326"/>
      <c r="H103" s="359"/>
    </row>
    <row r="104" spans="1:8">
      <c r="A104" s="322" t="s">
        <v>1789</v>
      </c>
      <c r="B104" s="498" t="s">
        <v>1788</v>
      </c>
      <c r="C104" s="324"/>
      <c r="D104" s="326">
        <v>66000</v>
      </c>
      <c r="E104" s="327"/>
      <c r="F104" s="328"/>
      <c r="G104" s="329"/>
      <c r="H104" s="359" t="s">
        <v>146</v>
      </c>
    </row>
    <row r="105" spans="1:8">
      <c r="A105" s="323"/>
      <c r="B105" s="499"/>
      <c r="C105" s="325"/>
      <c r="D105" s="326"/>
      <c r="E105" s="330"/>
      <c r="F105" s="331"/>
      <c r="G105" s="332"/>
      <c r="H105" s="359"/>
    </row>
    <row r="106" spans="1:8">
      <c r="A106" s="529" t="s">
        <v>3683</v>
      </c>
      <c r="B106" s="530"/>
      <c r="C106" s="530"/>
      <c r="D106" s="530"/>
      <c r="E106" s="530"/>
      <c r="F106" s="530"/>
      <c r="G106" s="530"/>
      <c r="H106" s="531"/>
    </row>
    <row r="107" spans="1:8">
      <c r="A107" s="532"/>
      <c r="B107" s="533"/>
      <c r="C107" s="533"/>
      <c r="D107" s="533"/>
      <c r="E107" s="533"/>
      <c r="F107" s="533"/>
      <c r="G107" s="533"/>
      <c r="H107" s="534"/>
    </row>
    <row r="108" spans="1:8">
      <c r="A108" s="532"/>
      <c r="B108" s="533"/>
      <c r="C108" s="533"/>
      <c r="D108" s="533"/>
      <c r="E108" s="533"/>
      <c r="F108" s="533"/>
      <c r="G108" s="533"/>
      <c r="H108" s="534"/>
    </row>
    <row r="109" spans="1:8">
      <c r="A109" s="535"/>
      <c r="B109" s="536"/>
      <c r="C109" s="536"/>
      <c r="D109" s="536"/>
      <c r="E109" s="536"/>
      <c r="F109" s="536"/>
      <c r="G109" s="536"/>
      <c r="H109" s="537"/>
    </row>
    <row r="110" spans="1:8">
      <c r="A110" s="322"/>
      <c r="B110" s="478"/>
      <c r="C110" s="325"/>
      <c r="D110" s="326"/>
      <c r="E110" s="337"/>
      <c r="F110" s="326"/>
      <c r="G110" s="326"/>
      <c r="H110" s="359"/>
    </row>
    <row r="111" spans="1:8">
      <c r="A111" s="323"/>
      <c r="B111" s="479"/>
      <c r="C111" s="325"/>
      <c r="D111" s="326"/>
      <c r="E111" s="326"/>
      <c r="F111" s="326"/>
      <c r="G111" s="326"/>
      <c r="H111" s="359"/>
    </row>
    <row r="112" spans="1:8" ht="16.5" customHeight="1">
      <c r="A112" s="322"/>
      <c r="B112" s="324"/>
      <c r="C112" s="324"/>
      <c r="D112" s="326"/>
      <c r="E112" s="337"/>
      <c r="F112" s="326"/>
      <c r="G112" s="326"/>
      <c r="H112" s="360"/>
    </row>
    <row r="113" spans="1:8">
      <c r="A113" s="323"/>
      <c r="B113" s="325"/>
      <c r="C113" s="325"/>
      <c r="D113" s="326"/>
      <c r="E113" s="326"/>
      <c r="F113" s="326"/>
      <c r="G113" s="326"/>
      <c r="H113" s="359"/>
    </row>
    <row r="114" spans="1:8">
      <c r="A114" s="322"/>
      <c r="B114" s="324"/>
      <c r="C114" s="325"/>
      <c r="D114" s="326"/>
      <c r="E114" s="337"/>
      <c r="F114" s="326"/>
      <c r="G114" s="326"/>
      <c r="H114" s="333"/>
    </row>
    <row r="115" spans="1:8">
      <c r="A115" s="323"/>
      <c r="B115" s="325"/>
      <c r="C115" s="325"/>
      <c r="D115" s="326"/>
      <c r="E115" s="326"/>
      <c r="F115" s="326"/>
      <c r="G115" s="326"/>
      <c r="H115" s="333"/>
    </row>
    <row r="116" spans="1:8">
      <c r="A116" s="322"/>
      <c r="B116" s="324"/>
      <c r="C116" s="324"/>
      <c r="D116" s="326"/>
      <c r="E116" s="337"/>
      <c r="F116" s="326"/>
      <c r="G116" s="326"/>
      <c r="H116" s="338"/>
    </row>
    <row r="117" spans="1:8">
      <c r="A117" s="323"/>
      <c r="B117" s="325"/>
      <c r="C117" s="325"/>
      <c r="D117" s="326"/>
      <c r="E117" s="326"/>
      <c r="F117" s="326"/>
      <c r="G117" s="326"/>
      <c r="H117" s="333"/>
    </row>
    <row r="118" spans="1:8">
      <c r="A118" s="322"/>
      <c r="B118" s="324"/>
      <c r="C118" s="325"/>
      <c r="D118" s="326"/>
      <c r="E118" s="337"/>
      <c r="F118" s="326"/>
      <c r="G118" s="326"/>
      <c r="H118" s="338"/>
    </row>
    <row r="119" spans="1:8">
      <c r="A119" s="323"/>
      <c r="B119" s="325"/>
      <c r="C119" s="325"/>
      <c r="D119" s="326"/>
      <c r="E119" s="326"/>
      <c r="F119" s="326"/>
      <c r="G119" s="326"/>
      <c r="H119" s="333"/>
    </row>
    <row r="120" spans="1:8">
      <c r="A120" s="323"/>
      <c r="B120" s="324"/>
      <c r="C120" s="325"/>
      <c r="D120" s="326"/>
      <c r="E120" s="337"/>
      <c r="F120" s="326"/>
      <c r="G120" s="326"/>
      <c r="H120" s="333"/>
    </row>
    <row r="121" spans="1:8">
      <c r="A121" s="323"/>
      <c r="B121" s="325"/>
      <c r="C121" s="325"/>
      <c r="D121" s="326"/>
      <c r="E121" s="326"/>
      <c r="F121" s="326"/>
      <c r="G121" s="326"/>
      <c r="H121" s="333"/>
    </row>
    <row r="122" spans="1:8">
      <c r="A122" s="323"/>
      <c r="B122" s="324"/>
      <c r="C122" s="325"/>
      <c r="D122" s="326"/>
      <c r="E122" s="337"/>
      <c r="F122" s="326"/>
      <c r="G122" s="326"/>
      <c r="H122" s="338"/>
    </row>
    <row r="123" spans="1:8">
      <c r="A123" s="323"/>
      <c r="B123" s="325"/>
      <c r="C123" s="325"/>
      <c r="D123" s="326"/>
      <c r="E123" s="326"/>
      <c r="F123" s="326"/>
      <c r="G123" s="326"/>
      <c r="H123" s="333"/>
    </row>
    <row r="124" spans="1:8" ht="16.5" customHeight="1">
      <c r="A124" s="322"/>
      <c r="B124" s="324"/>
      <c r="C124" s="325"/>
      <c r="D124" s="326"/>
      <c r="E124" s="337"/>
      <c r="F124" s="326"/>
      <c r="G124" s="326"/>
      <c r="H124" s="333"/>
    </row>
    <row r="125" spans="1:8">
      <c r="A125" s="323"/>
      <c r="B125" s="325"/>
      <c r="C125" s="325"/>
      <c r="D125" s="326"/>
      <c r="E125" s="326"/>
      <c r="F125" s="326"/>
      <c r="G125" s="326"/>
      <c r="H125" s="333"/>
    </row>
    <row r="126" spans="1:8">
      <c r="A126" s="323"/>
      <c r="B126" s="324"/>
      <c r="C126" s="325"/>
      <c r="D126" s="326"/>
      <c r="E126" s="337"/>
      <c r="F126" s="326"/>
      <c r="G126" s="326"/>
      <c r="H126" s="333"/>
    </row>
    <row r="127" spans="1:8">
      <c r="A127" s="323"/>
      <c r="B127" s="325"/>
      <c r="C127" s="325"/>
      <c r="D127" s="326"/>
      <c r="E127" s="326"/>
      <c r="F127" s="326"/>
      <c r="G127" s="326"/>
      <c r="H127" s="333"/>
    </row>
    <row r="128" spans="1:8">
      <c r="A128" s="323"/>
      <c r="B128" s="325"/>
      <c r="C128" s="325"/>
      <c r="D128" s="326"/>
      <c r="E128" s="337"/>
      <c r="F128" s="326"/>
      <c r="G128" s="326"/>
      <c r="H128" s="333"/>
    </row>
    <row r="129" spans="1:8">
      <c r="A129" s="323"/>
      <c r="B129" s="325"/>
      <c r="C129" s="325"/>
      <c r="D129" s="326"/>
      <c r="E129" s="326"/>
      <c r="F129" s="326"/>
      <c r="G129" s="326"/>
      <c r="H129" s="333"/>
    </row>
    <row r="130" spans="1:8">
      <c r="A130" s="322"/>
      <c r="B130" s="325"/>
      <c r="C130" s="325"/>
      <c r="D130" s="326"/>
      <c r="E130" s="337"/>
      <c r="F130" s="326"/>
      <c r="G130" s="326"/>
      <c r="H130" s="333"/>
    </row>
    <row r="131" spans="1:8">
      <c r="A131" s="323"/>
      <c r="B131" s="325"/>
      <c r="C131" s="325"/>
      <c r="D131" s="326"/>
      <c r="E131" s="326"/>
      <c r="F131" s="326"/>
      <c r="G131" s="326"/>
      <c r="H131" s="333"/>
    </row>
    <row r="132" spans="1:8">
      <c r="A132" s="322"/>
      <c r="B132" s="325"/>
      <c r="C132" s="325"/>
      <c r="D132" s="326"/>
      <c r="E132" s="337"/>
      <c r="F132" s="326"/>
      <c r="G132" s="326"/>
      <c r="H132" s="333"/>
    </row>
    <row r="133" spans="1:8">
      <c r="A133" s="323"/>
      <c r="B133" s="325"/>
      <c r="C133" s="325"/>
      <c r="D133" s="326"/>
      <c r="E133" s="326"/>
      <c r="F133" s="326"/>
      <c r="G133" s="326"/>
      <c r="H133" s="333"/>
    </row>
    <row r="134" spans="1:8">
      <c r="A134" s="322"/>
      <c r="B134" s="324"/>
      <c r="C134" s="325"/>
      <c r="D134" s="326"/>
      <c r="E134" s="337"/>
      <c r="F134" s="326"/>
      <c r="G134" s="326"/>
      <c r="H134" s="333"/>
    </row>
    <row r="135" spans="1:8">
      <c r="A135" s="323"/>
      <c r="B135" s="325"/>
      <c r="C135" s="325"/>
      <c r="D135" s="326"/>
      <c r="E135" s="326"/>
      <c r="F135" s="326"/>
      <c r="G135" s="326"/>
      <c r="H135" s="333"/>
    </row>
    <row r="136" spans="1:8">
      <c r="A136" s="322"/>
      <c r="B136" s="324"/>
      <c r="C136" s="325"/>
      <c r="D136" s="326"/>
      <c r="E136" s="337"/>
      <c r="F136" s="326"/>
      <c r="G136" s="326"/>
      <c r="H136" s="338"/>
    </row>
    <row r="137" spans="1:8" s="30" customFormat="1">
      <c r="A137" s="323"/>
      <c r="B137" s="325"/>
      <c r="C137" s="325"/>
      <c r="D137" s="326"/>
      <c r="E137" s="326"/>
      <c r="F137" s="326"/>
      <c r="G137" s="326"/>
      <c r="H137" s="333"/>
    </row>
    <row r="138" spans="1:8">
      <c r="A138" s="323"/>
      <c r="B138" s="325"/>
      <c r="C138" s="325"/>
      <c r="D138" s="326"/>
      <c r="E138" s="337"/>
      <c r="F138" s="326"/>
      <c r="G138" s="326"/>
      <c r="H138" s="333"/>
    </row>
    <row r="139" spans="1:8">
      <c r="A139" s="323"/>
      <c r="B139" s="325"/>
      <c r="C139" s="325"/>
      <c r="D139" s="326"/>
      <c r="E139" s="326"/>
      <c r="F139" s="326"/>
      <c r="G139" s="326"/>
      <c r="H139" s="333"/>
    </row>
    <row r="140" spans="1:8">
      <c r="A140" s="322"/>
      <c r="B140" s="324"/>
      <c r="C140" s="325"/>
      <c r="D140" s="326"/>
      <c r="E140" s="337"/>
      <c r="F140" s="326"/>
      <c r="G140" s="326"/>
      <c r="H140" s="333"/>
    </row>
    <row r="141" spans="1:8">
      <c r="A141" s="323"/>
      <c r="B141" s="325"/>
      <c r="C141" s="325"/>
      <c r="D141" s="326"/>
      <c r="E141" s="326"/>
      <c r="F141" s="326"/>
      <c r="G141" s="326"/>
      <c r="H141" s="333"/>
    </row>
    <row r="142" spans="1:8">
      <c r="A142" s="323"/>
      <c r="B142" s="324"/>
      <c r="C142" s="325"/>
      <c r="D142" s="326"/>
      <c r="E142" s="337"/>
      <c r="F142" s="326"/>
      <c r="G142" s="326"/>
      <c r="H142" s="338"/>
    </row>
    <row r="143" spans="1:8" s="30" customFormat="1">
      <c r="A143" s="323"/>
      <c r="B143" s="325"/>
      <c r="C143" s="325"/>
      <c r="D143" s="326"/>
      <c r="E143" s="326"/>
      <c r="F143" s="326"/>
      <c r="G143" s="326"/>
      <c r="H143" s="333"/>
    </row>
    <row r="144" spans="1:8">
      <c r="A144" s="323"/>
      <c r="B144" s="324"/>
      <c r="C144" s="325"/>
      <c r="D144" s="326"/>
      <c r="E144" s="337"/>
      <c r="F144" s="326"/>
      <c r="G144" s="326"/>
      <c r="H144" s="338"/>
    </row>
    <row r="145" spans="1:8">
      <c r="A145" s="323"/>
      <c r="B145" s="325"/>
      <c r="C145" s="325"/>
      <c r="D145" s="326"/>
      <c r="E145" s="326"/>
      <c r="F145" s="326"/>
      <c r="G145" s="326"/>
      <c r="H145" s="333"/>
    </row>
    <row r="146" spans="1:8">
      <c r="A146" s="322"/>
      <c r="B146" s="324"/>
      <c r="C146" s="325"/>
      <c r="D146" s="326"/>
      <c r="E146" s="337"/>
      <c r="F146" s="326"/>
      <c r="G146" s="326"/>
      <c r="H146" s="333"/>
    </row>
    <row r="147" spans="1:8">
      <c r="A147" s="323"/>
      <c r="B147" s="325"/>
      <c r="C147" s="325"/>
      <c r="D147" s="326"/>
      <c r="E147" s="326"/>
      <c r="F147" s="326"/>
      <c r="G147" s="326"/>
      <c r="H147" s="333"/>
    </row>
    <row r="148" spans="1:8">
      <c r="A148" s="323"/>
      <c r="B148" s="324"/>
      <c r="C148" s="325"/>
      <c r="D148" s="326"/>
      <c r="E148" s="337"/>
      <c r="F148" s="326"/>
      <c r="G148" s="326"/>
      <c r="H148" s="333"/>
    </row>
    <row r="149" spans="1:8">
      <c r="A149" s="323"/>
      <c r="B149" s="325"/>
      <c r="C149" s="325"/>
      <c r="D149" s="326"/>
      <c r="E149" s="326"/>
      <c r="F149" s="326"/>
      <c r="G149" s="326"/>
      <c r="H149" s="333"/>
    </row>
    <row r="150" spans="1:8">
      <c r="A150" s="322"/>
      <c r="B150" s="324"/>
      <c r="C150" s="325"/>
      <c r="D150" s="326"/>
      <c r="E150" s="326"/>
      <c r="F150" s="326"/>
      <c r="G150" s="326"/>
      <c r="H150" s="333"/>
    </row>
    <row r="151" spans="1:8">
      <c r="A151" s="323"/>
      <c r="B151" s="325"/>
      <c r="C151" s="325"/>
      <c r="D151" s="326"/>
      <c r="E151" s="326"/>
      <c r="F151" s="326"/>
      <c r="G151" s="326"/>
      <c r="H151" s="333"/>
    </row>
    <row r="152" spans="1:8">
      <c r="A152" s="322"/>
      <c r="B152" s="324"/>
      <c r="C152" s="325"/>
      <c r="D152" s="326"/>
      <c r="E152" s="337"/>
      <c r="F152" s="326"/>
      <c r="G152" s="326"/>
      <c r="H152" s="338"/>
    </row>
    <row r="153" spans="1:8" s="30" customFormat="1">
      <c r="A153" s="323"/>
      <c r="B153" s="325"/>
      <c r="C153" s="325"/>
      <c r="D153" s="326"/>
      <c r="E153" s="326"/>
      <c r="F153" s="326"/>
      <c r="G153" s="326"/>
      <c r="H153" s="333"/>
    </row>
    <row r="154" spans="1:8">
      <c r="A154" s="323"/>
      <c r="B154" s="325"/>
      <c r="C154" s="325"/>
      <c r="D154" s="326"/>
      <c r="E154" s="337"/>
      <c r="F154" s="326"/>
      <c r="G154" s="326"/>
      <c r="H154" s="338"/>
    </row>
    <row r="155" spans="1:8">
      <c r="A155" s="323"/>
      <c r="B155" s="325"/>
      <c r="C155" s="325"/>
      <c r="D155" s="326"/>
      <c r="E155" s="326"/>
      <c r="F155" s="326"/>
      <c r="G155" s="326"/>
      <c r="H155" s="333"/>
    </row>
    <row r="156" spans="1:8">
      <c r="A156" s="322"/>
      <c r="B156" s="324"/>
      <c r="C156" s="325"/>
      <c r="D156" s="326"/>
      <c r="E156" s="337"/>
      <c r="F156" s="326"/>
      <c r="G156" s="326"/>
      <c r="H156" s="333"/>
    </row>
    <row r="157" spans="1:8">
      <c r="A157" s="323"/>
      <c r="B157" s="325"/>
      <c r="C157" s="325"/>
      <c r="D157" s="326"/>
      <c r="E157" s="326"/>
      <c r="F157" s="326"/>
      <c r="G157" s="326"/>
      <c r="H157" s="333"/>
    </row>
    <row r="158" spans="1:8">
      <c r="A158" s="322"/>
      <c r="B158" s="324"/>
      <c r="C158" s="325"/>
      <c r="D158" s="326"/>
      <c r="E158" s="337"/>
      <c r="F158" s="326"/>
      <c r="G158" s="326"/>
      <c r="H158" s="338"/>
    </row>
    <row r="159" spans="1:8" s="30" customFormat="1">
      <c r="A159" s="323"/>
      <c r="B159" s="325"/>
      <c r="C159" s="325"/>
      <c r="D159" s="326"/>
      <c r="E159" s="326"/>
      <c r="F159" s="326"/>
      <c r="G159" s="326"/>
      <c r="H159" s="333"/>
    </row>
    <row r="160" spans="1:8">
      <c r="A160" s="323"/>
      <c r="B160" s="324"/>
      <c r="C160" s="325"/>
      <c r="D160" s="326"/>
      <c r="E160" s="337"/>
      <c r="F160" s="326"/>
      <c r="G160" s="326"/>
      <c r="H160" s="338"/>
    </row>
    <row r="161" spans="1:8">
      <c r="A161" s="323"/>
      <c r="B161" s="325"/>
      <c r="C161" s="325"/>
      <c r="D161" s="326"/>
      <c r="E161" s="326"/>
      <c r="F161" s="326"/>
      <c r="G161" s="326"/>
      <c r="H161" s="333"/>
    </row>
    <row r="162" spans="1:8">
      <c r="A162" s="323"/>
      <c r="B162" s="325"/>
      <c r="C162" s="325"/>
      <c r="D162" s="326"/>
      <c r="E162" s="326"/>
      <c r="F162" s="326"/>
      <c r="G162" s="326"/>
      <c r="H162" s="338"/>
    </row>
    <row r="163" spans="1:8">
      <c r="A163" s="323"/>
      <c r="B163" s="325"/>
      <c r="C163" s="325"/>
      <c r="D163" s="326"/>
      <c r="E163" s="326"/>
      <c r="F163" s="326"/>
      <c r="G163" s="326"/>
      <c r="H163" s="333"/>
    </row>
    <row r="164" spans="1:8">
      <c r="A164" s="322"/>
      <c r="B164" s="325"/>
      <c r="C164" s="325"/>
      <c r="D164" s="326"/>
      <c r="E164" s="337"/>
      <c r="F164" s="326"/>
      <c r="G164" s="326"/>
      <c r="H164" s="338"/>
    </row>
    <row r="165" spans="1:8" s="30" customFormat="1">
      <c r="A165" s="323"/>
      <c r="B165" s="325"/>
      <c r="C165" s="325"/>
      <c r="D165" s="326"/>
      <c r="E165" s="326"/>
      <c r="F165" s="326"/>
      <c r="G165" s="326"/>
      <c r="H165" s="333"/>
    </row>
    <row r="166" spans="1:8">
      <c r="A166" s="322"/>
      <c r="B166" s="325"/>
      <c r="C166" s="325"/>
      <c r="D166" s="326"/>
      <c r="E166" s="337"/>
      <c r="F166" s="326"/>
      <c r="G166" s="326"/>
      <c r="H166" s="338"/>
    </row>
    <row r="167" spans="1:8">
      <c r="A167" s="323"/>
      <c r="B167" s="325"/>
      <c r="C167" s="325"/>
      <c r="D167" s="326"/>
      <c r="E167" s="326"/>
      <c r="F167" s="326"/>
      <c r="G167" s="326"/>
      <c r="H167" s="333"/>
    </row>
    <row r="168" spans="1:8">
      <c r="A168" s="323"/>
      <c r="B168" s="324"/>
      <c r="C168" s="325"/>
      <c r="D168" s="326"/>
      <c r="E168" s="337"/>
      <c r="F168" s="326"/>
      <c r="G168" s="326"/>
      <c r="H168" s="338"/>
    </row>
    <row r="169" spans="1:8">
      <c r="A169" s="323"/>
      <c r="B169" s="325"/>
      <c r="C169" s="325"/>
      <c r="D169" s="326"/>
      <c r="E169" s="326"/>
      <c r="F169" s="326"/>
      <c r="G169" s="326"/>
      <c r="H169" s="333"/>
    </row>
    <row r="170" spans="1:8" ht="16.5" customHeight="1">
      <c r="A170" s="322"/>
      <c r="B170" s="324"/>
      <c r="C170" s="324"/>
      <c r="D170" s="326"/>
      <c r="E170" s="327"/>
      <c r="F170" s="328"/>
      <c r="G170" s="329"/>
      <c r="H170" s="338"/>
    </row>
    <row r="171" spans="1:8" ht="16.5" customHeight="1">
      <c r="A171" s="323"/>
      <c r="B171" s="325"/>
      <c r="C171" s="325"/>
      <c r="D171" s="326"/>
      <c r="E171" s="330"/>
      <c r="F171" s="331"/>
      <c r="G171" s="332"/>
      <c r="H171" s="333"/>
    </row>
    <row r="172" spans="1:8" ht="16.5" customHeight="1">
      <c r="A172" s="322"/>
      <c r="B172" s="324"/>
      <c r="C172" s="325"/>
      <c r="D172" s="326"/>
      <c r="E172" s="326"/>
      <c r="F172" s="326"/>
      <c r="G172" s="326"/>
      <c r="H172" s="338"/>
    </row>
    <row r="173" spans="1:8" ht="16.5" customHeight="1">
      <c r="A173" s="323"/>
      <c r="B173" s="325"/>
      <c r="C173" s="325"/>
      <c r="D173" s="326"/>
      <c r="E173" s="326"/>
      <c r="F173" s="326"/>
      <c r="G173" s="326"/>
      <c r="H173" s="333"/>
    </row>
    <row r="174" spans="1:8" ht="16.5" customHeight="1">
      <c r="A174" s="336"/>
      <c r="B174" s="324"/>
      <c r="C174" s="324"/>
      <c r="D174" s="326"/>
      <c r="E174" s="327"/>
      <c r="F174" s="328"/>
      <c r="G174" s="329"/>
      <c r="H174" s="350"/>
    </row>
    <row r="175" spans="1:8" ht="16.5" customHeight="1">
      <c r="A175" s="323"/>
      <c r="B175" s="325"/>
      <c r="C175" s="325"/>
      <c r="D175" s="326"/>
      <c r="E175" s="330"/>
      <c r="F175" s="331"/>
      <c r="G175" s="332"/>
      <c r="H175" s="351"/>
    </row>
    <row r="176" spans="1:8" ht="16.5" customHeight="1">
      <c r="A176" s="322"/>
      <c r="B176" s="324"/>
      <c r="C176" s="325"/>
      <c r="D176" s="326"/>
      <c r="E176" s="337"/>
      <c r="F176" s="326"/>
      <c r="G176" s="326"/>
      <c r="H176" s="338"/>
    </row>
    <row r="177" spans="1:8" ht="16.5" customHeight="1">
      <c r="A177" s="323"/>
      <c r="B177" s="325"/>
      <c r="C177" s="325"/>
      <c r="D177" s="326"/>
      <c r="E177" s="326"/>
      <c r="F177" s="326"/>
      <c r="G177" s="326"/>
      <c r="H177" s="333"/>
    </row>
    <row r="178" spans="1:8" ht="16.5" customHeight="1">
      <c r="A178" s="335"/>
      <c r="B178" s="324"/>
      <c r="C178" s="341"/>
      <c r="D178" s="343"/>
      <c r="E178" s="327"/>
      <c r="F178" s="345"/>
      <c r="G178" s="346"/>
      <c r="H178" s="333"/>
    </row>
    <row r="179" spans="1:8" ht="16.5" customHeight="1">
      <c r="A179" s="336"/>
      <c r="B179" s="325"/>
      <c r="C179" s="342"/>
      <c r="D179" s="344"/>
      <c r="E179" s="347"/>
      <c r="F179" s="348"/>
      <c r="G179" s="349"/>
      <c r="H179" s="333"/>
    </row>
    <row r="180" spans="1:8" ht="16.5" customHeight="1">
      <c r="A180" s="322"/>
      <c r="B180" s="324"/>
      <c r="C180" s="325"/>
      <c r="D180" s="326"/>
      <c r="E180" s="327"/>
      <c r="F180" s="328"/>
      <c r="G180" s="329"/>
      <c r="H180" s="333"/>
    </row>
    <row r="181" spans="1:8" ht="16.5" customHeight="1">
      <c r="A181" s="323"/>
      <c r="B181" s="325"/>
      <c r="C181" s="325"/>
      <c r="D181" s="326"/>
      <c r="E181" s="330"/>
      <c r="F181" s="331"/>
      <c r="G181" s="332"/>
      <c r="H181" s="333"/>
    </row>
    <row r="182" spans="1:8" ht="16.5" customHeight="1">
      <c r="A182" s="322"/>
      <c r="B182" s="324"/>
      <c r="C182" s="324"/>
      <c r="D182" s="326"/>
      <c r="E182" s="327"/>
      <c r="F182" s="328"/>
      <c r="G182" s="329"/>
      <c r="H182" s="333"/>
    </row>
    <row r="183" spans="1:8" ht="16.5" customHeight="1">
      <c r="A183" s="323"/>
      <c r="B183" s="325"/>
      <c r="C183" s="325"/>
      <c r="D183" s="326"/>
      <c r="E183" s="330"/>
      <c r="F183" s="331"/>
      <c r="G183" s="332"/>
      <c r="H183" s="333"/>
    </row>
    <row r="184" spans="1:8" ht="16.5" customHeight="1">
      <c r="A184" s="322"/>
      <c r="B184" s="324"/>
      <c r="C184" s="325"/>
      <c r="D184" s="326"/>
      <c r="E184" s="327"/>
      <c r="F184" s="328"/>
      <c r="G184" s="329"/>
      <c r="H184" s="333"/>
    </row>
    <row r="185" spans="1:8" ht="16.5" customHeight="1">
      <c r="A185" s="323"/>
      <c r="B185" s="325"/>
      <c r="C185" s="325"/>
      <c r="D185" s="326"/>
      <c r="E185" s="330"/>
      <c r="F185" s="331"/>
      <c r="G185" s="332"/>
      <c r="H185" s="333"/>
    </row>
    <row r="186" spans="1:8" ht="16.5" customHeight="1">
      <c r="A186" s="322"/>
      <c r="B186" s="324"/>
      <c r="C186" s="325"/>
      <c r="D186" s="326"/>
      <c r="E186" s="327"/>
      <c r="F186" s="328"/>
      <c r="G186" s="329"/>
      <c r="H186" s="333"/>
    </row>
    <row r="187" spans="1:8" ht="17.25" customHeight="1">
      <c r="A187" s="323"/>
      <c r="B187" s="325"/>
      <c r="C187" s="325"/>
      <c r="D187" s="326"/>
      <c r="E187" s="330"/>
      <c r="F187" s="331"/>
      <c r="G187" s="332"/>
      <c r="H187" s="333"/>
    </row>
    <row r="188" spans="1:8" ht="16.5" customHeight="1">
      <c r="A188" s="322"/>
      <c r="B188" s="324"/>
      <c r="C188" s="325"/>
      <c r="D188" s="326"/>
      <c r="E188" s="327"/>
      <c r="F188" s="328"/>
      <c r="G188" s="329"/>
      <c r="H188" s="333"/>
    </row>
    <row r="189" spans="1:8" ht="16.5" customHeight="1">
      <c r="A189" s="323"/>
      <c r="B189" s="325"/>
      <c r="C189" s="325"/>
      <c r="D189" s="326"/>
      <c r="E189" s="330"/>
      <c r="F189" s="331"/>
      <c r="G189" s="332"/>
      <c r="H189" s="333"/>
    </row>
    <row r="190" spans="1:8" ht="16.5" customHeight="1">
      <c r="A190" s="322"/>
      <c r="B190" s="324"/>
      <c r="C190" s="324"/>
      <c r="D190" s="326"/>
      <c r="E190" s="327"/>
      <c r="F190" s="328"/>
      <c r="G190" s="329"/>
      <c r="H190" s="333"/>
    </row>
    <row r="191" spans="1:8" ht="16.5" customHeight="1">
      <c r="A191" s="323"/>
      <c r="B191" s="325"/>
      <c r="C191" s="325"/>
      <c r="D191" s="326"/>
      <c r="E191" s="330"/>
      <c r="F191" s="331"/>
      <c r="G191" s="332"/>
      <c r="H191" s="333"/>
    </row>
    <row r="192" spans="1:8" ht="16.5" customHeight="1">
      <c r="A192" s="322"/>
      <c r="B192" s="324"/>
      <c r="C192" s="324"/>
      <c r="D192" s="326"/>
      <c r="E192" s="327"/>
      <c r="F192" s="328"/>
      <c r="G192" s="329"/>
      <c r="H192" s="333"/>
    </row>
    <row r="193" spans="1:11" ht="16.5" customHeight="1">
      <c r="A193" s="323"/>
      <c r="B193" s="325"/>
      <c r="C193" s="325"/>
      <c r="D193" s="326"/>
      <c r="E193" s="330"/>
      <c r="F193" s="331"/>
      <c r="G193" s="332"/>
      <c r="H193" s="333"/>
    </row>
    <row r="194" spans="1:11" ht="16.5" customHeight="1">
      <c r="A194" s="322"/>
      <c r="B194" s="324"/>
      <c r="C194" s="325"/>
      <c r="D194" s="326"/>
      <c r="E194" s="337"/>
      <c r="F194" s="326"/>
      <c r="G194" s="326"/>
      <c r="H194" s="333"/>
    </row>
    <row r="195" spans="1:11" ht="16.5" customHeight="1">
      <c r="A195" s="323"/>
      <c r="B195" s="325"/>
      <c r="C195" s="325"/>
      <c r="D195" s="326"/>
      <c r="E195" s="326"/>
      <c r="F195" s="326"/>
      <c r="G195" s="326"/>
      <c r="H195" s="333"/>
    </row>
    <row r="196" spans="1:11" ht="16.5" customHeight="1">
      <c r="A196" s="322"/>
      <c r="B196" s="324"/>
      <c r="C196" s="324"/>
      <c r="D196" s="326"/>
      <c r="E196" s="337"/>
      <c r="F196" s="326"/>
      <c r="G196" s="326"/>
      <c r="H196" s="333"/>
    </row>
    <row r="197" spans="1:11" ht="16.5" customHeight="1">
      <c r="A197" s="323"/>
      <c r="B197" s="325"/>
      <c r="C197" s="325"/>
      <c r="D197" s="326"/>
      <c r="E197" s="326"/>
      <c r="F197" s="326"/>
      <c r="G197" s="326"/>
      <c r="H197" s="333"/>
    </row>
    <row r="198" spans="1:11" ht="16.5" customHeight="1">
      <c r="A198" s="339"/>
      <c r="B198" s="324"/>
      <c r="C198" s="324"/>
      <c r="D198" s="326"/>
      <c r="E198" s="327"/>
      <c r="F198" s="328"/>
      <c r="G198" s="329"/>
      <c r="H198" s="333"/>
    </row>
    <row r="199" spans="1:11" ht="16.5" customHeight="1">
      <c r="A199" s="340"/>
      <c r="B199" s="325"/>
      <c r="C199" s="325"/>
      <c r="D199" s="326"/>
      <c r="E199" s="330"/>
      <c r="F199" s="331"/>
      <c r="G199" s="332"/>
      <c r="H199" s="333"/>
    </row>
    <row r="200" spans="1:11" ht="16.5" customHeight="1">
      <c r="A200" s="322"/>
      <c r="B200" s="324"/>
      <c r="C200" s="324"/>
      <c r="D200" s="326"/>
      <c r="E200" s="327"/>
      <c r="F200" s="328"/>
      <c r="G200" s="329"/>
      <c r="H200" s="333"/>
    </row>
    <row r="201" spans="1:11" ht="16.5" customHeight="1">
      <c r="A201" s="323"/>
      <c r="B201" s="325"/>
      <c r="C201" s="325"/>
      <c r="D201" s="326"/>
      <c r="E201" s="330"/>
      <c r="F201" s="331"/>
      <c r="G201" s="332"/>
      <c r="H201" s="333"/>
      <c r="K201" s="24"/>
    </row>
    <row r="202" spans="1:11" ht="16.5" customHeight="1">
      <c r="A202" s="322"/>
      <c r="B202" s="324"/>
      <c r="C202" s="324"/>
      <c r="D202" s="326"/>
      <c r="E202" s="327"/>
      <c r="F202" s="328"/>
      <c r="G202" s="329"/>
      <c r="H202" s="338"/>
    </row>
    <row r="203" spans="1:11" ht="16.5" customHeight="1">
      <c r="A203" s="323"/>
      <c r="B203" s="325"/>
      <c r="C203" s="325"/>
      <c r="D203" s="326"/>
      <c r="E203" s="330"/>
      <c r="F203" s="331"/>
      <c r="G203" s="332"/>
      <c r="H203" s="333"/>
      <c r="K203" s="24"/>
    </row>
    <row r="204" spans="1:11" ht="16.5" customHeight="1">
      <c r="A204" s="322"/>
      <c r="B204" s="324"/>
      <c r="C204" s="324"/>
      <c r="D204" s="326"/>
      <c r="E204" s="327"/>
      <c r="F204" s="328"/>
      <c r="G204" s="329"/>
      <c r="H204" s="333"/>
      <c r="K204" s="24"/>
    </row>
    <row r="205" spans="1:11" ht="16.5" customHeight="1">
      <c r="A205" s="323"/>
      <c r="B205" s="325"/>
      <c r="C205" s="325"/>
      <c r="D205" s="326"/>
      <c r="E205" s="330"/>
      <c r="F205" s="331"/>
      <c r="G205" s="332"/>
      <c r="H205" s="333"/>
      <c r="K205" s="24"/>
    </row>
    <row r="206" spans="1:11" ht="16.5" customHeight="1">
      <c r="A206" s="322"/>
      <c r="B206" s="324"/>
      <c r="C206" s="325"/>
      <c r="D206" s="326"/>
      <c r="E206" s="337"/>
      <c r="F206" s="326"/>
      <c r="G206" s="326"/>
      <c r="H206" s="333"/>
      <c r="K206" s="24"/>
    </row>
    <row r="207" spans="1:11" ht="16.5" customHeight="1">
      <c r="A207" s="323"/>
      <c r="B207" s="325"/>
      <c r="C207" s="325"/>
      <c r="D207" s="326"/>
      <c r="E207" s="326"/>
      <c r="F207" s="326"/>
      <c r="G207" s="326"/>
      <c r="H207" s="333"/>
      <c r="K207" s="24"/>
    </row>
    <row r="208" spans="1:11" ht="16.5" customHeight="1">
      <c r="A208" s="322"/>
      <c r="B208" s="324"/>
      <c r="C208" s="325"/>
      <c r="D208" s="326"/>
      <c r="E208" s="327"/>
      <c r="F208" s="328"/>
      <c r="G208" s="329"/>
      <c r="H208" s="338"/>
      <c r="I208" s="4"/>
    </row>
    <row r="209" spans="1:11" ht="16.5" customHeight="1">
      <c r="A209" s="323"/>
      <c r="B209" s="325"/>
      <c r="C209" s="325"/>
      <c r="D209" s="326"/>
      <c r="E209" s="330"/>
      <c r="F209" s="331"/>
      <c r="G209" s="332"/>
      <c r="H209" s="333"/>
    </row>
    <row r="210" spans="1:11" ht="16.5" customHeight="1">
      <c r="A210" s="322"/>
      <c r="B210" s="324"/>
      <c r="C210" s="325"/>
      <c r="D210" s="326"/>
      <c r="E210" s="327"/>
      <c r="F210" s="328"/>
      <c r="G210" s="329"/>
      <c r="H210" s="333"/>
    </row>
    <row r="211" spans="1:11" ht="16.5" customHeight="1">
      <c r="A211" s="323"/>
      <c r="B211" s="325"/>
      <c r="C211" s="325"/>
      <c r="D211" s="326"/>
      <c r="E211" s="330"/>
      <c r="F211" s="331"/>
      <c r="G211" s="332"/>
      <c r="H211" s="333"/>
    </row>
    <row r="212" spans="1:11" ht="16.5" customHeight="1">
      <c r="A212" s="322"/>
      <c r="B212" s="324"/>
      <c r="C212" s="325"/>
      <c r="D212" s="326"/>
      <c r="E212" s="327"/>
      <c r="F212" s="328"/>
      <c r="G212" s="329"/>
      <c r="H212" s="333"/>
    </row>
    <row r="213" spans="1:11" ht="16.5" customHeight="1">
      <c r="A213" s="323"/>
      <c r="B213" s="325"/>
      <c r="C213" s="325"/>
      <c r="D213" s="326"/>
      <c r="E213" s="330"/>
      <c r="F213" s="331"/>
      <c r="G213" s="332"/>
      <c r="H213" s="333"/>
    </row>
    <row r="214" spans="1:11" ht="16.5" customHeight="1">
      <c r="A214" s="322"/>
      <c r="B214" s="324"/>
      <c r="C214" s="325"/>
      <c r="D214" s="326"/>
      <c r="E214" s="327"/>
      <c r="F214" s="328"/>
      <c r="G214" s="329"/>
      <c r="H214" s="333"/>
    </row>
    <row r="215" spans="1:11" ht="16.5" customHeight="1">
      <c r="A215" s="323"/>
      <c r="B215" s="325"/>
      <c r="C215" s="325"/>
      <c r="D215" s="326"/>
      <c r="E215" s="330"/>
      <c r="F215" s="331"/>
      <c r="G215" s="332"/>
      <c r="H215" s="333"/>
    </row>
    <row r="216" spans="1:11" ht="16.5" customHeight="1">
      <c r="A216" s="322"/>
      <c r="B216" s="324"/>
      <c r="C216" s="325"/>
      <c r="D216" s="326"/>
      <c r="E216" s="327"/>
      <c r="F216" s="328"/>
      <c r="G216" s="329"/>
      <c r="H216" s="333"/>
    </row>
    <row r="217" spans="1:11" ht="16.5" customHeight="1">
      <c r="A217" s="323"/>
      <c r="B217" s="325"/>
      <c r="C217" s="325"/>
      <c r="D217" s="326"/>
      <c r="E217" s="330"/>
      <c r="F217" s="331"/>
      <c r="G217" s="332"/>
      <c r="H217" s="333"/>
    </row>
    <row r="218" spans="1:11" ht="16.5" customHeight="1">
      <c r="A218" s="322"/>
      <c r="B218" s="324"/>
      <c r="C218" s="326"/>
      <c r="D218" s="326"/>
      <c r="E218" s="327"/>
      <c r="F218" s="328"/>
      <c r="G218" s="329"/>
      <c r="H218" s="333"/>
    </row>
    <row r="219" spans="1:11" ht="16.5" customHeight="1">
      <c r="A219" s="323"/>
      <c r="B219" s="325"/>
      <c r="C219" s="326"/>
      <c r="D219" s="326"/>
      <c r="E219" s="330"/>
      <c r="F219" s="331"/>
      <c r="G219" s="332"/>
      <c r="H219" s="333"/>
    </row>
    <row r="220" spans="1:11" ht="16.5" customHeight="1">
      <c r="A220" s="322"/>
      <c r="B220" s="324"/>
      <c r="C220" s="325"/>
      <c r="D220" s="326"/>
      <c r="E220" s="337"/>
      <c r="F220" s="326"/>
      <c r="G220" s="326"/>
      <c r="H220" s="333"/>
      <c r="I220" s="3"/>
      <c r="K220" s="23"/>
    </row>
    <row r="221" spans="1:11" ht="16.5" customHeight="1">
      <c r="A221" s="323"/>
      <c r="B221" s="325"/>
      <c r="C221" s="325"/>
      <c r="D221" s="326"/>
      <c r="E221" s="326"/>
      <c r="F221" s="326"/>
      <c r="G221" s="326"/>
      <c r="H221" s="333"/>
    </row>
    <row r="222" spans="1:11" ht="16.5" customHeight="1">
      <c r="A222" s="322"/>
      <c r="B222" s="324"/>
      <c r="C222" s="325"/>
      <c r="D222" s="326"/>
      <c r="E222" s="327"/>
      <c r="F222" s="328"/>
      <c r="G222" s="329"/>
      <c r="H222" s="333"/>
    </row>
    <row r="223" spans="1:11" ht="16.5" customHeight="1">
      <c r="A223" s="323"/>
      <c r="B223" s="325"/>
      <c r="C223" s="325"/>
      <c r="D223" s="326"/>
      <c r="E223" s="330"/>
      <c r="F223" s="331"/>
      <c r="G223" s="332"/>
      <c r="H223" s="333"/>
    </row>
    <row r="224" spans="1:11" ht="16.5" customHeight="1">
      <c r="A224" s="322"/>
      <c r="B224" s="324"/>
      <c r="C224" s="324"/>
      <c r="D224" s="326"/>
      <c r="E224" s="327"/>
      <c r="F224" s="328"/>
      <c r="G224" s="329"/>
      <c r="H224" s="333"/>
    </row>
    <row r="225" spans="1:8" ht="16.5" customHeight="1">
      <c r="A225" s="323"/>
      <c r="B225" s="325"/>
      <c r="C225" s="325"/>
      <c r="D225" s="326"/>
      <c r="E225" s="330"/>
      <c r="F225" s="331"/>
      <c r="G225" s="332"/>
      <c r="H225" s="333"/>
    </row>
    <row r="226" spans="1:8" ht="16.5" customHeight="1">
      <c r="A226" s="335"/>
      <c r="B226" s="324"/>
      <c r="C226" s="325"/>
      <c r="D226" s="326"/>
      <c r="E226" s="327"/>
      <c r="F226" s="328"/>
      <c r="G226" s="329"/>
      <c r="H226" s="333"/>
    </row>
    <row r="227" spans="1:8" ht="16.5" customHeight="1">
      <c r="A227" s="336"/>
      <c r="B227" s="325"/>
      <c r="C227" s="325"/>
      <c r="D227" s="326"/>
      <c r="E227" s="330"/>
      <c r="F227" s="331"/>
      <c r="G227" s="332"/>
      <c r="H227" s="333"/>
    </row>
    <row r="228" spans="1:8" ht="16.5" customHeight="1">
      <c r="A228" s="334"/>
      <c r="B228" s="324"/>
      <c r="C228" s="324"/>
      <c r="D228" s="326"/>
      <c r="E228" s="327"/>
      <c r="F228" s="328"/>
      <c r="G228" s="329"/>
      <c r="H228" s="333"/>
    </row>
    <row r="229" spans="1:8" ht="16.5" customHeight="1">
      <c r="A229" s="323"/>
      <c r="B229" s="325"/>
      <c r="C229" s="325"/>
      <c r="D229" s="326"/>
      <c r="E229" s="330"/>
      <c r="F229" s="331"/>
      <c r="G229" s="332"/>
      <c r="H229" s="333"/>
    </row>
    <row r="230" spans="1:8" ht="16.5" customHeight="1">
      <c r="A230" s="322"/>
      <c r="B230" s="324"/>
      <c r="C230" s="325"/>
      <c r="D230" s="326"/>
      <c r="E230" s="327"/>
      <c r="F230" s="328"/>
      <c r="G230" s="329"/>
      <c r="H230" s="333"/>
    </row>
    <row r="231" spans="1:8" ht="16.5" customHeight="1">
      <c r="A231" s="323"/>
      <c r="B231" s="325"/>
      <c r="C231" s="325"/>
      <c r="D231" s="326"/>
      <c r="E231" s="330"/>
      <c r="F231" s="331"/>
      <c r="G231" s="332"/>
      <c r="H231" s="333"/>
    </row>
    <row r="232" spans="1:8" ht="16.5" customHeight="1">
      <c r="A232" s="313"/>
      <c r="B232" s="314"/>
      <c r="C232" s="307"/>
      <c r="D232" s="309"/>
      <c r="E232" s="315"/>
      <c r="F232" s="316"/>
      <c r="G232" s="317"/>
      <c r="H232" s="321"/>
    </row>
    <row r="233" spans="1:8" ht="16.5" customHeight="1">
      <c r="A233" s="305"/>
      <c r="B233" s="307"/>
      <c r="C233" s="307"/>
      <c r="D233" s="309"/>
      <c r="E233" s="318"/>
      <c r="F233" s="319"/>
      <c r="G233" s="320"/>
      <c r="H233" s="311"/>
    </row>
    <row r="234" spans="1:8" ht="16.5" customHeight="1">
      <c r="A234" s="313"/>
      <c r="B234" s="314"/>
      <c r="C234" s="307"/>
      <c r="D234" s="309"/>
      <c r="E234" s="315"/>
      <c r="F234" s="316"/>
      <c r="G234" s="317"/>
      <c r="H234" s="321"/>
    </row>
    <row r="235" spans="1:8" ht="16.5" customHeight="1">
      <c r="A235" s="305"/>
      <c r="B235" s="307"/>
      <c r="C235" s="307"/>
      <c r="D235" s="309"/>
      <c r="E235" s="318"/>
      <c r="F235" s="319"/>
      <c r="G235" s="320"/>
      <c r="H235" s="311"/>
    </row>
    <row r="236" spans="1:8">
      <c r="A236" s="305"/>
      <c r="B236" s="307"/>
      <c r="C236" s="307"/>
      <c r="D236" s="309"/>
      <c r="E236" s="309"/>
      <c r="F236" s="309"/>
      <c r="G236" s="309"/>
      <c r="H236" s="311"/>
    </row>
    <row r="237" spans="1:8">
      <c r="A237" s="305"/>
      <c r="B237" s="307"/>
      <c r="C237" s="307"/>
      <c r="D237" s="309"/>
      <c r="E237" s="309"/>
      <c r="F237" s="309"/>
      <c r="G237" s="309"/>
      <c r="H237" s="311"/>
    </row>
    <row r="238" spans="1:8" ht="16.5" customHeight="1">
      <c r="A238" s="313"/>
      <c r="B238" s="314"/>
      <c r="C238" s="307"/>
      <c r="D238" s="309"/>
      <c r="E238" s="315"/>
      <c r="F238" s="316"/>
      <c r="G238" s="317"/>
      <c r="H238" s="311"/>
    </row>
    <row r="239" spans="1:8" ht="16.5" customHeight="1">
      <c r="A239" s="305"/>
      <c r="B239" s="307"/>
      <c r="C239" s="307"/>
      <c r="D239" s="309"/>
      <c r="E239" s="318"/>
      <c r="F239" s="319"/>
      <c r="G239" s="320"/>
      <c r="H239" s="311"/>
    </row>
    <row r="240" spans="1:8" ht="16.5" customHeight="1">
      <c r="A240" s="313"/>
      <c r="B240" s="314"/>
      <c r="C240" s="307"/>
      <c r="D240" s="309"/>
      <c r="E240" s="315"/>
      <c r="F240" s="316"/>
      <c r="G240" s="317"/>
      <c r="H240" s="311"/>
    </row>
    <row r="241" spans="1:8" ht="16.5" customHeight="1">
      <c r="A241" s="305"/>
      <c r="B241" s="307"/>
      <c r="C241" s="307"/>
      <c r="D241" s="309"/>
      <c r="E241" s="318"/>
      <c r="F241" s="319"/>
      <c r="G241" s="320"/>
      <c r="H241" s="311"/>
    </row>
    <row r="242" spans="1:8" ht="16.5" customHeight="1">
      <c r="A242" s="313"/>
      <c r="B242" s="314"/>
      <c r="C242" s="307"/>
      <c r="D242" s="309"/>
      <c r="E242" s="315"/>
      <c r="F242" s="316"/>
      <c r="G242" s="317"/>
      <c r="H242" s="321"/>
    </row>
    <row r="243" spans="1:8" ht="16.5" customHeight="1">
      <c r="A243" s="305"/>
      <c r="B243" s="307"/>
      <c r="C243" s="307"/>
      <c r="D243" s="309"/>
      <c r="E243" s="318"/>
      <c r="F243" s="319"/>
      <c r="G243" s="320"/>
      <c r="H243" s="311"/>
    </row>
    <row r="244" spans="1:8" ht="16.5" customHeight="1">
      <c r="A244" s="313"/>
      <c r="B244" s="314"/>
      <c r="C244" s="307"/>
      <c r="D244" s="309"/>
      <c r="E244" s="315"/>
      <c r="F244" s="316"/>
      <c r="G244" s="317"/>
      <c r="H244" s="321"/>
    </row>
    <row r="245" spans="1:8" ht="16.5" customHeight="1">
      <c r="A245" s="305"/>
      <c r="B245" s="307"/>
      <c r="C245" s="307"/>
      <c r="D245" s="309"/>
      <c r="E245" s="318"/>
      <c r="F245" s="319"/>
      <c r="G245" s="320"/>
      <c r="H245" s="311"/>
    </row>
    <row r="246" spans="1:8">
      <c r="A246" s="305"/>
      <c r="B246" s="307"/>
      <c r="C246" s="307"/>
      <c r="D246" s="309"/>
      <c r="E246" s="309"/>
      <c r="F246" s="309"/>
      <c r="G246" s="309"/>
      <c r="H246" s="311"/>
    </row>
    <row r="247" spans="1:8">
      <c r="A247" s="305"/>
      <c r="B247" s="307"/>
      <c r="C247" s="307"/>
      <c r="D247" s="309"/>
      <c r="E247" s="309"/>
      <c r="F247" s="309"/>
      <c r="G247" s="309"/>
      <c r="H247" s="311"/>
    </row>
    <row r="248" spans="1:8" ht="16.5" customHeight="1">
      <c r="A248" s="313"/>
      <c r="B248" s="314"/>
      <c r="C248" s="307"/>
      <c r="D248" s="309"/>
      <c r="E248" s="315"/>
      <c r="F248" s="316"/>
      <c r="G248" s="317"/>
      <c r="H248" s="311"/>
    </row>
    <row r="249" spans="1:8" ht="16.5" customHeight="1">
      <c r="A249" s="305"/>
      <c r="B249" s="307"/>
      <c r="C249" s="307"/>
      <c r="D249" s="309"/>
      <c r="E249" s="318"/>
      <c r="F249" s="319"/>
      <c r="G249" s="320"/>
      <c r="H249" s="311"/>
    </row>
    <row r="250" spans="1:8" ht="16.5" customHeight="1">
      <c r="A250" s="313"/>
      <c r="B250" s="314"/>
      <c r="C250" s="307"/>
      <c r="D250" s="309"/>
      <c r="E250" s="315"/>
      <c r="F250" s="316"/>
      <c r="G250" s="317"/>
      <c r="H250" s="321"/>
    </row>
    <row r="251" spans="1:8" ht="16.5" customHeight="1">
      <c r="A251" s="305"/>
      <c r="B251" s="307"/>
      <c r="C251" s="307"/>
      <c r="D251" s="309"/>
      <c r="E251" s="318"/>
      <c r="F251" s="319"/>
      <c r="G251" s="320"/>
      <c r="H251" s="311"/>
    </row>
    <row r="252" spans="1:8" ht="16.5" customHeight="1">
      <c r="A252" s="313"/>
      <c r="B252" s="314"/>
      <c r="C252" s="307"/>
      <c r="D252" s="309"/>
      <c r="E252" s="315"/>
      <c r="F252" s="316"/>
      <c r="G252" s="317"/>
      <c r="H252" s="321"/>
    </row>
    <row r="253" spans="1:8" ht="16.5" customHeight="1">
      <c r="A253" s="305"/>
      <c r="B253" s="307"/>
      <c r="C253" s="307"/>
      <c r="D253" s="309"/>
      <c r="E253" s="318"/>
      <c r="F253" s="319"/>
      <c r="G253" s="320"/>
      <c r="H253" s="311"/>
    </row>
    <row r="254" spans="1:8">
      <c r="A254" s="305"/>
      <c r="B254" s="307"/>
      <c r="C254" s="307"/>
      <c r="D254" s="309"/>
      <c r="E254" s="309"/>
      <c r="F254" s="309"/>
      <c r="G254" s="309"/>
      <c r="H254" s="311"/>
    </row>
    <row r="255" spans="1:8">
      <c r="A255" s="305"/>
      <c r="B255" s="307"/>
      <c r="C255" s="307"/>
      <c r="D255" s="309"/>
      <c r="E255" s="309"/>
      <c r="F255" s="309"/>
      <c r="G255" s="309"/>
      <c r="H255" s="311"/>
    </row>
    <row r="256" spans="1:8">
      <c r="A256" s="305"/>
      <c r="B256" s="307"/>
      <c r="C256" s="307"/>
      <c r="D256" s="309"/>
      <c r="E256" s="309"/>
      <c r="F256" s="309"/>
      <c r="G256" s="309"/>
      <c r="H256" s="311"/>
    </row>
    <row r="257" spans="1:8" ht="17.25" thickBot="1">
      <c r="A257" s="306"/>
      <c r="B257" s="308"/>
      <c r="C257" s="308"/>
      <c r="D257" s="310"/>
      <c r="E257" s="310"/>
      <c r="F257" s="310"/>
      <c r="G257" s="310"/>
      <c r="H257" s="312"/>
    </row>
  </sheetData>
  <mergeCells count="745"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  <mergeCell ref="A3:H3"/>
    <mergeCell ref="A4:A5"/>
    <mergeCell ref="B4:B5"/>
    <mergeCell ref="C4:C5"/>
    <mergeCell ref="D4:D5"/>
    <mergeCell ref="E4:G5"/>
    <mergeCell ref="H4:H5"/>
    <mergeCell ref="M1:M2"/>
    <mergeCell ref="N1:N2"/>
    <mergeCell ref="A8:A9"/>
    <mergeCell ref="B8:B9"/>
    <mergeCell ref="C8:C9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A14:A15"/>
    <mergeCell ref="B14:B15"/>
    <mergeCell ref="C14:C15"/>
    <mergeCell ref="D14:D15"/>
    <mergeCell ref="E14:G15"/>
    <mergeCell ref="H14:H15"/>
    <mergeCell ref="A10:A11"/>
    <mergeCell ref="B10:H11"/>
    <mergeCell ref="A12:A13"/>
    <mergeCell ref="B12:B13"/>
    <mergeCell ref="C12:C13"/>
    <mergeCell ref="D12:D13"/>
    <mergeCell ref="E12:G13"/>
    <mergeCell ref="H12:H13"/>
    <mergeCell ref="A18:A19"/>
    <mergeCell ref="B18:B19"/>
    <mergeCell ref="C18:C19"/>
    <mergeCell ref="D18:D19"/>
    <mergeCell ref="E18:G19"/>
    <mergeCell ref="H18:H19"/>
    <mergeCell ref="A16:A17"/>
    <mergeCell ref="B16:B17"/>
    <mergeCell ref="C16:C17"/>
    <mergeCell ref="D16:D17"/>
    <mergeCell ref="E16:G17"/>
    <mergeCell ref="H16:H17"/>
    <mergeCell ref="A22:A23"/>
    <mergeCell ref="B22:B23"/>
    <mergeCell ref="C22:C23"/>
    <mergeCell ref="D22:D23"/>
    <mergeCell ref="E22:G23"/>
    <mergeCell ref="H22:H23"/>
    <mergeCell ref="A20:A21"/>
    <mergeCell ref="B20:B21"/>
    <mergeCell ref="C20:C21"/>
    <mergeCell ref="D20:D21"/>
    <mergeCell ref="E20:G21"/>
    <mergeCell ref="H20:H21"/>
    <mergeCell ref="A26:A27"/>
    <mergeCell ref="B26:B27"/>
    <mergeCell ref="C26:C27"/>
    <mergeCell ref="D26:D27"/>
    <mergeCell ref="E26:G27"/>
    <mergeCell ref="H26:H27"/>
    <mergeCell ref="A24:A25"/>
    <mergeCell ref="B24:B25"/>
    <mergeCell ref="C24:C25"/>
    <mergeCell ref="D24:D25"/>
    <mergeCell ref="E24:G25"/>
    <mergeCell ref="H24:H25"/>
    <mergeCell ref="A30:A31"/>
    <mergeCell ref="B30:B31"/>
    <mergeCell ref="C30:C31"/>
    <mergeCell ref="D30:D31"/>
    <mergeCell ref="E30:G31"/>
    <mergeCell ref="H30:H31"/>
    <mergeCell ref="A28:A29"/>
    <mergeCell ref="B28:B29"/>
    <mergeCell ref="C28:C29"/>
    <mergeCell ref="D28:D29"/>
    <mergeCell ref="E28:G29"/>
    <mergeCell ref="H28:H29"/>
    <mergeCell ref="A34:A35"/>
    <mergeCell ref="B34:B35"/>
    <mergeCell ref="C34:C35"/>
    <mergeCell ref="D34:D35"/>
    <mergeCell ref="E34:G35"/>
    <mergeCell ref="H34:H35"/>
    <mergeCell ref="A32:A33"/>
    <mergeCell ref="B32:B33"/>
    <mergeCell ref="C32:C33"/>
    <mergeCell ref="D32:D33"/>
    <mergeCell ref="E32:G33"/>
    <mergeCell ref="H32:H33"/>
    <mergeCell ref="A38:A39"/>
    <mergeCell ref="B38:B39"/>
    <mergeCell ref="C38:C39"/>
    <mergeCell ref="D38:D39"/>
    <mergeCell ref="E38:G39"/>
    <mergeCell ref="H38:H39"/>
    <mergeCell ref="A36:A37"/>
    <mergeCell ref="B36:B37"/>
    <mergeCell ref="C36:C37"/>
    <mergeCell ref="D36:D37"/>
    <mergeCell ref="E36:G37"/>
    <mergeCell ref="H36:H37"/>
    <mergeCell ref="A40:A41"/>
    <mergeCell ref="B40:H41"/>
    <mergeCell ref="A46:A47"/>
    <mergeCell ref="B46:B47"/>
    <mergeCell ref="C46:C47"/>
    <mergeCell ref="D46:D47"/>
    <mergeCell ref="E46:G47"/>
    <mergeCell ref="H46:H47"/>
    <mergeCell ref="A44:A45"/>
    <mergeCell ref="B44:B45"/>
    <mergeCell ref="C44:C45"/>
    <mergeCell ref="D44:D45"/>
    <mergeCell ref="E44:G45"/>
    <mergeCell ref="H44:H45"/>
    <mergeCell ref="A48:A49"/>
    <mergeCell ref="B48:B49"/>
    <mergeCell ref="C48:C49"/>
    <mergeCell ref="D48:D49"/>
    <mergeCell ref="E48:G49"/>
    <mergeCell ref="H48:H49"/>
    <mergeCell ref="A42:A43"/>
    <mergeCell ref="B42:B43"/>
    <mergeCell ref="C42:C43"/>
    <mergeCell ref="D42:D43"/>
    <mergeCell ref="E42:G43"/>
    <mergeCell ref="H42:H43"/>
    <mergeCell ref="A52:A53"/>
    <mergeCell ref="B52:B53"/>
    <mergeCell ref="C52:C53"/>
    <mergeCell ref="D52:D53"/>
    <mergeCell ref="E52:G53"/>
    <mergeCell ref="H52:H53"/>
    <mergeCell ref="A50:A51"/>
    <mergeCell ref="B50:B51"/>
    <mergeCell ref="C50:C51"/>
    <mergeCell ref="D50:D51"/>
    <mergeCell ref="E50:G51"/>
    <mergeCell ref="H50:H51"/>
    <mergeCell ref="A56:A57"/>
    <mergeCell ref="B56:B57"/>
    <mergeCell ref="C56:C57"/>
    <mergeCell ref="D56:D57"/>
    <mergeCell ref="E56:G57"/>
    <mergeCell ref="H56:H57"/>
    <mergeCell ref="A54:A55"/>
    <mergeCell ref="B54:B55"/>
    <mergeCell ref="C54:C55"/>
    <mergeCell ref="D54:D55"/>
    <mergeCell ref="E54:G55"/>
    <mergeCell ref="H54:H55"/>
    <mergeCell ref="A60:A61"/>
    <mergeCell ref="B60:B61"/>
    <mergeCell ref="C60:C61"/>
    <mergeCell ref="D60:D61"/>
    <mergeCell ref="E60:G61"/>
    <mergeCell ref="H60:H61"/>
    <mergeCell ref="A58:A59"/>
    <mergeCell ref="B58:B59"/>
    <mergeCell ref="C58:C59"/>
    <mergeCell ref="D58:D59"/>
    <mergeCell ref="E58:G59"/>
    <mergeCell ref="H58:H59"/>
    <mergeCell ref="A66:A67"/>
    <mergeCell ref="B66:B67"/>
    <mergeCell ref="C66:C67"/>
    <mergeCell ref="D66:D67"/>
    <mergeCell ref="E66:G67"/>
    <mergeCell ref="H66:H67"/>
    <mergeCell ref="A64:A65"/>
    <mergeCell ref="B62:H65"/>
    <mergeCell ref="A62:A63"/>
    <mergeCell ref="A70:A71"/>
    <mergeCell ref="B70:B71"/>
    <mergeCell ref="C70:C71"/>
    <mergeCell ref="D70:D71"/>
    <mergeCell ref="E70:G71"/>
    <mergeCell ref="H70:H71"/>
    <mergeCell ref="A68:A69"/>
    <mergeCell ref="B68:B69"/>
    <mergeCell ref="C68:C69"/>
    <mergeCell ref="D68:D69"/>
    <mergeCell ref="E68:G69"/>
    <mergeCell ref="H68:H69"/>
    <mergeCell ref="A74:A75"/>
    <mergeCell ref="B74:B75"/>
    <mergeCell ref="C74:C75"/>
    <mergeCell ref="D74:D75"/>
    <mergeCell ref="E74:G75"/>
    <mergeCell ref="H74:H75"/>
    <mergeCell ref="A72:A73"/>
    <mergeCell ref="B72:B73"/>
    <mergeCell ref="C72:C73"/>
    <mergeCell ref="D72:D73"/>
    <mergeCell ref="E72:G73"/>
    <mergeCell ref="H72:H73"/>
    <mergeCell ref="A78:A79"/>
    <mergeCell ref="B78:B79"/>
    <mergeCell ref="C78:C79"/>
    <mergeCell ref="D78:D79"/>
    <mergeCell ref="E78:G79"/>
    <mergeCell ref="H78:H79"/>
    <mergeCell ref="A76:A77"/>
    <mergeCell ref="B76:B77"/>
    <mergeCell ref="C76:C77"/>
    <mergeCell ref="D76:D77"/>
    <mergeCell ref="E76:G77"/>
    <mergeCell ref="H76:H77"/>
    <mergeCell ref="A82:A83"/>
    <mergeCell ref="B82:B83"/>
    <mergeCell ref="C82:C83"/>
    <mergeCell ref="D82:D83"/>
    <mergeCell ref="E82:G83"/>
    <mergeCell ref="H82:H83"/>
    <mergeCell ref="A80:A81"/>
    <mergeCell ref="B80:B81"/>
    <mergeCell ref="C80:C81"/>
    <mergeCell ref="D80:D81"/>
    <mergeCell ref="E80:G81"/>
    <mergeCell ref="H80:H81"/>
    <mergeCell ref="A86:A87"/>
    <mergeCell ref="B86:B87"/>
    <mergeCell ref="C86:C87"/>
    <mergeCell ref="D86:D87"/>
    <mergeCell ref="E86:G87"/>
    <mergeCell ref="H86:H87"/>
    <mergeCell ref="A84:A85"/>
    <mergeCell ref="H84:H85"/>
    <mergeCell ref="B84:G85"/>
    <mergeCell ref="A90:A91"/>
    <mergeCell ref="B90:B91"/>
    <mergeCell ref="C90:C91"/>
    <mergeCell ref="D90:D91"/>
    <mergeCell ref="E90:G91"/>
    <mergeCell ref="H90:H91"/>
    <mergeCell ref="A88:A89"/>
    <mergeCell ref="B88:B89"/>
    <mergeCell ref="C88:C89"/>
    <mergeCell ref="D88:D89"/>
    <mergeCell ref="E88:G89"/>
    <mergeCell ref="H88:H89"/>
    <mergeCell ref="A94:A95"/>
    <mergeCell ref="B94:B95"/>
    <mergeCell ref="C94:C95"/>
    <mergeCell ref="D94:D95"/>
    <mergeCell ref="E94:G95"/>
    <mergeCell ref="H94:H95"/>
    <mergeCell ref="A92:A93"/>
    <mergeCell ref="B92:B93"/>
    <mergeCell ref="C92:C93"/>
    <mergeCell ref="D92:D93"/>
    <mergeCell ref="E92:G93"/>
    <mergeCell ref="H92:H93"/>
    <mergeCell ref="A98:A99"/>
    <mergeCell ref="B98:B99"/>
    <mergeCell ref="C98:C99"/>
    <mergeCell ref="D98:D99"/>
    <mergeCell ref="E98:G99"/>
    <mergeCell ref="H98:H99"/>
    <mergeCell ref="A96:A97"/>
    <mergeCell ref="B96:B97"/>
    <mergeCell ref="C96:C97"/>
    <mergeCell ref="D96:D97"/>
    <mergeCell ref="E96:G97"/>
    <mergeCell ref="H96:H97"/>
    <mergeCell ref="A102:A103"/>
    <mergeCell ref="B102:B103"/>
    <mergeCell ref="C102:C103"/>
    <mergeCell ref="D102:D103"/>
    <mergeCell ref="E102:G103"/>
    <mergeCell ref="H102:H103"/>
    <mergeCell ref="A100:A101"/>
    <mergeCell ref="B100:B101"/>
    <mergeCell ref="C100:C101"/>
    <mergeCell ref="D100:D101"/>
    <mergeCell ref="E100:G101"/>
    <mergeCell ref="H100:H101"/>
    <mergeCell ref="A104:A105"/>
    <mergeCell ref="B104:B105"/>
    <mergeCell ref="C104:C105"/>
    <mergeCell ref="D104:D105"/>
    <mergeCell ref="E104:G105"/>
    <mergeCell ref="H104:H105"/>
    <mergeCell ref="A112:A113"/>
    <mergeCell ref="B112:B113"/>
    <mergeCell ref="C112:C113"/>
    <mergeCell ref="D112:D113"/>
    <mergeCell ref="E112:G113"/>
    <mergeCell ref="H112:H113"/>
    <mergeCell ref="A106:H109"/>
    <mergeCell ref="A110:A111"/>
    <mergeCell ref="B110:B111"/>
    <mergeCell ref="C110:C111"/>
    <mergeCell ref="D110:D111"/>
    <mergeCell ref="E110:G111"/>
    <mergeCell ref="H110:H111"/>
    <mergeCell ref="A116:A117"/>
    <mergeCell ref="B116:B117"/>
    <mergeCell ref="C116:C117"/>
    <mergeCell ref="D116:D117"/>
    <mergeCell ref="E116:G117"/>
    <mergeCell ref="H116:H117"/>
    <mergeCell ref="A114:A115"/>
    <mergeCell ref="B114:B115"/>
    <mergeCell ref="C114:C115"/>
    <mergeCell ref="D114:D115"/>
    <mergeCell ref="E114:G115"/>
    <mergeCell ref="H114:H115"/>
    <mergeCell ref="A120:A121"/>
    <mergeCell ref="B120:B121"/>
    <mergeCell ref="C120:C121"/>
    <mergeCell ref="D120:D121"/>
    <mergeCell ref="E120:G121"/>
    <mergeCell ref="H120:H121"/>
    <mergeCell ref="A118:A119"/>
    <mergeCell ref="B118:B119"/>
    <mergeCell ref="C118:C119"/>
    <mergeCell ref="D118:D119"/>
    <mergeCell ref="E118:G119"/>
    <mergeCell ref="H118:H119"/>
    <mergeCell ref="A124:A125"/>
    <mergeCell ref="B124:B125"/>
    <mergeCell ref="C124:C125"/>
    <mergeCell ref="D124:D125"/>
    <mergeCell ref="E124:G125"/>
    <mergeCell ref="H124:H125"/>
    <mergeCell ref="A122:A123"/>
    <mergeCell ref="B122:B123"/>
    <mergeCell ref="C122:C123"/>
    <mergeCell ref="D122:D123"/>
    <mergeCell ref="E122:G123"/>
    <mergeCell ref="H122:H123"/>
    <mergeCell ref="A128:A129"/>
    <mergeCell ref="B128:B129"/>
    <mergeCell ref="C128:C129"/>
    <mergeCell ref="D128:D129"/>
    <mergeCell ref="E128:G129"/>
    <mergeCell ref="H128:H129"/>
    <mergeCell ref="A126:A127"/>
    <mergeCell ref="B126:B127"/>
    <mergeCell ref="C126:C127"/>
    <mergeCell ref="D126:D127"/>
    <mergeCell ref="E126:G127"/>
    <mergeCell ref="H126:H127"/>
    <mergeCell ref="A132:A133"/>
    <mergeCell ref="B132:B133"/>
    <mergeCell ref="C132:C133"/>
    <mergeCell ref="D132:D133"/>
    <mergeCell ref="E132:G133"/>
    <mergeCell ref="H132:H133"/>
    <mergeCell ref="A130:A131"/>
    <mergeCell ref="B130:B131"/>
    <mergeCell ref="C130:C131"/>
    <mergeCell ref="D130:D131"/>
    <mergeCell ref="E130:G131"/>
    <mergeCell ref="H130:H131"/>
    <mergeCell ref="A136:A137"/>
    <mergeCell ref="B136:B137"/>
    <mergeCell ref="C136:C137"/>
    <mergeCell ref="D136:D137"/>
    <mergeCell ref="E136:G137"/>
    <mergeCell ref="H136:H137"/>
    <mergeCell ref="A134:A135"/>
    <mergeCell ref="B134:B135"/>
    <mergeCell ref="C134:C135"/>
    <mergeCell ref="D134:D135"/>
    <mergeCell ref="E134:G135"/>
    <mergeCell ref="H134:H135"/>
    <mergeCell ref="A140:A141"/>
    <mergeCell ref="B140:B141"/>
    <mergeCell ref="C140:C141"/>
    <mergeCell ref="D140:D141"/>
    <mergeCell ref="E140:G141"/>
    <mergeCell ref="H140:H141"/>
    <mergeCell ref="A138:A139"/>
    <mergeCell ref="B138:B139"/>
    <mergeCell ref="C138:C139"/>
    <mergeCell ref="D138:D139"/>
    <mergeCell ref="E138:G139"/>
    <mergeCell ref="H138:H139"/>
    <mergeCell ref="A144:A145"/>
    <mergeCell ref="B144:B145"/>
    <mergeCell ref="C144:C145"/>
    <mergeCell ref="D144:D145"/>
    <mergeCell ref="E144:G145"/>
    <mergeCell ref="H144:H145"/>
    <mergeCell ref="A142:A143"/>
    <mergeCell ref="B142:B143"/>
    <mergeCell ref="C142:C143"/>
    <mergeCell ref="D142:D143"/>
    <mergeCell ref="E142:G143"/>
    <mergeCell ref="H142:H143"/>
    <mergeCell ref="A148:A149"/>
    <mergeCell ref="B148:B149"/>
    <mergeCell ref="C148:C149"/>
    <mergeCell ref="D148:D149"/>
    <mergeCell ref="E148:G149"/>
    <mergeCell ref="H148:H149"/>
    <mergeCell ref="A146:A147"/>
    <mergeCell ref="B146:B147"/>
    <mergeCell ref="C146:C147"/>
    <mergeCell ref="D146:D147"/>
    <mergeCell ref="E146:G147"/>
    <mergeCell ref="H146:H147"/>
    <mergeCell ref="A152:A153"/>
    <mergeCell ref="B152:B153"/>
    <mergeCell ref="C152:C153"/>
    <mergeCell ref="D152:D153"/>
    <mergeCell ref="E152:G153"/>
    <mergeCell ref="H152:H153"/>
    <mergeCell ref="A150:A151"/>
    <mergeCell ref="B150:B151"/>
    <mergeCell ref="C150:C151"/>
    <mergeCell ref="D150:D151"/>
    <mergeCell ref="E150:G151"/>
    <mergeCell ref="H150:H151"/>
    <mergeCell ref="A156:A157"/>
    <mergeCell ref="B156:B157"/>
    <mergeCell ref="C156:C157"/>
    <mergeCell ref="D156:D157"/>
    <mergeCell ref="E156:G157"/>
    <mergeCell ref="H156:H157"/>
    <mergeCell ref="A154:A155"/>
    <mergeCell ref="B154:B155"/>
    <mergeCell ref="C154:C155"/>
    <mergeCell ref="D154:D155"/>
    <mergeCell ref="E154:G155"/>
    <mergeCell ref="H154:H155"/>
    <mergeCell ref="A160:A161"/>
    <mergeCell ref="B160:B161"/>
    <mergeCell ref="C160:C161"/>
    <mergeCell ref="D160:D161"/>
    <mergeCell ref="E160:G161"/>
    <mergeCell ref="H160:H161"/>
    <mergeCell ref="A158:A159"/>
    <mergeCell ref="B158:B159"/>
    <mergeCell ref="C158:C159"/>
    <mergeCell ref="D158:D159"/>
    <mergeCell ref="E158:G159"/>
    <mergeCell ref="H158:H159"/>
    <mergeCell ref="A164:A165"/>
    <mergeCell ref="B164:B165"/>
    <mergeCell ref="C164:C165"/>
    <mergeCell ref="D164:D165"/>
    <mergeCell ref="E164:G165"/>
    <mergeCell ref="H164:H165"/>
    <mergeCell ref="A162:A163"/>
    <mergeCell ref="B162:B163"/>
    <mergeCell ref="C162:C163"/>
    <mergeCell ref="D162:D163"/>
    <mergeCell ref="E162:G163"/>
    <mergeCell ref="H162:H163"/>
    <mergeCell ref="A168:A169"/>
    <mergeCell ref="B168:B169"/>
    <mergeCell ref="C168:C169"/>
    <mergeCell ref="D168:D169"/>
    <mergeCell ref="E168:G169"/>
    <mergeCell ref="H168:H169"/>
    <mergeCell ref="A166:A167"/>
    <mergeCell ref="B166:B167"/>
    <mergeCell ref="C166:C167"/>
    <mergeCell ref="D166:D167"/>
    <mergeCell ref="E166:G167"/>
    <mergeCell ref="H166:H167"/>
    <mergeCell ref="A172:A173"/>
    <mergeCell ref="B172:B173"/>
    <mergeCell ref="C172:C173"/>
    <mergeCell ref="D172:D173"/>
    <mergeCell ref="E172:G173"/>
    <mergeCell ref="H172:H173"/>
    <mergeCell ref="A170:A171"/>
    <mergeCell ref="B170:B171"/>
    <mergeCell ref="C170:C171"/>
    <mergeCell ref="D170:D171"/>
    <mergeCell ref="E170:G171"/>
    <mergeCell ref="H170:H171"/>
    <mergeCell ref="A176:A177"/>
    <mergeCell ref="B176:B177"/>
    <mergeCell ref="C176:C177"/>
    <mergeCell ref="D176:D177"/>
    <mergeCell ref="E176:G177"/>
    <mergeCell ref="H176:H177"/>
    <mergeCell ref="A174:A175"/>
    <mergeCell ref="B174:B175"/>
    <mergeCell ref="C174:C175"/>
    <mergeCell ref="D174:D175"/>
    <mergeCell ref="E174:G175"/>
    <mergeCell ref="H174:H175"/>
    <mergeCell ref="A180:A181"/>
    <mergeCell ref="B180:B181"/>
    <mergeCell ref="C180:C181"/>
    <mergeCell ref="D180:D181"/>
    <mergeCell ref="E180:G181"/>
    <mergeCell ref="H180:H181"/>
    <mergeCell ref="A178:A179"/>
    <mergeCell ref="B178:B179"/>
    <mergeCell ref="C178:C179"/>
    <mergeCell ref="D178:D179"/>
    <mergeCell ref="E178:G179"/>
    <mergeCell ref="H178:H179"/>
    <mergeCell ref="A184:A185"/>
    <mergeCell ref="B184:B185"/>
    <mergeCell ref="C184:C185"/>
    <mergeCell ref="D184:D185"/>
    <mergeCell ref="E184:G185"/>
    <mergeCell ref="H184:H185"/>
    <mergeCell ref="A182:A183"/>
    <mergeCell ref="B182:B183"/>
    <mergeCell ref="C182:C183"/>
    <mergeCell ref="D182:D183"/>
    <mergeCell ref="E182:G183"/>
    <mergeCell ref="H182:H183"/>
    <mergeCell ref="A188:A189"/>
    <mergeCell ref="B188:B189"/>
    <mergeCell ref="C188:C189"/>
    <mergeCell ref="D188:D189"/>
    <mergeCell ref="E188:G189"/>
    <mergeCell ref="H188:H189"/>
    <mergeCell ref="A186:A187"/>
    <mergeCell ref="B186:B187"/>
    <mergeCell ref="C186:C187"/>
    <mergeCell ref="D186:D187"/>
    <mergeCell ref="E186:G187"/>
    <mergeCell ref="H186:H187"/>
    <mergeCell ref="A192:A193"/>
    <mergeCell ref="B192:B193"/>
    <mergeCell ref="C192:C193"/>
    <mergeCell ref="D192:D193"/>
    <mergeCell ref="E192:G193"/>
    <mergeCell ref="H192:H193"/>
    <mergeCell ref="A190:A191"/>
    <mergeCell ref="B190:B191"/>
    <mergeCell ref="C190:C191"/>
    <mergeCell ref="D190:D191"/>
    <mergeCell ref="E190:G191"/>
    <mergeCell ref="H190:H191"/>
    <mergeCell ref="A196:A197"/>
    <mergeCell ref="B196:B197"/>
    <mergeCell ref="C196:C197"/>
    <mergeCell ref="D196:D197"/>
    <mergeCell ref="E196:G197"/>
    <mergeCell ref="H196:H197"/>
    <mergeCell ref="A194:A195"/>
    <mergeCell ref="B194:B195"/>
    <mergeCell ref="C194:C195"/>
    <mergeCell ref="D194:D195"/>
    <mergeCell ref="E194:G195"/>
    <mergeCell ref="H194:H195"/>
    <mergeCell ref="A200:A201"/>
    <mergeCell ref="B200:B201"/>
    <mergeCell ref="C200:C201"/>
    <mergeCell ref="D200:D201"/>
    <mergeCell ref="E200:G201"/>
    <mergeCell ref="H200:H201"/>
    <mergeCell ref="A198:A199"/>
    <mergeCell ref="B198:B199"/>
    <mergeCell ref="C198:C199"/>
    <mergeCell ref="D198:D199"/>
    <mergeCell ref="E198:G199"/>
    <mergeCell ref="H198:H199"/>
    <mergeCell ref="A204:A205"/>
    <mergeCell ref="B204:B205"/>
    <mergeCell ref="C204:C205"/>
    <mergeCell ref="D204:D205"/>
    <mergeCell ref="E204:G205"/>
    <mergeCell ref="H204:H205"/>
    <mergeCell ref="A202:A203"/>
    <mergeCell ref="B202:B203"/>
    <mergeCell ref="C202:C203"/>
    <mergeCell ref="D202:D203"/>
    <mergeCell ref="E202:G203"/>
    <mergeCell ref="H202:H203"/>
    <mergeCell ref="A208:A209"/>
    <mergeCell ref="B208:B209"/>
    <mergeCell ref="C208:C209"/>
    <mergeCell ref="D208:D209"/>
    <mergeCell ref="E208:G209"/>
    <mergeCell ref="H208:H209"/>
    <mergeCell ref="A206:A207"/>
    <mergeCell ref="B206:B207"/>
    <mergeCell ref="C206:C207"/>
    <mergeCell ref="D206:D207"/>
    <mergeCell ref="E206:G207"/>
    <mergeCell ref="H206:H207"/>
    <mergeCell ref="A212:A213"/>
    <mergeCell ref="B212:B213"/>
    <mergeCell ref="C212:C213"/>
    <mergeCell ref="D212:D213"/>
    <mergeCell ref="E212:G213"/>
    <mergeCell ref="H212:H213"/>
    <mergeCell ref="A210:A211"/>
    <mergeCell ref="B210:B211"/>
    <mergeCell ref="C210:C211"/>
    <mergeCell ref="D210:D211"/>
    <mergeCell ref="E210:G211"/>
    <mergeCell ref="H210:H211"/>
    <mergeCell ref="A216:A217"/>
    <mergeCell ref="B216:B217"/>
    <mergeCell ref="C216:C217"/>
    <mergeCell ref="D216:D217"/>
    <mergeCell ref="E216:G217"/>
    <mergeCell ref="H216:H217"/>
    <mergeCell ref="A214:A215"/>
    <mergeCell ref="B214:B215"/>
    <mergeCell ref="C214:C215"/>
    <mergeCell ref="D214:D215"/>
    <mergeCell ref="E214:G215"/>
    <mergeCell ref="H214:H215"/>
    <mergeCell ref="A220:A221"/>
    <mergeCell ref="B220:B221"/>
    <mergeCell ref="C220:C221"/>
    <mergeCell ref="D220:D221"/>
    <mergeCell ref="E220:G221"/>
    <mergeCell ref="H220:H221"/>
    <mergeCell ref="A218:A219"/>
    <mergeCell ref="B218:B219"/>
    <mergeCell ref="C218:C219"/>
    <mergeCell ref="D218:D219"/>
    <mergeCell ref="E218:G219"/>
    <mergeCell ref="H218:H219"/>
    <mergeCell ref="A224:A225"/>
    <mergeCell ref="B224:B225"/>
    <mergeCell ref="C224:C225"/>
    <mergeCell ref="D224:D225"/>
    <mergeCell ref="E224:G225"/>
    <mergeCell ref="H224:H225"/>
    <mergeCell ref="A222:A223"/>
    <mergeCell ref="B222:B223"/>
    <mergeCell ref="C222:C223"/>
    <mergeCell ref="D222:D223"/>
    <mergeCell ref="E222:G223"/>
    <mergeCell ref="H222:H223"/>
    <mergeCell ref="A228:A229"/>
    <mergeCell ref="B228:B229"/>
    <mergeCell ref="C228:C229"/>
    <mergeCell ref="D228:D229"/>
    <mergeCell ref="E228:G229"/>
    <mergeCell ref="H228:H229"/>
    <mergeCell ref="A226:A227"/>
    <mergeCell ref="B226:B227"/>
    <mergeCell ref="C226:C227"/>
    <mergeCell ref="D226:D227"/>
    <mergeCell ref="E226:G227"/>
    <mergeCell ref="H226:H227"/>
    <mergeCell ref="A232:A233"/>
    <mergeCell ref="B232:B233"/>
    <mergeCell ref="C232:C233"/>
    <mergeCell ref="D232:D233"/>
    <mergeCell ref="E232:G233"/>
    <mergeCell ref="H232:H233"/>
    <mergeCell ref="A230:A231"/>
    <mergeCell ref="B230:B231"/>
    <mergeCell ref="C230:C231"/>
    <mergeCell ref="D230:D231"/>
    <mergeCell ref="E230:G231"/>
    <mergeCell ref="H230:H231"/>
    <mergeCell ref="A236:A237"/>
    <mergeCell ref="B236:B237"/>
    <mergeCell ref="C236:C237"/>
    <mergeCell ref="D236:D237"/>
    <mergeCell ref="E236:G237"/>
    <mergeCell ref="H236:H237"/>
    <mergeCell ref="A234:A235"/>
    <mergeCell ref="B234:B235"/>
    <mergeCell ref="C234:C235"/>
    <mergeCell ref="D234:D235"/>
    <mergeCell ref="E234:G235"/>
    <mergeCell ref="H234:H235"/>
    <mergeCell ref="A240:A241"/>
    <mergeCell ref="B240:B241"/>
    <mergeCell ref="C240:C241"/>
    <mergeCell ref="D240:D241"/>
    <mergeCell ref="E240:G241"/>
    <mergeCell ref="H240:H241"/>
    <mergeCell ref="A238:A239"/>
    <mergeCell ref="B238:B239"/>
    <mergeCell ref="C238:C239"/>
    <mergeCell ref="D238:D239"/>
    <mergeCell ref="E238:G239"/>
    <mergeCell ref="H238:H239"/>
    <mergeCell ref="A244:A245"/>
    <mergeCell ref="B244:B245"/>
    <mergeCell ref="C244:C245"/>
    <mergeCell ref="D244:D245"/>
    <mergeCell ref="E244:G245"/>
    <mergeCell ref="H244:H245"/>
    <mergeCell ref="A242:A243"/>
    <mergeCell ref="B242:B243"/>
    <mergeCell ref="C242:C243"/>
    <mergeCell ref="D242:D243"/>
    <mergeCell ref="E242:G243"/>
    <mergeCell ref="H242:H243"/>
    <mergeCell ref="A248:A249"/>
    <mergeCell ref="B248:B249"/>
    <mergeCell ref="C248:C249"/>
    <mergeCell ref="D248:D249"/>
    <mergeCell ref="E248:G249"/>
    <mergeCell ref="H248:H249"/>
    <mergeCell ref="A246:A247"/>
    <mergeCell ref="B246:B247"/>
    <mergeCell ref="C246:C247"/>
    <mergeCell ref="D246:D247"/>
    <mergeCell ref="E246:G247"/>
    <mergeCell ref="H246:H247"/>
    <mergeCell ref="A252:A253"/>
    <mergeCell ref="B252:B253"/>
    <mergeCell ref="C252:C253"/>
    <mergeCell ref="D252:D253"/>
    <mergeCell ref="E252:G253"/>
    <mergeCell ref="H252:H253"/>
    <mergeCell ref="A250:A251"/>
    <mergeCell ref="B250:B251"/>
    <mergeCell ref="C250:C251"/>
    <mergeCell ref="D250:D251"/>
    <mergeCell ref="E250:G251"/>
    <mergeCell ref="H250:H251"/>
    <mergeCell ref="A256:A257"/>
    <mergeCell ref="B256:B257"/>
    <mergeCell ref="C256:C257"/>
    <mergeCell ref="D256:D257"/>
    <mergeCell ref="E256:G257"/>
    <mergeCell ref="H256:H257"/>
    <mergeCell ref="A254:A255"/>
    <mergeCell ref="B254:B255"/>
    <mergeCell ref="C254:C255"/>
    <mergeCell ref="D254:D255"/>
    <mergeCell ref="E254:G255"/>
    <mergeCell ref="H254:H255"/>
  </mergeCells>
  <phoneticPr fontId="1" type="noConversion"/>
  <pageMargins left="0" right="0" top="0" bottom="0" header="0" footer="0"/>
  <pageSetup paperSize="9" scale="3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252"/>
  <sheetViews>
    <sheetView showGridLines="0" zoomScale="115" zoomScaleNormal="115" workbookViewId="0">
      <pane xSplit="8" ySplit="2" topLeftCell="I105" activePane="bottomRight" state="frozen"/>
      <selection pane="topRight" activeCell="I1" sqref="I1"/>
      <selection pane="bottomLeft" activeCell="A3" sqref="A3"/>
      <selection pane="bottomRight" activeCell="E14" sqref="E14:G15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9" max="9" width="9.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</cols>
  <sheetData>
    <row r="1" spans="1:18" ht="35.25" customHeight="1" thickBot="1">
      <c r="A1" s="388" t="s">
        <v>1992</v>
      </c>
      <c r="B1" s="389"/>
      <c r="C1" s="402" t="s">
        <v>27</v>
      </c>
      <c r="D1" s="403"/>
      <c r="E1" s="21" t="s">
        <v>26</v>
      </c>
      <c r="F1" s="20">
        <f>H1/14</f>
        <v>1095785.7142857143</v>
      </c>
      <c r="G1" s="21" t="s">
        <v>4</v>
      </c>
      <c r="H1" s="22">
        <f>SUM(D4:D252)</f>
        <v>15341000</v>
      </c>
      <c r="I1" s="392"/>
      <c r="J1" s="338"/>
      <c r="K1" s="394"/>
      <c r="L1" s="396"/>
      <c r="M1" s="377"/>
      <c r="N1" s="379"/>
      <c r="O1" s="381"/>
      <c r="P1" s="383"/>
      <c r="Q1" s="377"/>
      <c r="R1" s="376"/>
    </row>
    <row r="2" spans="1:18" ht="17.25" thickBot="1">
      <c r="A2" s="27" t="s">
        <v>0</v>
      </c>
      <c r="B2" s="28" t="s">
        <v>1</v>
      </c>
      <c r="C2" s="28" t="s">
        <v>2</v>
      </c>
      <c r="D2" s="29" t="s">
        <v>3</v>
      </c>
      <c r="E2" s="385" t="s">
        <v>25</v>
      </c>
      <c r="F2" s="386"/>
      <c r="G2" s="387"/>
      <c r="H2" s="25" t="s">
        <v>5</v>
      </c>
      <c r="I2" s="393"/>
      <c r="J2" s="333"/>
      <c r="K2" s="395"/>
      <c r="L2" s="397"/>
      <c r="M2" s="378"/>
      <c r="N2" s="380"/>
      <c r="O2" s="382"/>
      <c r="P2" s="384"/>
      <c r="Q2" s="378"/>
      <c r="R2" s="376"/>
    </row>
    <row r="3" spans="1:18" ht="36" customHeight="1">
      <c r="A3" s="441" t="s">
        <v>1823</v>
      </c>
      <c r="B3" s="442"/>
      <c r="C3" s="442"/>
      <c r="D3" s="442"/>
      <c r="E3" s="442"/>
      <c r="F3" s="442"/>
      <c r="G3" s="442"/>
      <c r="H3" s="443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322" t="s">
        <v>1786</v>
      </c>
      <c r="B4" s="444" t="s">
        <v>1790</v>
      </c>
      <c r="C4" s="325" t="s">
        <v>1795</v>
      </c>
      <c r="D4" s="326">
        <v>380000</v>
      </c>
      <c r="E4" s="327" t="s">
        <v>1814</v>
      </c>
      <c r="F4" s="328"/>
      <c r="G4" s="329"/>
      <c r="H4" s="398" t="s">
        <v>1799</v>
      </c>
      <c r="J4" s="42"/>
    </row>
    <row r="5" spans="1:18" ht="16.5" customHeight="1">
      <c r="A5" s="323"/>
      <c r="B5" s="445"/>
      <c r="C5" s="325"/>
      <c r="D5" s="326"/>
      <c r="E5" s="330"/>
      <c r="F5" s="331"/>
      <c r="G5" s="332"/>
      <c r="H5" s="399"/>
      <c r="I5">
        <v>15341000</v>
      </c>
      <c r="J5" s="43"/>
    </row>
    <row r="6" spans="1:18" ht="16.5" customHeight="1">
      <c r="A6" s="322" t="s">
        <v>1786</v>
      </c>
      <c r="B6" s="439" t="s">
        <v>1791</v>
      </c>
      <c r="C6" s="341" t="s">
        <v>1796</v>
      </c>
      <c r="D6" s="326">
        <v>759000</v>
      </c>
      <c r="E6" s="327" t="s">
        <v>1813</v>
      </c>
      <c r="F6" s="345"/>
      <c r="G6" s="346"/>
      <c r="H6" s="398" t="s">
        <v>1797</v>
      </c>
      <c r="J6" s="43"/>
    </row>
    <row r="7" spans="1:18" ht="16.5" customHeight="1">
      <c r="A7" s="323"/>
      <c r="B7" s="440"/>
      <c r="C7" s="352"/>
      <c r="D7" s="326"/>
      <c r="E7" s="347"/>
      <c r="F7" s="348"/>
      <c r="G7" s="349"/>
      <c r="H7" s="399"/>
      <c r="J7" s="43"/>
      <c r="K7">
        <v>2317000</v>
      </c>
    </row>
    <row r="8" spans="1:18" ht="16.5" customHeight="1">
      <c r="A8" s="322" t="s">
        <v>1786</v>
      </c>
      <c r="B8" s="439" t="s">
        <v>1793</v>
      </c>
      <c r="C8" s="353" t="s">
        <v>1794</v>
      </c>
      <c r="D8" s="343">
        <v>210000</v>
      </c>
      <c r="E8" s="327" t="s">
        <v>1815</v>
      </c>
      <c r="F8" s="345"/>
      <c r="G8" s="346"/>
      <c r="H8" s="398" t="s">
        <v>1800</v>
      </c>
      <c r="J8" s="43"/>
    </row>
    <row r="9" spans="1:18" ht="24" customHeight="1">
      <c r="A9" s="323"/>
      <c r="B9" s="440"/>
      <c r="C9" s="352"/>
      <c r="D9" s="344"/>
      <c r="E9" s="347"/>
      <c r="F9" s="348"/>
      <c r="G9" s="349"/>
      <c r="H9" s="399"/>
    </row>
    <row r="10" spans="1:18" ht="16.5" customHeight="1">
      <c r="A10" s="322" t="s">
        <v>1786</v>
      </c>
      <c r="B10" s="444" t="s">
        <v>1792</v>
      </c>
      <c r="C10" s="324"/>
      <c r="D10" s="343">
        <v>380000</v>
      </c>
      <c r="E10" s="327" t="s">
        <v>1798</v>
      </c>
      <c r="F10" s="328"/>
      <c r="G10" s="329"/>
      <c r="H10" s="398" t="s">
        <v>1812</v>
      </c>
    </row>
    <row r="11" spans="1:18" ht="30.75" customHeight="1">
      <c r="A11" s="323"/>
      <c r="B11" s="445"/>
      <c r="C11" s="325"/>
      <c r="D11" s="344"/>
      <c r="E11" s="330"/>
      <c r="F11" s="331"/>
      <c r="G11" s="332"/>
      <c r="H11" s="399"/>
    </row>
    <row r="12" spans="1:18" ht="16.5" customHeight="1">
      <c r="A12" s="322" t="s">
        <v>1807</v>
      </c>
      <c r="B12" s="439" t="s">
        <v>1816</v>
      </c>
      <c r="C12" s="324" t="s">
        <v>1817</v>
      </c>
      <c r="D12" s="326">
        <v>135000</v>
      </c>
      <c r="E12" s="327" t="s">
        <v>1818</v>
      </c>
      <c r="F12" s="345"/>
      <c r="G12" s="346"/>
      <c r="H12" s="398" t="s">
        <v>1824</v>
      </c>
    </row>
    <row r="13" spans="1:18" ht="39" customHeight="1">
      <c r="A13" s="323"/>
      <c r="B13" s="440"/>
      <c r="C13" s="325"/>
      <c r="D13" s="326"/>
      <c r="E13" s="347"/>
      <c r="F13" s="348"/>
      <c r="G13" s="349"/>
      <c r="H13" s="399"/>
    </row>
    <row r="14" spans="1:18" ht="16.5" customHeight="1">
      <c r="A14" s="322" t="s">
        <v>1801</v>
      </c>
      <c r="B14" s="439" t="s">
        <v>1803</v>
      </c>
      <c r="C14" s="341" t="s">
        <v>1804</v>
      </c>
      <c r="D14" s="326">
        <v>410000</v>
      </c>
      <c r="E14" s="327" t="s">
        <v>1805</v>
      </c>
      <c r="F14" s="328"/>
      <c r="G14" s="329"/>
      <c r="H14" s="398" t="s">
        <v>1806</v>
      </c>
    </row>
    <row r="15" spans="1:18" ht="16.5" customHeight="1">
      <c r="A15" s="323"/>
      <c r="B15" s="440"/>
      <c r="C15" s="342"/>
      <c r="D15" s="326"/>
      <c r="E15" s="330"/>
      <c r="F15" s="331"/>
      <c r="G15" s="332"/>
      <c r="H15" s="399"/>
    </row>
    <row r="16" spans="1:18" ht="16.5" customHeight="1">
      <c r="A16" s="322" t="s">
        <v>1802</v>
      </c>
      <c r="B16" s="439" t="s">
        <v>1808</v>
      </c>
      <c r="C16" s="341" t="s">
        <v>1809</v>
      </c>
      <c r="D16" s="343">
        <v>300000</v>
      </c>
      <c r="E16" s="327" t="s">
        <v>1810</v>
      </c>
      <c r="F16" s="345"/>
      <c r="G16" s="346"/>
      <c r="H16" s="398" t="s">
        <v>1811</v>
      </c>
    </row>
    <row r="17" spans="1:11" ht="16.5" customHeight="1">
      <c r="A17" s="323"/>
      <c r="B17" s="440"/>
      <c r="C17" s="342"/>
      <c r="D17" s="344"/>
      <c r="E17" s="347"/>
      <c r="F17" s="348"/>
      <c r="G17" s="349"/>
      <c r="H17" s="399"/>
    </row>
    <row r="18" spans="1:11" ht="16.5" customHeight="1">
      <c r="A18" s="322" t="s">
        <v>1822</v>
      </c>
      <c r="B18" s="439"/>
      <c r="C18" s="341"/>
      <c r="D18" s="343">
        <v>153000</v>
      </c>
      <c r="E18" s="327" t="s">
        <v>1819</v>
      </c>
      <c r="F18" s="345"/>
      <c r="G18" s="346"/>
      <c r="H18" s="398" t="s">
        <v>1820</v>
      </c>
    </row>
    <row r="19" spans="1:11" ht="16.5" customHeight="1">
      <c r="A19" s="323"/>
      <c r="B19" s="440"/>
      <c r="C19" s="352"/>
      <c r="D19" s="344"/>
      <c r="E19" s="347"/>
      <c r="F19" s="348"/>
      <c r="G19" s="349"/>
      <c r="H19" s="399"/>
    </row>
    <row r="20" spans="1:11" ht="16.5" customHeight="1">
      <c r="A20" s="322"/>
      <c r="B20" s="604" t="s">
        <v>1874</v>
      </c>
      <c r="C20" s="605"/>
      <c r="D20" s="605"/>
      <c r="E20" s="605"/>
      <c r="F20" s="605"/>
      <c r="G20" s="605"/>
      <c r="H20" s="606"/>
    </row>
    <row r="21" spans="1:11" ht="39" customHeight="1">
      <c r="A21" s="323"/>
      <c r="B21" s="607"/>
      <c r="C21" s="608"/>
      <c r="D21" s="608"/>
      <c r="E21" s="608"/>
      <c r="F21" s="608"/>
      <c r="G21" s="608"/>
      <c r="H21" s="609"/>
    </row>
    <row r="22" spans="1:11" ht="16.5" customHeight="1">
      <c r="A22" s="322" t="s">
        <v>1821</v>
      </c>
      <c r="B22" s="444" t="s">
        <v>1833</v>
      </c>
      <c r="C22" s="325"/>
      <c r="D22" s="326">
        <v>187000</v>
      </c>
      <c r="E22" s="327" t="s">
        <v>1825</v>
      </c>
      <c r="F22" s="328"/>
      <c r="G22" s="329"/>
      <c r="H22" s="398" t="s">
        <v>1832</v>
      </c>
    </row>
    <row r="23" spans="1:11" ht="16.5" customHeight="1">
      <c r="A23" s="323"/>
      <c r="B23" s="445"/>
      <c r="C23" s="325"/>
      <c r="D23" s="326"/>
      <c r="E23" s="330"/>
      <c r="F23" s="331"/>
      <c r="G23" s="332"/>
      <c r="H23" s="399"/>
    </row>
    <row r="24" spans="1:11" ht="16.5" customHeight="1">
      <c r="A24" s="322" t="s">
        <v>1821</v>
      </c>
      <c r="B24" s="439" t="s">
        <v>1840</v>
      </c>
      <c r="C24" s="324"/>
      <c r="D24" s="326">
        <v>145000</v>
      </c>
      <c r="E24" s="327" t="s">
        <v>1839</v>
      </c>
      <c r="F24" s="328"/>
      <c r="G24" s="329"/>
      <c r="H24" s="610" t="s">
        <v>1827</v>
      </c>
      <c r="K24">
        <v>2161000</v>
      </c>
    </row>
    <row r="25" spans="1:11" ht="22.5" customHeight="1">
      <c r="A25" s="323"/>
      <c r="B25" s="440"/>
      <c r="C25" s="325"/>
      <c r="D25" s="326"/>
      <c r="E25" s="330"/>
      <c r="F25" s="331"/>
      <c r="G25" s="332"/>
      <c r="H25" s="611"/>
      <c r="K25" s="24"/>
    </row>
    <row r="26" spans="1:11" ht="16.5" customHeight="1">
      <c r="A26" s="335" t="s">
        <v>1826</v>
      </c>
      <c r="B26" s="444" t="s">
        <v>1834</v>
      </c>
      <c r="C26" s="341" t="s">
        <v>1847</v>
      </c>
      <c r="D26" s="326">
        <v>1130000</v>
      </c>
      <c r="E26" s="364" t="s">
        <v>1838</v>
      </c>
      <c r="F26" s="365"/>
      <c r="G26" s="366"/>
      <c r="H26" s="360" t="s">
        <v>1828</v>
      </c>
    </row>
    <row r="27" spans="1:11" ht="16.5" customHeight="1">
      <c r="A27" s="336"/>
      <c r="B27" s="445"/>
      <c r="C27" s="342"/>
      <c r="D27" s="326"/>
      <c r="E27" s="347"/>
      <c r="F27" s="348"/>
      <c r="G27" s="349"/>
      <c r="H27" s="359"/>
    </row>
    <row r="28" spans="1:11" ht="16.5" customHeight="1">
      <c r="A28" s="335" t="s">
        <v>1826</v>
      </c>
      <c r="B28" s="439" t="s">
        <v>1843</v>
      </c>
      <c r="C28" s="341" t="s">
        <v>1844</v>
      </c>
      <c r="D28" s="326">
        <v>400000</v>
      </c>
      <c r="E28" s="327" t="s">
        <v>1837</v>
      </c>
      <c r="F28" s="345"/>
      <c r="G28" s="346"/>
      <c r="H28" s="360" t="s">
        <v>1829</v>
      </c>
    </row>
    <row r="29" spans="1:11" ht="16.5" customHeight="1">
      <c r="A29" s="336"/>
      <c r="B29" s="440"/>
      <c r="C29" s="342"/>
      <c r="D29" s="326"/>
      <c r="E29" s="347"/>
      <c r="F29" s="348"/>
      <c r="G29" s="349"/>
      <c r="H29" s="359"/>
    </row>
    <row r="30" spans="1:11" ht="16.5" customHeight="1">
      <c r="A30" s="335" t="s">
        <v>1826</v>
      </c>
      <c r="B30" s="444" t="s">
        <v>1842</v>
      </c>
      <c r="C30" s="341" t="s">
        <v>1845</v>
      </c>
      <c r="D30" s="343">
        <v>87000</v>
      </c>
      <c r="E30" s="327" t="s">
        <v>1841</v>
      </c>
      <c r="F30" s="328"/>
      <c r="G30" s="329"/>
      <c r="H30" s="360" t="s">
        <v>1830</v>
      </c>
      <c r="K30" s="24"/>
    </row>
    <row r="31" spans="1:11" ht="16.5" customHeight="1">
      <c r="A31" s="336"/>
      <c r="B31" s="445"/>
      <c r="C31" s="342"/>
      <c r="D31" s="344"/>
      <c r="E31" s="330"/>
      <c r="F31" s="331"/>
      <c r="G31" s="332"/>
      <c r="H31" s="359"/>
      <c r="K31" s="24"/>
    </row>
    <row r="32" spans="1:11" ht="16.5" customHeight="1">
      <c r="A32" s="335" t="s">
        <v>1826</v>
      </c>
      <c r="B32" s="444" t="s">
        <v>1835</v>
      </c>
      <c r="C32" s="341" t="s">
        <v>1846</v>
      </c>
      <c r="D32" s="326">
        <v>300000</v>
      </c>
      <c r="E32" s="337" t="s">
        <v>1836</v>
      </c>
      <c r="F32" s="326"/>
      <c r="G32" s="326"/>
      <c r="H32" s="360" t="s">
        <v>1831</v>
      </c>
      <c r="I32" s="4"/>
    </row>
    <row r="33" spans="1:8" ht="16.5" customHeight="1">
      <c r="A33" s="336"/>
      <c r="B33" s="445"/>
      <c r="C33" s="342"/>
      <c r="D33" s="326"/>
      <c r="E33" s="326"/>
      <c r="F33" s="326"/>
      <c r="G33" s="326"/>
      <c r="H33" s="359"/>
    </row>
    <row r="34" spans="1:8" ht="16.5" customHeight="1">
      <c r="A34" s="335" t="s">
        <v>1848</v>
      </c>
      <c r="B34" s="444" t="s">
        <v>1849</v>
      </c>
      <c r="C34" s="341" t="s">
        <v>1931</v>
      </c>
      <c r="D34" s="326">
        <v>270000</v>
      </c>
      <c r="E34" s="327" t="s">
        <v>1850</v>
      </c>
      <c r="F34" s="345"/>
      <c r="G34" s="346"/>
      <c r="H34" s="360" t="s">
        <v>1851</v>
      </c>
    </row>
    <row r="35" spans="1:8" ht="16.5" customHeight="1">
      <c r="A35" s="336"/>
      <c r="B35" s="445"/>
      <c r="C35" s="342"/>
      <c r="D35" s="326"/>
      <c r="E35" s="347"/>
      <c r="F35" s="348"/>
      <c r="G35" s="349"/>
      <c r="H35" s="359"/>
    </row>
    <row r="36" spans="1:8" ht="16.5" customHeight="1">
      <c r="A36" s="322" t="s">
        <v>1848</v>
      </c>
      <c r="B36" s="439" t="s">
        <v>1852</v>
      </c>
      <c r="C36" s="341"/>
      <c r="D36" s="326">
        <v>22000</v>
      </c>
      <c r="E36" s="327" t="s">
        <v>1854</v>
      </c>
      <c r="F36" s="328"/>
      <c r="G36" s="329"/>
      <c r="H36" s="360" t="s">
        <v>1853</v>
      </c>
    </row>
    <row r="37" spans="1:8" ht="16.5" customHeight="1">
      <c r="A37" s="323"/>
      <c r="B37" s="440"/>
      <c r="C37" s="342"/>
      <c r="D37" s="326"/>
      <c r="E37" s="330"/>
      <c r="F37" s="331"/>
      <c r="G37" s="332"/>
      <c r="H37" s="359"/>
    </row>
    <row r="38" spans="1:8" ht="16.5" customHeight="1">
      <c r="A38" s="322" t="s">
        <v>1855</v>
      </c>
      <c r="B38" s="444" t="s">
        <v>1929</v>
      </c>
      <c r="C38" s="324" t="s">
        <v>1930</v>
      </c>
      <c r="D38" s="326">
        <v>70000</v>
      </c>
      <c r="E38" s="327" t="s">
        <v>1857</v>
      </c>
      <c r="F38" s="328"/>
      <c r="G38" s="329"/>
      <c r="H38" s="360" t="s">
        <v>1862</v>
      </c>
    </row>
    <row r="39" spans="1:8" ht="16.5" customHeight="1">
      <c r="A39" s="323"/>
      <c r="B39" s="445"/>
      <c r="C39" s="325"/>
      <c r="D39" s="326"/>
      <c r="E39" s="330"/>
      <c r="F39" s="331"/>
      <c r="G39" s="332"/>
      <c r="H39" s="359"/>
    </row>
    <row r="40" spans="1:8" ht="16.5" customHeight="1">
      <c r="A40" s="322" t="s">
        <v>1855</v>
      </c>
      <c r="B40" s="444" t="s">
        <v>1858</v>
      </c>
      <c r="C40" s="341" t="s">
        <v>1932</v>
      </c>
      <c r="D40" s="326">
        <v>220000</v>
      </c>
      <c r="E40" s="327" t="s">
        <v>1856</v>
      </c>
      <c r="F40" s="328"/>
      <c r="G40" s="329"/>
      <c r="H40" s="360" t="s">
        <v>1862</v>
      </c>
    </row>
    <row r="41" spans="1:8" ht="16.5" customHeight="1">
      <c r="A41" s="323"/>
      <c r="B41" s="445"/>
      <c r="C41" s="342"/>
      <c r="D41" s="326"/>
      <c r="E41" s="330"/>
      <c r="F41" s="331"/>
      <c r="G41" s="332"/>
      <c r="H41" s="359"/>
    </row>
    <row r="42" spans="1:8" ht="16.5" customHeight="1">
      <c r="A42" s="322" t="s">
        <v>1859</v>
      </c>
      <c r="B42" s="496" t="s">
        <v>1860</v>
      </c>
      <c r="C42" s="324"/>
      <c r="D42" s="326">
        <v>100000</v>
      </c>
      <c r="E42" s="327" t="s">
        <v>1865</v>
      </c>
      <c r="F42" s="328"/>
      <c r="G42" s="329"/>
      <c r="H42" s="360" t="s">
        <v>1861</v>
      </c>
    </row>
    <row r="43" spans="1:8" ht="35.25" customHeight="1">
      <c r="A43" s="323"/>
      <c r="B43" s="497"/>
      <c r="C43" s="325"/>
      <c r="D43" s="326"/>
      <c r="E43" s="330"/>
      <c r="F43" s="331"/>
      <c r="G43" s="332"/>
      <c r="H43" s="359"/>
    </row>
    <row r="44" spans="1:8" ht="16.5" customHeight="1">
      <c r="A44" s="322" t="s">
        <v>1863</v>
      </c>
      <c r="B44" s="496" t="s">
        <v>1864</v>
      </c>
      <c r="C44" s="341"/>
      <c r="D44" s="326">
        <v>360000</v>
      </c>
      <c r="E44" s="327" t="s">
        <v>1866</v>
      </c>
      <c r="F44" s="345"/>
      <c r="G44" s="346"/>
      <c r="H44" s="360" t="s">
        <v>1867</v>
      </c>
    </row>
    <row r="45" spans="1:8" ht="16.5" customHeight="1">
      <c r="A45" s="322"/>
      <c r="B45" s="496"/>
      <c r="C45" s="361"/>
      <c r="D45" s="326"/>
      <c r="E45" s="364"/>
      <c r="F45" s="365"/>
      <c r="G45" s="366"/>
      <c r="H45" s="360"/>
    </row>
    <row r="46" spans="1:8" ht="16.5" customHeight="1">
      <c r="A46" s="323"/>
      <c r="B46" s="497"/>
      <c r="C46" s="352"/>
      <c r="D46" s="326"/>
      <c r="E46" s="347"/>
      <c r="F46" s="348"/>
      <c r="G46" s="349"/>
      <c r="H46" s="359"/>
    </row>
    <row r="47" spans="1:8" ht="59.25" customHeight="1">
      <c r="A47" s="49"/>
      <c r="B47" s="639" t="s">
        <v>1909</v>
      </c>
      <c r="C47" s="640"/>
      <c r="D47" s="640"/>
      <c r="E47" s="640"/>
      <c r="F47" s="640"/>
      <c r="G47" s="640"/>
      <c r="H47" s="641"/>
    </row>
    <row r="48" spans="1:8" ht="16.5" customHeight="1">
      <c r="A48" s="322" t="s">
        <v>1868</v>
      </c>
      <c r="B48" s="496" t="s">
        <v>1869</v>
      </c>
      <c r="C48" s="324"/>
      <c r="D48" s="326">
        <v>155000</v>
      </c>
      <c r="E48" s="327" t="s">
        <v>1879</v>
      </c>
      <c r="F48" s="328"/>
      <c r="G48" s="329"/>
      <c r="H48" s="360" t="s">
        <v>1870</v>
      </c>
    </row>
    <row r="49" spans="1:13" ht="16.5" customHeight="1">
      <c r="A49" s="323"/>
      <c r="B49" s="497"/>
      <c r="C49" s="325"/>
      <c r="D49" s="326"/>
      <c r="E49" s="330"/>
      <c r="F49" s="331"/>
      <c r="G49" s="332"/>
      <c r="H49" s="359"/>
    </row>
    <row r="50" spans="1:13" ht="16.5" customHeight="1">
      <c r="A50" s="335" t="s">
        <v>1873</v>
      </c>
      <c r="B50" s="596" t="s">
        <v>1872</v>
      </c>
      <c r="C50" s="341"/>
      <c r="D50" s="343">
        <v>194000</v>
      </c>
      <c r="E50" s="327" t="s">
        <v>1880</v>
      </c>
      <c r="F50" s="345"/>
      <c r="G50" s="346"/>
      <c r="H50" s="400" t="s">
        <v>1871</v>
      </c>
    </row>
    <row r="51" spans="1:13" ht="16.5" customHeight="1">
      <c r="A51" s="336"/>
      <c r="B51" s="597"/>
      <c r="C51" s="342"/>
      <c r="D51" s="344"/>
      <c r="E51" s="347"/>
      <c r="F51" s="348"/>
      <c r="G51" s="349"/>
      <c r="H51" s="401"/>
    </row>
    <row r="52" spans="1:13" ht="16.5" customHeight="1">
      <c r="A52" s="335" t="s">
        <v>1875</v>
      </c>
      <c r="B52" s="596" t="s">
        <v>1877</v>
      </c>
      <c r="C52" s="341" t="s">
        <v>1925</v>
      </c>
      <c r="D52" s="343">
        <v>710000</v>
      </c>
      <c r="E52" s="327" t="s">
        <v>1881</v>
      </c>
      <c r="F52" s="345"/>
      <c r="G52" s="346"/>
      <c r="H52" s="400" t="s">
        <v>1882</v>
      </c>
    </row>
    <row r="53" spans="1:13" ht="59.25" customHeight="1">
      <c r="A53" s="336"/>
      <c r="B53" s="597"/>
      <c r="C53" s="342"/>
      <c r="D53" s="344"/>
      <c r="E53" s="347"/>
      <c r="F53" s="348"/>
      <c r="G53" s="349"/>
      <c r="H53" s="401"/>
    </row>
    <row r="54" spans="1:13" ht="16.5" customHeight="1">
      <c r="A54" s="335" t="s">
        <v>1875</v>
      </c>
      <c r="B54" s="596" t="s">
        <v>1878</v>
      </c>
      <c r="C54" s="341" t="s">
        <v>1926</v>
      </c>
      <c r="D54" s="343">
        <v>240000</v>
      </c>
      <c r="E54" s="327" t="s">
        <v>1884</v>
      </c>
      <c r="F54" s="345"/>
      <c r="G54" s="346"/>
      <c r="H54" s="400" t="s">
        <v>145</v>
      </c>
    </row>
    <row r="55" spans="1:13" ht="16.5" customHeight="1">
      <c r="A55" s="336"/>
      <c r="B55" s="597"/>
      <c r="C55" s="342"/>
      <c r="D55" s="344"/>
      <c r="E55" s="347"/>
      <c r="F55" s="348"/>
      <c r="G55" s="349"/>
      <c r="H55" s="401"/>
    </row>
    <row r="56" spans="1:13" ht="16.5" customHeight="1">
      <c r="A56" s="335" t="s">
        <v>1875</v>
      </c>
      <c r="B56" s="596" t="s">
        <v>1927</v>
      </c>
      <c r="C56" s="341" t="s">
        <v>1928</v>
      </c>
      <c r="D56" s="343">
        <v>110000</v>
      </c>
      <c r="E56" s="327" t="s">
        <v>1885</v>
      </c>
      <c r="F56" s="345"/>
      <c r="G56" s="346"/>
      <c r="H56" s="398" t="s">
        <v>1887</v>
      </c>
    </row>
    <row r="57" spans="1:13" ht="35.25" customHeight="1">
      <c r="A57" s="336"/>
      <c r="B57" s="597"/>
      <c r="C57" s="342"/>
      <c r="D57" s="344"/>
      <c r="E57" s="347"/>
      <c r="F57" s="348"/>
      <c r="G57" s="349"/>
      <c r="H57" s="399"/>
    </row>
    <row r="58" spans="1:13" ht="16.5" customHeight="1">
      <c r="A58" s="335" t="s">
        <v>1875</v>
      </c>
      <c r="B58" s="496" t="s">
        <v>1876</v>
      </c>
      <c r="C58" s="325"/>
      <c r="D58" s="326">
        <v>20000</v>
      </c>
      <c r="E58" s="327" t="s">
        <v>1886</v>
      </c>
      <c r="F58" s="328"/>
      <c r="G58" s="329"/>
      <c r="H58" s="359" t="s">
        <v>1883</v>
      </c>
    </row>
    <row r="59" spans="1:13" ht="18.75" customHeight="1">
      <c r="A59" s="336"/>
      <c r="B59" s="497"/>
      <c r="C59" s="325"/>
      <c r="D59" s="326"/>
      <c r="E59" s="330"/>
      <c r="F59" s="331"/>
      <c r="G59" s="332"/>
      <c r="H59" s="359"/>
    </row>
    <row r="60" spans="1:13" ht="16.5" customHeight="1">
      <c r="A60" s="322" t="s">
        <v>1888</v>
      </c>
      <c r="B60" s="496" t="s">
        <v>1890</v>
      </c>
      <c r="C60" s="325" t="s">
        <v>1917</v>
      </c>
      <c r="D60" s="326">
        <v>1100000</v>
      </c>
      <c r="E60" s="327" t="s">
        <v>1891</v>
      </c>
      <c r="F60" s="328"/>
      <c r="G60" s="329"/>
      <c r="H60" s="359" t="s">
        <v>1889</v>
      </c>
      <c r="L60" s="23"/>
    </row>
    <row r="61" spans="1:13" ht="27" customHeight="1">
      <c r="A61" s="323"/>
      <c r="B61" s="497"/>
      <c r="C61" s="325"/>
      <c r="D61" s="326"/>
      <c r="E61" s="330"/>
      <c r="F61" s="331"/>
      <c r="G61" s="332"/>
      <c r="H61" s="359"/>
      <c r="K61">
        <v>3689000</v>
      </c>
      <c r="M61">
        <v>500000</v>
      </c>
    </row>
    <row r="62" spans="1:13" ht="16.5" customHeight="1">
      <c r="A62" s="322" t="s">
        <v>1888</v>
      </c>
      <c r="B62" s="496" t="s">
        <v>1893</v>
      </c>
      <c r="C62" s="325" t="s">
        <v>1923</v>
      </c>
      <c r="D62" s="326">
        <v>165000</v>
      </c>
      <c r="E62" s="327" t="s">
        <v>1894</v>
      </c>
      <c r="F62" s="328"/>
      <c r="G62" s="329"/>
      <c r="H62" s="359" t="s">
        <v>1895</v>
      </c>
    </row>
    <row r="63" spans="1:13" ht="24.75" customHeight="1">
      <c r="A63" s="323"/>
      <c r="B63" s="497"/>
      <c r="C63" s="325"/>
      <c r="D63" s="326"/>
      <c r="E63" s="330"/>
      <c r="F63" s="331"/>
      <c r="G63" s="332"/>
      <c r="H63" s="359"/>
    </row>
    <row r="64" spans="1:13" ht="16.5" customHeight="1">
      <c r="A64" s="322" t="s">
        <v>1892</v>
      </c>
      <c r="B64" s="496" t="s">
        <v>1890</v>
      </c>
      <c r="C64" s="325" t="s">
        <v>1917</v>
      </c>
      <c r="D64" s="326">
        <v>200000</v>
      </c>
      <c r="E64" s="327" t="s">
        <v>1896</v>
      </c>
      <c r="F64" s="328"/>
      <c r="G64" s="329"/>
      <c r="H64" s="360" t="s">
        <v>1900</v>
      </c>
    </row>
    <row r="65" spans="1:8" ht="16.5" customHeight="1">
      <c r="A65" s="323"/>
      <c r="B65" s="497"/>
      <c r="C65" s="325"/>
      <c r="D65" s="326"/>
      <c r="E65" s="330"/>
      <c r="F65" s="331"/>
      <c r="G65" s="332"/>
      <c r="H65" s="359"/>
    </row>
    <row r="66" spans="1:8" ht="16.5" customHeight="1">
      <c r="A66" s="322" t="s">
        <v>1897</v>
      </c>
      <c r="B66" s="496" t="s">
        <v>1898</v>
      </c>
      <c r="C66" s="341"/>
      <c r="D66" s="343">
        <v>125000</v>
      </c>
      <c r="E66" s="327" t="s">
        <v>1899</v>
      </c>
      <c r="F66" s="345"/>
      <c r="G66" s="346"/>
      <c r="H66" s="360" t="s">
        <v>1908</v>
      </c>
    </row>
    <row r="67" spans="1:8" ht="16.5" customHeight="1">
      <c r="A67" s="323"/>
      <c r="B67" s="497"/>
      <c r="C67" s="352"/>
      <c r="D67" s="344"/>
      <c r="E67" s="347"/>
      <c r="F67" s="348"/>
      <c r="G67" s="349"/>
      <c r="H67" s="359"/>
    </row>
    <row r="68" spans="1:8" ht="16.5" customHeight="1">
      <c r="A68" s="322" t="s">
        <v>1892</v>
      </c>
      <c r="B68" s="496" t="s">
        <v>1901</v>
      </c>
      <c r="C68" s="324" t="s">
        <v>1916</v>
      </c>
      <c r="D68" s="326">
        <v>200000</v>
      </c>
      <c r="E68" s="327" t="s">
        <v>1924</v>
      </c>
      <c r="F68" s="328"/>
      <c r="G68" s="329"/>
      <c r="H68" s="360" t="s">
        <v>1907</v>
      </c>
    </row>
    <row r="69" spans="1:8" ht="16.5" customHeight="1">
      <c r="A69" s="323"/>
      <c r="B69" s="497"/>
      <c r="C69" s="325"/>
      <c r="D69" s="326"/>
      <c r="E69" s="330"/>
      <c r="F69" s="331"/>
      <c r="G69" s="332"/>
      <c r="H69" s="359"/>
    </row>
    <row r="70" spans="1:8" ht="16.5" customHeight="1">
      <c r="A70" s="322" t="s">
        <v>1902</v>
      </c>
      <c r="B70" s="496" t="s">
        <v>1919</v>
      </c>
      <c r="C70" s="324" t="s">
        <v>1918</v>
      </c>
      <c r="D70" s="343">
        <v>410000</v>
      </c>
      <c r="E70" s="327" t="s">
        <v>1920</v>
      </c>
      <c r="F70" s="328"/>
      <c r="G70" s="329"/>
      <c r="H70" s="360" t="s">
        <v>1967</v>
      </c>
    </row>
    <row r="71" spans="1:8" ht="36.75" customHeight="1">
      <c r="A71" s="323"/>
      <c r="B71" s="497"/>
      <c r="C71" s="325"/>
      <c r="D71" s="344"/>
      <c r="E71" s="330"/>
      <c r="F71" s="331"/>
      <c r="G71" s="332"/>
      <c r="H71" s="359"/>
    </row>
    <row r="72" spans="1:8">
      <c r="A72" s="322" t="s">
        <v>1902</v>
      </c>
      <c r="B72" s="498" t="s">
        <v>1921</v>
      </c>
      <c r="C72" s="325"/>
      <c r="D72" s="343">
        <v>520000</v>
      </c>
      <c r="E72" s="337" t="s">
        <v>1922</v>
      </c>
      <c r="F72" s="326"/>
      <c r="G72" s="326"/>
      <c r="H72" s="359" t="s">
        <v>1905</v>
      </c>
    </row>
    <row r="73" spans="1:8" ht="32.25" customHeight="1">
      <c r="A73" s="323"/>
      <c r="B73" s="499"/>
      <c r="C73" s="325"/>
      <c r="D73" s="344"/>
      <c r="E73" s="326"/>
      <c r="F73" s="326"/>
      <c r="G73" s="326"/>
      <c r="H73" s="359"/>
    </row>
    <row r="74" spans="1:8">
      <c r="A74" s="322" t="s">
        <v>1903</v>
      </c>
      <c r="B74" s="498" t="s">
        <v>1904</v>
      </c>
      <c r="C74" s="324"/>
      <c r="D74" s="343">
        <v>40000</v>
      </c>
      <c r="E74" s="337"/>
      <c r="F74" s="326"/>
      <c r="G74" s="326"/>
      <c r="H74" s="359" t="s">
        <v>1906</v>
      </c>
    </row>
    <row r="75" spans="1:8">
      <c r="A75" s="323"/>
      <c r="B75" s="499"/>
      <c r="C75" s="325"/>
      <c r="D75" s="344"/>
      <c r="E75" s="326"/>
      <c r="F75" s="326"/>
      <c r="G75" s="326"/>
      <c r="H75" s="359"/>
    </row>
    <row r="76" spans="1:8">
      <c r="A76" s="322"/>
      <c r="B76" s="612" t="s">
        <v>1974</v>
      </c>
      <c r="C76" s="613"/>
      <c r="D76" s="613"/>
      <c r="E76" s="613"/>
      <c r="F76" s="613"/>
      <c r="G76" s="613"/>
      <c r="H76" s="614"/>
    </row>
    <row r="77" spans="1:8" ht="54" customHeight="1">
      <c r="A77" s="323"/>
      <c r="B77" s="615"/>
      <c r="C77" s="616"/>
      <c r="D77" s="616"/>
      <c r="E77" s="616"/>
      <c r="F77" s="616"/>
      <c r="G77" s="616"/>
      <c r="H77" s="617"/>
    </row>
    <row r="78" spans="1:8">
      <c r="A78" s="322" t="s">
        <v>1910</v>
      </c>
      <c r="B78" s="498" t="s">
        <v>1913</v>
      </c>
      <c r="C78" s="325" t="s">
        <v>1915</v>
      </c>
      <c r="D78" s="343">
        <v>785000</v>
      </c>
      <c r="E78" s="337" t="s">
        <v>1936</v>
      </c>
      <c r="F78" s="326"/>
      <c r="G78" s="326"/>
      <c r="H78" s="360" t="s">
        <v>1937</v>
      </c>
    </row>
    <row r="79" spans="1:8" ht="57.75" customHeight="1">
      <c r="A79" s="323"/>
      <c r="B79" s="499"/>
      <c r="C79" s="325"/>
      <c r="D79" s="344"/>
      <c r="E79" s="326"/>
      <c r="F79" s="326"/>
      <c r="G79" s="326"/>
      <c r="H79" s="359"/>
    </row>
    <row r="80" spans="1:8">
      <c r="A80" s="322" t="s">
        <v>1911</v>
      </c>
      <c r="B80" s="498" t="s">
        <v>1912</v>
      </c>
      <c r="C80" s="324" t="s">
        <v>1914</v>
      </c>
      <c r="D80" s="326">
        <v>80000</v>
      </c>
      <c r="E80" s="337" t="s">
        <v>1939</v>
      </c>
      <c r="F80" s="326"/>
      <c r="G80" s="326"/>
      <c r="H80" s="360" t="s">
        <v>1940</v>
      </c>
    </row>
    <row r="81" spans="1:11">
      <c r="A81" s="323"/>
      <c r="B81" s="499"/>
      <c r="C81" s="325"/>
      <c r="D81" s="326"/>
      <c r="E81" s="326"/>
      <c r="F81" s="326"/>
      <c r="G81" s="326"/>
      <c r="H81" s="359"/>
    </row>
    <row r="82" spans="1:11">
      <c r="A82" s="322" t="s">
        <v>1933</v>
      </c>
      <c r="B82" s="498" t="s">
        <v>1934</v>
      </c>
      <c r="C82" s="325" t="s">
        <v>1935</v>
      </c>
      <c r="D82" s="326">
        <v>250000</v>
      </c>
      <c r="E82" s="337" t="s">
        <v>1938</v>
      </c>
      <c r="F82" s="326"/>
      <c r="G82" s="326"/>
      <c r="H82" s="360" t="s">
        <v>1943</v>
      </c>
    </row>
    <row r="83" spans="1:11">
      <c r="A83" s="323"/>
      <c r="B83" s="499"/>
      <c r="C83" s="325"/>
      <c r="D83" s="326"/>
      <c r="E83" s="326"/>
      <c r="F83" s="326"/>
      <c r="G83" s="326"/>
      <c r="H83" s="359"/>
    </row>
    <row r="84" spans="1:11" ht="16.5" customHeight="1">
      <c r="A84" s="322" t="s">
        <v>1941</v>
      </c>
      <c r="B84" s="498" t="s">
        <v>1942</v>
      </c>
      <c r="C84" s="324"/>
      <c r="D84" s="326">
        <v>140000</v>
      </c>
      <c r="E84" s="327" t="s">
        <v>1949</v>
      </c>
      <c r="F84" s="328"/>
      <c r="G84" s="329"/>
      <c r="H84" s="359" t="s">
        <v>1943</v>
      </c>
      <c r="K84">
        <v>465000</v>
      </c>
    </row>
    <row r="85" spans="1:11">
      <c r="A85" s="323"/>
      <c r="B85" s="499"/>
      <c r="C85" s="325"/>
      <c r="D85" s="326"/>
      <c r="E85" s="330"/>
      <c r="F85" s="331"/>
      <c r="G85" s="332"/>
      <c r="H85" s="359"/>
      <c r="K85">
        <v>410000</v>
      </c>
    </row>
    <row r="86" spans="1:11" ht="16.5" customHeight="1">
      <c r="A86" s="322" t="s">
        <v>1944</v>
      </c>
      <c r="B86" s="500" t="s">
        <v>1946</v>
      </c>
      <c r="C86" s="353"/>
      <c r="D86" s="343">
        <v>465000</v>
      </c>
      <c r="E86" s="327" t="s">
        <v>1984</v>
      </c>
      <c r="F86" s="345"/>
      <c r="G86" s="346"/>
      <c r="H86" s="359" t="s">
        <v>1966</v>
      </c>
    </row>
    <row r="87" spans="1:11">
      <c r="A87" s="323"/>
      <c r="B87" s="501"/>
      <c r="C87" s="352"/>
      <c r="D87" s="344"/>
      <c r="E87" s="347"/>
      <c r="F87" s="348"/>
      <c r="G87" s="349"/>
      <c r="H87" s="359"/>
    </row>
    <row r="88" spans="1:11">
      <c r="A88" s="322" t="s">
        <v>1945</v>
      </c>
      <c r="B88" s="500" t="s">
        <v>1947</v>
      </c>
      <c r="C88" s="341"/>
      <c r="D88" s="343">
        <v>450000</v>
      </c>
      <c r="E88" s="337" t="s">
        <v>1986</v>
      </c>
      <c r="F88" s="326"/>
      <c r="G88" s="326"/>
      <c r="H88" s="359" t="s">
        <v>1951</v>
      </c>
    </row>
    <row r="89" spans="1:11">
      <c r="A89" s="323"/>
      <c r="B89" s="501"/>
      <c r="C89" s="342"/>
      <c r="D89" s="344"/>
      <c r="E89" s="326"/>
      <c r="F89" s="326"/>
      <c r="G89" s="326"/>
      <c r="H89" s="359"/>
    </row>
    <row r="90" spans="1:11">
      <c r="A90" s="322" t="s">
        <v>1945</v>
      </c>
      <c r="B90" s="498" t="s">
        <v>1948</v>
      </c>
      <c r="C90" s="341"/>
      <c r="D90" s="343">
        <v>260000</v>
      </c>
      <c r="E90" s="327" t="s">
        <v>1987</v>
      </c>
      <c r="F90" s="328"/>
      <c r="G90" s="329"/>
      <c r="H90" s="359" t="s">
        <v>1950</v>
      </c>
    </row>
    <row r="91" spans="1:11">
      <c r="A91" s="323"/>
      <c r="B91" s="499"/>
      <c r="C91" s="342"/>
      <c r="D91" s="344"/>
      <c r="E91" s="330"/>
      <c r="F91" s="331"/>
      <c r="G91" s="332"/>
      <c r="H91" s="359"/>
    </row>
    <row r="92" spans="1:11">
      <c r="A92" s="322" t="s">
        <v>1952</v>
      </c>
      <c r="B92" s="498" t="s">
        <v>1953</v>
      </c>
      <c r="C92" s="325"/>
      <c r="D92" s="326">
        <v>380000</v>
      </c>
      <c r="E92" s="337" t="s">
        <v>1985</v>
      </c>
      <c r="F92" s="326"/>
      <c r="G92" s="326"/>
      <c r="H92" s="359" t="s">
        <v>1959</v>
      </c>
    </row>
    <row r="93" spans="1:11">
      <c r="A93" s="323"/>
      <c r="B93" s="499"/>
      <c r="C93" s="325"/>
      <c r="D93" s="326"/>
      <c r="E93" s="326"/>
      <c r="F93" s="326"/>
      <c r="G93" s="326"/>
      <c r="H93" s="359"/>
    </row>
    <row r="94" spans="1:11">
      <c r="A94" s="322" t="s">
        <v>1952</v>
      </c>
      <c r="B94" s="498" t="s">
        <v>1954</v>
      </c>
      <c r="C94" s="325" t="s">
        <v>1955</v>
      </c>
      <c r="D94" s="326">
        <v>130000</v>
      </c>
      <c r="E94" s="337" t="s">
        <v>1956</v>
      </c>
      <c r="F94" s="326"/>
      <c r="G94" s="326"/>
      <c r="H94" s="360" t="s">
        <v>1960</v>
      </c>
      <c r="J94">
        <v>335000</v>
      </c>
    </row>
    <row r="95" spans="1:11">
      <c r="A95" s="323"/>
      <c r="B95" s="499"/>
      <c r="C95" s="325"/>
      <c r="D95" s="326"/>
      <c r="E95" s="326"/>
      <c r="F95" s="326"/>
      <c r="G95" s="326"/>
      <c r="H95" s="359"/>
      <c r="J95">
        <v>275000</v>
      </c>
    </row>
    <row r="96" spans="1:11">
      <c r="A96" s="322" t="s">
        <v>1957</v>
      </c>
      <c r="B96" s="498" t="s">
        <v>1958</v>
      </c>
      <c r="C96" s="324"/>
      <c r="D96" s="326">
        <v>320000</v>
      </c>
      <c r="E96" s="327"/>
      <c r="F96" s="328"/>
      <c r="G96" s="329"/>
      <c r="H96" s="359" t="s">
        <v>1964</v>
      </c>
    </row>
    <row r="97" spans="1:15">
      <c r="A97" s="323"/>
      <c r="B97" s="499"/>
      <c r="C97" s="325"/>
      <c r="D97" s="326"/>
      <c r="E97" s="330"/>
      <c r="F97" s="331"/>
      <c r="G97" s="332"/>
      <c r="H97" s="359"/>
    </row>
    <row r="98" spans="1:15">
      <c r="A98" s="322" t="s">
        <v>1957</v>
      </c>
      <c r="B98" s="498" t="s">
        <v>1961</v>
      </c>
      <c r="C98" s="324"/>
      <c r="D98" s="326">
        <v>9000</v>
      </c>
      <c r="E98" s="337"/>
      <c r="F98" s="326"/>
      <c r="G98" s="326"/>
      <c r="H98" s="359" t="s">
        <v>1965</v>
      </c>
    </row>
    <row r="99" spans="1:15" ht="15.75" customHeight="1">
      <c r="A99" s="323"/>
      <c r="B99" s="499"/>
      <c r="C99" s="325"/>
      <c r="D99" s="326"/>
      <c r="E99" s="326"/>
      <c r="F99" s="326"/>
      <c r="G99" s="326"/>
      <c r="H99" s="359"/>
    </row>
    <row r="100" spans="1:15" ht="35.25" customHeight="1">
      <c r="A100" s="54" t="s">
        <v>1988</v>
      </c>
      <c r="B100" s="51" t="s">
        <v>1962</v>
      </c>
      <c r="C100" s="53"/>
      <c r="D100" s="50">
        <v>150000</v>
      </c>
      <c r="E100" s="627"/>
      <c r="F100" s="628"/>
      <c r="G100" s="629"/>
      <c r="H100" s="52" t="s">
        <v>1963</v>
      </c>
      <c r="J100" t="s">
        <v>1981</v>
      </c>
    </row>
    <row r="101" spans="1:15" ht="16.5" customHeight="1">
      <c r="A101" s="624"/>
      <c r="B101" s="618" t="s">
        <v>1990</v>
      </c>
      <c r="C101" s="530"/>
      <c r="D101" s="530"/>
      <c r="E101" s="530"/>
      <c r="F101" s="530"/>
      <c r="G101" s="530"/>
      <c r="H101" s="619"/>
      <c r="J101" t="s">
        <v>1980</v>
      </c>
      <c r="L101" s="48">
        <v>500000</v>
      </c>
      <c r="M101" s="48">
        <v>700000</v>
      </c>
      <c r="N101" s="48">
        <v>1130000</v>
      </c>
      <c r="O101" s="48">
        <v>410000</v>
      </c>
    </row>
    <row r="102" spans="1:15" ht="16.5" customHeight="1">
      <c r="A102" s="625"/>
      <c r="B102" s="620"/>
      <c r="C102" s="533"/>
      <c r="D102" s="533"/>
      <c r="E102" s="533"/>
      <c r="F102" s="533"/>
      <c r="G102" s="533"/>
      <c r="H102" s="621"/>
      <c r="J102" t="s">
        <v>1982</v>
      </c>
      <c r="L102" s="48">
        <v>800000</v>
      </c>
    </row>
    <row r="103" spans="1:15" ht="16.5" customHeight="1">
      <c r="A103" s="625"/>
      <c r="B103" s="620"/>
      <c r="C103" s="533"/>
      <c r="D103" s="533"/>
      <c r="E103" s="533"/>
      <c r="F103" s="533"/>
      <c r="G103" s="533"/>
      <c r="H103" s="621"/>
    </row>
    <row r="104" spans="1:15" ht="16.5" customHeight="1">
      <c r="A104" s="626"/>
      <c r="B104" s="622"/>
      <c r="C104" s="536"/>
      <c r="D104" s="536"/>
      <c r="E104" s="536"/>
      <c r="F104" s="536"/>
      <c r="G104" s="536"/>
      <c r="H104" s="623"/>
    </row>
    <row r="105" spans="1:15">
      <c r="A105" s="322" t="s">
        <v>1970</v>
      </c>
      <c r="B105" s="478" t="s">
        <v>1976</v>
      </c>
      <c r="C105" s="325"/>
      <c r="D105" s="326">
        <v>700000</v>
      </c>
      <c r="E105" s="574" t="s">
        <v>1977</v>
      </c>
      <c r="F105" s="575"/>
      <c r="G105" s="575"/>
      <c r="H105" s="359" t="s">
        <v>1975</v>
      </c>
    </row>
    <row r="106" spans="1:15">
      <c r="A106" s="323"/>
      <c r="B106" s="479"/>
      <c r="C106" s="325"/>
      <c r="D106" s="326"/>
      <c r="E106" s="575"/>
      <c r="F106" s="575"/>
      <c r="G106" s="575"/>
      <c r="H106" s="359"/>
    </row>
    <row r="107" spans="1:15" ht="16.5" customHeight="1">
      <c r="A107" s="322" t="s">
        <v>1970</v>
      </c>
      <c r="B107" s="324" t="s">
        <v>1971</v>
      </c>
      <c r="C107" s="324"/>
      <c r="D107" s="326">
        <v>255000</v>
      </c>
      <c r="E107" s="337"/>
      <c r="F107" s="326"/>
      <c r="G107" s="326"/>
      <c r="H107" s="360" t="s">
        <v>1972</v>
      </c>
    </row>
    <row r="108" spans="1:15">
      <c r="A108" s="323"/>
      <c r="B108" s="325"/>
      <c r="C108" s="325"/>
      <c r="D108" s="326"/>
      <c r="E108" s="326"/>
      <c r="F108" s="326"/>
      <c r="G108" s="326"/>
      <c r="H108" s="359"/>
    </row>
    <row r="109" spans="1:15">
      <c r="A109" s="322" t="s">
        <v>1968</v>
      </c>
      <c r="B109" s="324" t="s">
        <v>1969</v>
      </c>
      <c r="C109" s="325"/>
      <c r="D109" s="326">
        <v>140000</v>
      </c>
      <c r="E109" s="337"/>
      <c r="F109" s="326"/>
      <c r="G109" s="326"/>
      <c r="H109" s="359" t="s">
        <v>1973</v>
      </c>
    </row>
    <row r="110" spans="1:15">
      <c r="A110" s="323"/>
      <c r="B110" s="325"/>
      <c r="C110" s="325"/>
      <c r="D110" s="326"/>
      <c r="E110" s="326"/>
      <c r="F110" s="326"/>
      <c r="G110" s="326"/>
      <c r="H110" s="359"/>
    </row>
    <row r="111" spans="1:15">
      <c r="A111" s="322" t="s">
        <v>1968</v>
      </c>
      <c r="B111" s="324" t="s">
        <v>1969</v>
      </c>
      <c r="C111" s="324"/>
      <c r="D111" s="326">
        <v>110000</v>
      </c>
      <c r="E111" s="337"/>
      <c r="F111" s="326"/>
      <c r="G111" s="326"/>
      <c r="H111" s="360" t="s">
        <v>1972</v>
      </c>
    </row>
    <row r="112" spans="1:15">
      <c r="A112" s="323"/>
      <c r="B112" s="325"/>
      <c r="C112" s="325"/>
      <c r="D112" s="326"/>
      <c r="E112" s="326"/>
      <c r="F112" s="326"/>
      <c r="G112" s="326"/>
      <c r="H112" s="359"/>
    </row>
    <row r="113" spans="1:8">
      <c r="A113" s="322" t="s">
        <v>1979</v>
      </c>
      <c r="B113" s="324" t="s">
        <v>1983</v>
      </c>
      <c r="C113" s="325"/>
      <c r="D113" s="326">
        <v>510000</v>
      </c>
      <c r="E113" s="574" t="s">
        <v>1978</v>
      </c>
      <c r="F113" s="575"/>
      <c r="G113" s="575"/>
      <c r="H113" s="360" t="s">
        <v>1989</v>
      </c>
    </row>
    <row r="114" spans="1:8">
      <c r="A114" s="323"/>
      <c r="B114" s="325"/>
      <c r="C114" s="325"/>
      <c r="D114" s="326"/>
      <c r="E114" s="575"/>
      <c r="F114" s="575"/>
      <c r="G114" s="575"/>
      <c r="H114" s="359"/>
    </row>
    <row r="115" spans="1:8">
      <c r="A115" s="323"/>
      <c r="B115" s="324"/>
      <c r="C115" s="325"/>
      <c r="D115" s="326"/>
      <c r="E115" s="337"/>
      <c r="F115" s="326"/>
      <c r="G115" s="326"/>
      <c r="H115" s="333"/>
    </row>
    <row r="116" spans="1:8">
      <c r="A116" s="323"/>
      <c r="B116" s="325"/>
      <c r="C116" s="325"/>
      <c r="D116" s="326"/>
      <c r="E116" s="326"/>
      <c r="F116" s="326"/>
      <c r="G116" s="326"/>
      <c r="H116" s="333"/>
    </row>
    <row r="117" spans="1:8">
      <c r="A117" s="630" t="s">
        <v>3324</v>
      </c>
      <c r="B117" s="631"/>
      <c r="C117" s="631"/>
      <c r="D117" s="631"/>
      <c r="E117" s="631"/>
      <c r="F117" s="631"/>
      <c r="G117" s="631"/>
      <c r="H117" s="632"/>
    </row>
    <row r="118" spans="1:8">
      <c r="A118" s="633"/>
      <c r="B118" s="634"/>
      <c r="C118" s="634"/>
      <c r="D118" s="634"/>
      <c r="E118" s="634"/>
      <c r="F118" s="634"/>
      <c r="G118" s="634"/>
      <c r="H118" s="635"/>
    </row>
    <row r="119" spans="1:8" ht="16.5" customHeight="1">
      <c r="A119" s="633"/>
      <c r="B119" s="634"/>
      <c r="C119" s="634"/>
      <c r="D119" s="634"/>
      <c r="E119" s="634"/>
      <c r="F119" s="634"/>
      <c r="G119" s="634"/>
      <c r="H119" s="635"/>
    </row>
    <row r="120" spans="1:8">
      <c r="A120" s="636"/>
      <c r="B120" s="637"/>
      <c r="C120" s="637"/>
      <c r="D120" s="637"/>
      <c r="E120" s="637"/>
      <c r="F120" s="637"/>
      <c r="G120" s="637"/>
      <c r="H120" s="638"/>
    </row>
    <row r="121" spans="1:8">
      <c r="A121" s="323"/>
      <c r="B121" s="324"/>
      <c r="C121" s="325"/>
      <c r="D121" s="326"/>
      <c r="E121" s="337"/>
      <c r="F121" s="326"/>
      <c r="G121" s="326"/>
      <c r="H121" s="333"/>
    </row>
    <row r="122" spans="1:8">
      <c r="A122" s="323"/>
      <c r="B122" s="325"/>
      <c r="C122" s="325"/>
      <c r="D122" s="326"/>
      <c r="E122" s="326"/>
      <c r="F122" s="326"/>
      <c r="G122" s="326"/>
      <c r="H122" s="333"/>
    </row>
    <row r="123" spans="1:8">
      <c r="A123" s="323"/>
      <c r="B123" s="325"/>
      <c r="C123" s="325"/>
      <c r="D123" s="326"/>
      <c r="E123" s="337"/>
      <c r="F123" s="326"/>
      <c r="G123" s="326"/>
      <c r="H123" s="333"/>
    </row>
    <row r="124" spans="1:8">
      <c r="A124" s="323"/>
      <c r="B124" s="325"/>
      <c r="C124" s="325"/>
      <c r="D124" s="326"/>
      <c r="E124" s="326"/>
      <c r="F124" s="326"/>
      <c r="G124" s="326"/>
      <c r="H124" s="333"/>
    </row>
    <row r="125" spans="1:8">
      <c r="A125" s="322"/>
      <c r="B125" s="325"/>
      <c r="C125" s="325"/>
      <c r="D125" s="326"/>
      <c r="E125" s="337"/>
      <c r="F125" s="326"/>
      <c r="G125" s="326"/>
      <c r="H125" s="333"/>
    </row>
    <row r="126" spans="1:8">
      <c r="A126" s="323"/>
      <c r="B126" s="325"/>
      <c r="C126" s="325"/>
      <c r="D126" s="326"/>
      <c r="E126" s="326"/>
      <c r="F126" s="326"/>
      <c r="G126" s="326"/>
      <c r="H126" s="333"/>
    </row>
    <row r="127" spans="1:8">
      <c r="A127" s="322"/>
      <c r="B127" s="325"/>
      <c r="C127" s="325"/>
      <c r="D127" s="326"/>
      <c r="E127" s="337"/>
      <c r="F127" s="326"/>
      <c r="G127" s="326"/>
      <c r="H127" s="333"/>
    </row>
    <row r="128" spans="1:8">
      <c r="A128" s="323"/>
      <c r="B128" s="325"/>
      <c r="C128" s="325"/>
      <c r="D128" s="326"/>
      <c r="E128" s="326"/>
      <c r="F128" s="326"/>
      <c r="G128" s="326"/>
      <c r="H128" s="333"/>
    </row>
    <row r="129" spans="1:8">
      <c r="A129" s="322"/>
      <c r="B129" s="324"/>
      <c r="C129" s="325"/>
      <c r="D129" s="326"/>
      <c r="E129" s="337"/>
      <c r="F129" s="326"/>
      <c r="G129" s="326"/>
      <c r="H129" s="333"/>
    </row>
    <row r="130" spans="1:8">
      <c r="A130" s="323"/>
      <c r="B130" s="325"/>
      <c r="C130" s="325"/>
      <c r="D130" s="326"/>
      <c r="E130" s="326"/>
      <c r="F130" s="326"/>
      <c r="G130" s="326"/>
      <c r="H130" s="333"/>
    </row>
    <row r="131" spans="1:8">
      <c r="A131" s="322"/>
      <c r="B131" s="324"/>
      <c r="C131" s="325"/>
      <c r="D131" s="326"/>
      <c r="E131" s="337"/>
      <c r="F131" s="326"/>
      <c r="G131" s="326"/>
      <c r="H131" s="338"/>
    </row>
    <row r="132" spans="1:8" s="30" customFormat="1">
      <c r="A132" s="323"/>
      <c r="B132" s="325"/>
      <c r="C132" s="325"/>
      <c r="D132" s="326"/>
      <c r="E132" s="326"/>
      <c r="F132" s="326"/>
      <c r="G132" s="326"/>
      <c r="H132" s="333"/>
    </row>
    <row r="133" spans="1:8">
      <c r="A133" s="323"/>
      <c r="B133" s="325"/>
      <c r="C133" s="325"/>
      <c r="D133" s="326"/>
      <c r="E133" s="337"/>
      <c r="F133" s="326"/>
      <c r="G133" s="326"/>
      <c r="H133" s="333"/>
    </row>
    <row r="134" spans="1:8">
      <c r="A134" s="323"/>
      <c r="B134" s="325"/>
      <c r="C134" s="325"/>
      <c r="D134" s="326"/>
      <c r="E134" s="326"/>
      <c r="F134" s="326"/>
      <c r="G134" s="326"/>
      <c r="H134" s="333"/>
    </row>
    <row r="135" spans="1:8">
      <c r="A135" s="322"/>
      <c r="B135" s="324"/>
      <c r="C135" s="325"/>
      <c r="D135" s="326"/>
      <c r="E135" s="337"/>
      <c r="F135" s="326"/>
      <c r="G135" s="326"/>
      <c r="H135" s="333"/>
    </row>
    <row r="136" spans="1:8">
      <c r="A136" s="323"/>
      <c r="B136" s="325"/>
      <c r="C136" s="325"/>
      <c r="D136" s="326"/>
      <c r="E136" s="326"/>
      <c r="F136" s="326"/>
      <c r="G136" s="326"/>
      <c r="H136" s="333"/>
    </row>
    <row r="137" spans="1:8">
      <c r="A137" s="323"/>
      <c r="B137" s="324"/>
      <c r="C137" s="325"/>
      <c r="D137" s="326"/>
      <c r="E137" s="337"/>
      <c r="F137" s="326"/>
      <c r="G137" s="326"/>
      <c r="H137" s="338"/>
    </row>
    <row r="138" spans="1:8" s="30" customFormat="1">
      <c r="A138" s="323"/>
      <c r="B138" s="325"/>
      <c r="C138" s="325"/>
      <c r="D138" s="326"/>
      <c r="E138" s="326"/>
      <c r="F138" s="326"/>
      <c r="G138" s="326"/>
      <c r="H138" s="333"/>
    </row>
    <row r="139" spans="1:8">
      <c r="A139" s="323"/>
      <c r="B139" s="324"/>
      <c r="C139" s="325"/>
      <c r="D139" s="326"/>
      <c r="E139" s="337"/>
      <c r="F139" s="326"/>
      <c r="G139" s="326"/>
      <c r="H139" s="338"/>
    </row>
    <row r="140" spans="1:8">
      <c r="A140" s="323"/>
      <c r="B140" s="325"/>
      <c r="C140" s="325"/>
      <c r="D140" s="326"/>
      <c r="E140" s="326"/>
      <c r="F140" s="326"/>
      <c r="G140" s="326"/>
      <c r="H140" s="333"/>
    </row>
    <row r="141" spans="1:8">
      <c r="A141" s="322"/>
      <c r="B141" s="324"/>
      <c r="C141" s="325"/>
      <c r="D141" s="326"/>
      <c r="E141" s="337"/>
      <c r="F141" s="326"/>
      <c r="G141" s="326"/>
      <c r="H141" s="333"/>
    </row>
    <row r="142" spans="1:8">
      <c r="A142" s="323"/>
      <c r="B142" s="325"/>
      <c r="C142" s="325"/>
      <c r="D142" s="326"/>
      <c r="E142" s="326"/>
      <c r="F142" s="326"/>
      <c r="G142" s="326"/>
      <c r="H142" s="333"/>
    </row>
    <row r="143" spans="1:8">
      <c r="A143" s="323"/>
      <c r="B143" s="324"/>
      <c r="C143" s="325"/>
      <c r="D143" s="326"/>
      <c r="E143" s="337"/>
      <c r="F143" s="326"/>
      <c r="G143" s="326"/>
      <c r="H143" s="333"/>
    </row>
    <row r="144" spans="1:8">
      <c r="A144" s="323"/>
      <c r="B144" s="325"/>
      <c r="C144" s="325"/>
      <c r="D144" s="326"/>
      <c r="E144" s="326"/>
      <c r="F144" s="326"/>
      <c r="G144" s="326"/>
      <c r="H144" s="333"/>
    </row>
    <row r="145" spans="1:8">
      <c r="A145" s="322"/>
      <c r="B145" s="324"/>
      <c r="C145" s="325"/>
      <c r="D145" s="326"/>
      <c r="E145" s="326"/>
      <c r="F145" s="326"/>
      <c r="G145" s="326"/>
      <c r="H145" s="333"/>
    </row>
    <row r="146" spans="1:8">
      <c r="A146" s="323"/>
      <c r="B146" s="325"/>
      <c r="C146" s="325"/>
      <c r="D146" s="326"/>
      <c r="E146" s="326"/>
      <c r="F146" s="326"/>
      <c r="G146" s="326"/>
      <c r="H146" s="333"/>
    </row>
    <row r="147" spans="1:8">
      <c r="A147" s="322"/>
      <c r="B147" s="324"/>
      <c r="C147" s="325"/>
      <c r="D147" s="326"/>
      <c r="E147" s="337"/>
      <c r="F147" s="326"/>
      <c r="G147" s="326"/>
      <c r="H147" s="338"/>
    </row>
    <row r="148" spans="1:8" s="30" customFormat="1">
      <c r="A148" s="323"/>
      <c r="B148" s="325"/>
      <c r="C148" s="325"/>
      <c r="D148" s="326"/>
      <c r="E148" s="326"/>
      <c r="F148" s="326"/>
      <c r="G148" s="326"/>
      <c r="H148" s="333"/>
    </row>
    <row r="149" spans="1:8">
      <c r="A149" s="323"/>
      <c r="B149" s="325"/>
      <c r="C149" s="325"/>
      <c r="D149" s="326"/>
      <c r="E149" s="337"/>
      <c r="F149" s="326"/>
      <c r="G149" s="326"/>
      <c r="H149" s="338"/>
    </row>
    <row r="150" spans="1:8">
      <c r="A150" s="323"/>
      <c r="B150" s="325"/>
      <c r="C150" s="325"/>
      <c r="D150" s="326"/>
      <c r="E150" s="326"/>
      <c r="F150" s="326"/>
      <c r="G150" s="326"/>
      <c r="H150" s="333"/>
    </row>
    <row r="151" spans="1:8">
      <c r="A151" s="322"/>
      <c r="B151" s="324"/>
      <c r="C151" s="325"/>
      <c r="D151" s="326"/>
      <c r="E151" s="337"/>
      <c r="F151" s="326"/>
      <c r="G151" s="326"/>
      <c r="H151" s="333"/>
    </row>
    <row r="152" spans="1:8">
      <c r="A152" s="323"/>
      <c r="B152" s="325"/>
      <c r="C152" s="325"/>
      <c r="D152" s="326"/>
      <c r="E152" s="326"/>
      <c r="F152" s="326"/>
      <c r="G152" s="326"/>
      <c r="H152" s="333"/>
    </row>
    <row r="153" spans="1:8">
      <c r="A153" s="322"/>
      <c r="B153" s="324"/>
      <c r="C153" s="325"/>
      <c r="D153" s="326"/>
      <c r="E153" s="337"/>
      <c r="F153" s="326"/>
      <c r="G153" s="326"/>
      <c r="H153" s="338"/>
    </row>
    <row r="154" spans="1:8" s="30" customFormat="1">
      <c r="A154" s="323"/>
      <c r="B154" s="325"/>
      <c r="C154" s="325"/>
      <c r="D154" s="326"/>
      <c r="E154" s="326"/>
      <c r="F154" s="326"/>
      <c r="G154" s="326"/>
      <c r="H154" s="333"/>
    </row>
    <row r="155" spans="1:8">
      <c r="A155" s="323"/>
      <c r="B155" s="324"/>
      <c r="C155" s="325"/>
      <c r="D155" s="326"/>
      <c r="E155" s="337"/>
      <c r="F155" s="326"/>
      <c r="G155" s="326"/>
      <c r="H155" s="338"/>
    </row>
    <row r="156" spans="1:8">
      <c r="A156" s="323"/>
      <c r="B156" s="325"/>
      <c r="C156" s="325"/>
      <c r="D156" s="326"/>
      <c r="E156" s="326"/>
      <c r="F156" s="326"/>
      <c r="G156" s="326"/>
      <c r="H156" s="333"/>
    </row>
    <row r="157" spans="1:8">
      <c r="A157" s="323"/>
      <c r="B157" s="325"/>
      <c r="C157" s="325"/>
      <c r="D157" s="326"/>
      <c r="E157" s="326"/>
      <c r="F157" s="326"/>
      <c r="G157" s="326"/>
      <c r="H157" s="338"/>
    </row>
    <row r="158" spans="1:8">
      <c r="A158" s="323"/>
      <c r="B158" s="325"/>
      <c r="C158" s="325"/>
      <c r="D158" s="326"/>
      <c r="E158" s="326"/>
      <c r="F158" s="326"/>
      <c r="G158" s="326"/>
      <c r="H158" s="333"/>
    </row>
    <row r="159" spans="1:8">
      <c r="A159" s="322"/>
      <c r="B159" s="325"/>
      <c r="C159" s="325"/>
      <c r="D159" s="326"/>
      <c r="E159" s="337"/>
      <c r="F159" s="326"/>
      <c r="G159" s="326"/>
      <c r="H159" s="338"/>
    </row>
    <row r="160" spans="1:8" s="30" customFormat="1">
      <c r="A160" s="323"/>
      <c r="B160" s="325"/>
      <c r="C160" s="325"/>
      <c r="D160" s="326"/>
      <c r="E160" s="326"/>
      <c r="F160" s="326"/>
      <c r="G160" s="326"/>
      <c r="H160" s="333"/>
    </row>
    <row r="161" spans="1:8">
      <c r="A161" s="322"/>
      <c r="B161" s="325"/>
      <c r="C161" s="325"/>
      <c r="D161" s="326"/>
      <c r="E161" s="337"/>
      <c r="F161" s="326"/>
      <c r="G161" s="326"/>
      <c r="H161" s="338"/>
    </row>
    <row r="162" spans="1:8">
      <c r="A162" s="323"/>
      <c r="B162" s="325"/>
      <c r="C162" s="325"/>
      <c r="D162" s="326"/>
      <c r="E162" s="326"/>
      <c r="F162" s="326"/>
      <c r="G162" s="326"/>
      <c r="H162" s="333"/>
    </row>
    <row r="163" spans="1:8">
      <c r="A163" s="323"/>
      <c r="B163" s="324"/>
      <c r="C163" s="325"/>
      <c r="D163" s="326"/>
      <c r="E163" s="337"/>
      <c r="F163" s="326"/>
      <c r="G163" s="326"/>
      <c r="H163" s="338"/>
    </row>
    <row r="164" spans="1:8">
      <c r="A164" s="323"/>
      <c r="B164" s="325"/>
      <c r="C164" s="325"/>
      <c r="D164" s="326"/>
      <c r="E164" s="326"/>
      <c r="F164" s="326"/>
      <c r="G164" s="326"/>
      <c r="H164" s="333"/>
    </row>
    <row r="165" spans="1:8" ht="16.5" customHeight="1">
      <c r="A165" s="322"/>
      <c r="B165" s="324"/>
      <c r="C165" s="324"/>
      <c r="D165" s="326"/>
      <c r="E165" s="327"/>
      <c r="F165" s="328"/>
      <c r="G165" s="329"/>
      <c r="H165" s="338"/>
    </row>
    <row r="166" spans="1:8" ht="16.5" customHeight="1">
      <c r="A166" s="323"/>
      <c r="B166" s="325"/>
      <c r="C166" s="325"/>
      <c r="D166" s="326"/>
      <c r="E166" s="330"/>
      <c r="F166" s="331"/>
      <c r="G166" s="332"/>
      <c r="H166" s="333"/>
    </row>
    <row r="167" spans="1:8" ht="16.5" customHeight="1">
      <c r="A167" s="322"/>
      <c r="B167" s="324"/>
      <c r="C167" s="325"/>
      <c r="D167" s="326"/>
      <c r="E167" s="326"/>
      <c r="F167" s="326"/>
      <c r="G167" s="326"/>
      <c r="H167" s="338"/>
    </row>
    <row r="168" spans="1:8" ht="16.5" customHeight="1">
      <c r="A168" s="323"/>
      <c r="B168" s="325"/>
      <c r="C168" s="325"/>
      <c r="D168" s="326"/>
      <c r="E168" s="326"/>
      <c r="F168" s="326"/>
      <c r="G168" s="326"/>
      <c r="H168" s="333"/>
    </row>
    <row r="169" spans="1:8" ht="16.5" customHeight="1">
      <c r="A169" s="336"/>
      <c r="B169" s="324"/>
      <c r="C169" s="324"/>
      <c r="D169" s="326"/>
      <c r="E169" s="327"/>
      <c r="F169" s="328"/>
      <c r="G169" s="329"/>
      <c r="H169" s="350"/>
    </row>
    <row r="170" spans="1:8" ht="16.5" customHeight="1">
      <c r="A170" s="323"/>
      <c r="B170" s="325"/>
      <c r="C170" s="325"/>
      <c r="D170" s="326"/>
      <c r="E170" s="330"/>
      <c r="F170" s="331"/>
      <c r="G170" s="332"/>
      <c r="H170" s="351"/>
    </row>
    <row r="171" spans="1:8" ht="16.5" customHeight="1">
      <c r="A171" s="322"/>
      <c r="B171" s="324"/>
      <c r="C171" s="325"/>
      <c r="D171" s="326"/>
      <c r="E171" s="337"/>
      <c r="F171" s="326"/>
      <c r="G171" s="326"/>
      <c r="H171" s="338"/>
    </row>
    <row r="172" spans="1:8" ht="16.5" customHeight="1">
      <c r="A172" s="323"/>
      <c r="B172" s="325"/>
      <c r="C172" s="325"/>
      <c r="D172" s="326"/>
      <c r="E172" s="326"/>
      <c r="F172" s="326"/>
      <c r="G172" s="326"/>
      <c r="H172" s="333"/>
    </row>
    <row r="173" spans="1:8" ht="16.5" customHeight="1">
      <c r="A173" s="335"/>
      <c r="B173" s="324"/>
      <c r="C173" s="341"/>
      <c r="D173" s="343"/>
      <c r="E173" s="327"/>
      <c r="F173" s="345"/>
      <c r="G173" s="346"/>
      <c r="H173" s="333"/>
    </row>
    <row r="174" spans="1:8" ht="16.5" customHeight="1">
      <c r="A174" s="336"/>
      <c r="B174" s="325"/>
      <c r="C174" s="342"/>
      <c r="D174" s="344"/>
      <c r="E174" s="347"/>
      <c r="F174" s="348"/>
      <c r="G174" s="349"/>
      <c r="H174" s="333"/>
    </row>
    <row r="175" spans="1:8" ht="16.5" customHeight="1">
      <c r="A175" s="322"/>
      <c r="B175" s="324"/>
      <c r="C175" s="325"/>
      <c r="D175" s="326"/>
      <c r="E175" s="327"/>
      <c r="F175" s="328"/>
      <c r="G175" s="329"/>
      <c r="H175" s="333"/>
    </row>
    <row r="176" spans="1:8" ht="16.5" customHeight="1">
      <c r="A176" s="323"/>
      <c r="B176" s="325"/>
      <c r="C176" s="325"/>
      <c r="D176" s="326"/>
      <c r="E176" s="330"/>
      <c r="F176" s="331"/>
      <c r="G176" s="332"/>
      <c r="H176" s="333"/>
    </row>
    <row r="177" spans="1:8" ht="16.5" customHeight="1">
      <c r="A177" s="322"/>
      <c r="B177" s="324"/>
      <c r="C177" s="324"/>
      <c r="D177" s="326"/>
      <c r="E177" s="327"/>
      <c r="F177" s="328"/>
      <c r="G177" s="329"/>
      <c r="H177" s="333"/>
    </row>
    <row r="178" spans="1:8" ht="16.5" customHeight="1">
      <c r="A178" s="323"/>
      <c r="B178" s="325"/>
      <c r="C178" s="325"/>
      <c r="D178" s="326"/>
      <c r="E178" s="330"/>
      <c r="F178" s="331"/>
      <c r="G178" s="332"/>
      <c r="H178" s="333"/>
    </row>
    <row r="179" spans="1:8" ht="16.5" customHeight="1">
      <c r="A179" s="322"/>
      <c r="B179" s="324"/>
      <c r="C179" s="325"/>
      <c r="D179" s="326"/>
      <c r="E179" s="327"/>
      <c r="F179" s="328"/>
      <c r="G179" s="329"/>
      <c r="H179" s="333"/>
    </row>
    <row r="180" spans="1:8" ht="16.5" customHeight="1">
      <c r="A180" s="323"/>
      <c r="B180" s="325"/>
      <c r="C180" s="325"/>
      <c r="D180" s="326"/>
      <c r="E180" s="330"/>
      <c r="F180" s="331"/>
      <c r="G180" s="332"/>
      <c r="H180" s="333"/>
    </row>
    <row r="181" spans="1:8" ht="16.5" customHeight="1">
      <c r="A181" s="322"/>
      <c r="B181" s="324"/>
      <c r="C181" s="325"/>
      <c r="D181" s="326"/>
      <c r="E181" s="327"/>
      <c r="F181" s="328"/>
      <c r="G181" s="329"/>
      <c r="H181" s="333"/>
    </row>
    <row r="182" spans="1:8" ht="17.25" customHeight="1">
      <c r="A182" s="323"/>
      <c r="B182" s="325"/>
      <c r="C182" s="325"/>
      <c r="D182" s="326"/>
      <c r="E182" s="330"/>
      <c r="F182" s="331"/>
      <c r="G182" s="332"/>
      <c r="H182" s="333"/>
    </row>
    <row r="183" spans="1:8" ht="16.5" customHeight="1">
      <c r="A183" s="322"/>
      <c r="B183" s="324"/>
      <c r="C183" s="325"/>
      <c r="D183" s="326"/>
      <c r="E183" s="327"/>
      <c r="F183" s="328"/>
      <c r="G183" s="329"/>
      <c r="H183" s="333"/>
    </row>
    <row r="184" spans="1:8" ht="16.5" customHeight="1">
      <c r="A184" s="323"/>
      <c r="B184" s="325"/>
      <c r="C184" s="325"/>
      <c r="D184" s="326"/>
      <c r="E184" s="330"/>
      <c r="F184" s="331"/>
      <c r="G184" s="332"/>
      <c r="H184" s="333"/>
    </row>
    <row r="185" spans="1:8" ht="16.5" customHeight="1">
      <c r="A185" s="322"/>
      <c r="B185" s="324"/>
      <c r="C185" s="324"/>
      <c r="D185" s="326"/>
      <c r="E185" s="327"/>
      <c r="F185" s="328"/>
      <c r="G185" s="329"/>
      <c r="H185" s="333"/>
    </row>
    <row r="186" spans="1:8" ht="16.5" customHeight="1">
      <c r="A186" s="323"/>
      <c r="B186" s="325"/>
      <c r="C186" s="325"/>
      <c r="D186" s="326"/>
      <c r="E186" s="330"/>
      <c r="F186" s="331"/>
      <c r="G186" s="332"/>
      <c r="H186" s="333"/>
    </row>
    <row r="187" spans="1:8" ht="16.5" customHeight="1">
      <c r="A187" s="322"/>
      <c r="B187" s="324"/>
      <c r="C187" s="324"/>
      <c r="D187" s="326"/>
      <c r="E187" s="327"/>
      <c r="F187" s="328"/>
      <c r="G187" s="329"/>
      <c r="H187" s="333"/>
    </row>
    <row r="188" spans="1:8" ht="16.5" customHeight="1">
      <c r="A188" s="323"/>
      <c r="B188" s="325"/>
      <c r="C188" s="325"/>
      <c r="D188" s="326"/>
      <c r="E188" s="330"/>
      <c r="F188" s="331"/>
      <c r="G188" s="332"/>
      <c r="H188" s="333"/>
    </row>
    <row r="189" spans="1:8" ht="16.5" customHeight="1">
      <c r="A189" s="322"/>
      <c r="B189" s="324"/>
      <c r="C189" s="325"/>
      <c r="D189" s="326"/>
      <c r="E189" s="337"/>
      <c r="F189" s="326"/>
      <c r="G189" s="326"/>
      <c r="H189" s="333"/>
    </row>
    <row r="190" spans="1:8" ht="16.5" customHeight="1">
      <c r="A190" s="323"/>
      <c r="B190" s="325"/>
      <c r="C190" s="325"/>
      <c r="D190" s="326"/>
      <c r="E190" s="326"/>
      <c r="F190" s="326"/>
      <c r="G190" s="326"/>
      <c r="H190" s="333"/>
    </row>
    <row r="191" spans="1:8" ht="16.5" customHeight="1">
      <c r="A191" s="322"/>
      <c r="B191" s="324"/>
      <c r="C191" s="324"/>
      <c r="D191" s="326"/>
      <c r="E191" s="337"/>
      <c r="F191" s="326"/>
      <c r="G191" s="326"/>
      <c r="H191" s="333"/>
    </row>
    <row r="192" spans="1:8" ht="16.5" customHeight="1">
      <c r="A192" s="323"/>
      <c r="B192" s="325"/>
      <c r="C192" s="325"/>
      <c r="D192" s="326"/>
      <c r="E192" s="326"/>
      <c r="F192" s="326"/>
      <c r="G192" s="326"/>
      <c r="H192" s="333"/>
    </row>
    <row r="193" spans="1:11" ht="16.5" customHeight="1">
      <c r="A193" s="339"/>
      <c r="B193" s="324"/>
      <c r="C193" s="324"/>
      <c r="D193" s="326"/>
      <c r="E193" s="327"/>
      <c r="F193" s="328"/>
      <c r="G193" s="329"/>
      <c r="H193" s="333"/>
    </row>
    <row r="194" spans="1:11" ht="16.5" customHeight="1">
      <c r="A194" s="340"/>
      <c r="B194" s="325"/>
      <c r="C194" s="325"/>
      <c r="D194" s="326"/>
      <c r="E194" s="330"/>
      <c r="F194" s="331"/>
      <c r="G194" s="332"/>
      <c r="H194" s="333"/>
    </row>
    <row r="195" spans="1:11" ht="16.5" customHeight="1">
      <c r="A195" s="322"/>
      <c r="B195" s="324"/>
      <c r="C195" s="324"/>
      <c r="D195" s="326"/>
      <c r="E195" s="327"/>
      <c r="F195" s="328"/>
      <c r="G195" s="329"/>
      <c r="H195" s="333"/>
    </row>
    <row r="196" spans="1:11" ht="16.5" customHeight="1">
      <c r="A196" s="323"/>
      <c r="B196" s="325"/>
      <c r="C196" s="325"/>
      <c r="D196" s="326"/>
      <c r="E196" s="330"/>
      <c r="F196" s="331"/>
      <c r="G196" s="332"/>
      <c r="H196" s="333"/>
      <c r="K196" s="24"/>
    </row>
    <row r="197" spans="1:11" ht="16.5" customHeight="1">
      <c r="A197" s="322"/>
      <c r="B197" s="324"/>
      <c r="C197" s="324"/>
      <c r="D197" s="326"/>
      <c r="E197" s="327"/>
      <c r="F197" s="328"/>
      <c r="G197" s="329"/>
      <c r="H197" s="338"/>
    </row>
    <row r="198" spans="1:11" ht="16.5" customHeight="1">
      <c r="A198" s="323"/>
      <c r="B198" s="325"/>
      <c r="C198" s="325"/>
      <c r="D198" s="326"/>
      <c r="E198" s="330"/>
      <c r="F198" s="331"/>
      <c r="G198" s="332"/>
      <c r="H198" s="333"/>
      <c r="K198" s="24"/>
    </row>
    <row r="199" spans="1:11" ht="16.5" customHeight="1">
      <c r="A199" s="322"/>
      <c r="B199" s="324"/>
      <c r="C199" s="324"/>
      <c r="D199" s="326"/>
      <c r="E199" s="327"/>
      <c r="F199" s="328"/>
      <c r="G199" s="329"/>
      <c r="H199" s="333"/>
      <c r="K199" s="24"/>
    </row>
    <row r="200" spans="1:11" ht="16.5" customHeight="1">
      <c r="A200" s="323"/>
      <c r="B200" s="325"/>
      <c r="C200" s="325"/>
      <c r="D200" s="326"/>
      <c r="E200" s="330"/>
      <c r="F200" s="331"/>
      <c r="G200" s="332"/>
      <c r="H200" s="333"/>
      <c r="K200" s="24"/>
    </row>
    <row r="201" spans="1:11" ht="16.5" customHeight="1">
      <c r="A201" s="322"/>
      <c r="B201" s="324"/>
      <c r="C201" s="325"/>
      <c r="D201" s="326"/>
      <c r="E201" s="337"/>
      <c r="F201" s="326"/>
      <c r="G201" s="326"/>
      <c r="H201" s="333"/>
      <c r="K201" s="24"/>
    </row>
    <row r="202" spans="1:11" ht="16.5" customHeight="1">
      <c r="A202" s="323"/>
      <c r="B202" s="325"/>
      <c r="C202" s="325"/>
      <c r="D202" s="326"/>
      <c r="E202" s="326"/>
      <c r="F202" s="326"/>
      <c r="G202" s="326"/>
      <c r="H202" s="333"/>
      <c r="K202" s="24"/>
    </row>
    <row r="203" spans="1:11" ht="16.5" customHeight="1">
      <c r="A203" s="322"/>
      <c r="B203" s="324"/>
      <c r="C203" s="325"/>
      <c r="D203" s="326"/>
      <c r="E203" s="327"/>
      <c r="F203" s="328"/>
      <c r="G203" s="329"/>
      <c r="H203" s="338"/>
      <c r="I203" s="4"/>
    </row>
    <row r="204" spans="1:11" ht="16.5" customHeight="1">
      <c r="A204" s="323"/>
      <c r="B204" s="325"/>
      <c r="C204" s="325"/>
      <c r="D204" s="326"/>
      <c r="E204" s="330"/>
      <c r="F204" s="331"/>
      <c r="G204" s="332"/>
      <c r="H204" s="333"/>
    </row>
    <row r="205" spans="1:11" ht="16.5" customHeight="1">
      <c r="A205" s="322"/>
      <c r="B205" s="324"/>
      <c r="C205" s="325"/>
      <c r="D205" s="326"/>
      <c r="E205" s="327"/>
      <c r="F205" s="328"/>
      <c r="G205" s="329"/>
      <c r="H205" s="333"/>
    </row>
    <row r="206" spans="1:11" ht="16.5" customHeight="1">
      <c r="A206" s="323"/>
      <c r="B206" s="325"/>
      <c r="C206" s="325"/>
      <c r="D206" s="326"/>
      <c r="E206" s="330"/>
      <c r="F206" s="331"/>
      <c r="G206" s="332"/>
      <c r="H206" s="333"/>
    </row>
    <row r="207" spans="1:11" ht="16.5" customHeight="1">
      <c r="A207" s="322"/>
      <c r="B207" s="324"/>
      <c r="C207" s="325"/>
      <c r="D207" s="326"/>
      <c r="E207" s="327"/>
      <c r="F207" s="328"/>
      <c r="G207" s="329"/>
      <c r="H207" s="333"/>
    </row>
    <row r="208" spans="1:11" ht="16.5" customHeight="1">
      <c r="A208" s="323"/>
      <c r="B208" s="325"/>
      <c r="C208" s="325"/>
      <c r="D208" s="326"/>
      <c r="E208" s="330"/>
      <c r="F208" s="331"/>
      <c r="G208" s="332"/>
      <c r="H208" s="333"/>
    </row>
    <row r="209" spans="1:11" ht="16.5" customHeight="1">
      <c r="A209" s="322"/>
      <c r="B209" s="324"/>
      <c r="C209" s="325"/>
      <c r="D209" s="326"/>
      <c r="E209" s="327"/>
      <c r="F209" s="328"/>
      <c r="G209" s="329"/>
      <c r="H209" s="333"/>
    </row>
    <row r="210" spans="1:11" ht="16.5" customHeight="1">
      <c r="A210" s="323"/>
      <c r="B210" s="325"/>
      <c r="C210" s="325"/>
      <c r="D210" s="326"/>
      <c r="E210" s="330"/>
      <c r="F210" s="331"/>
      <c r="G210" s="332"/>
      <c r="H210" s="333"/>
    </row>
    <row r="211" spans="1:11" ht="16.5" customHeight="1">
      <c r="A211" s="322"/>
      <c r="B211" s="324"/>
      <c r="C211" s="325"/>
      <c r="D211" s="326"/>
      <c r="E211" s="327"/>
      <c r="F211" s="328"/>
      <c r="G211" s="329"/>
      <c r="H211" s="333"/>
    </row>
    <row r="212" spans="1:11" ht="16.5" customHeight="1">
      <c r="A212" s="323"/>
      <c r="B212" s="325"/>
      <c r="C212" s="325"/>
      <c r="D212" s="326"/>
      <c r="E212" s="330"/>
      <c r="F212" s="331"/>
      <c r="G212" s="332"/>
      <c r="H212" s="333"/>
    </row>
    <row r="213" spans="1:11" ht="16.5" customHeight="1">
      <c r="A213" s="322"/>
      <c r="B213" s="324"/>
      <c r="C213" s="326"/>
      <c r="D213" s="326"/>
      <c r="E213" s="327"/>
      <c r="F213" s="328"/>
      <c r="G213" s="329"/>
      <c r="H213" s="333"/>
    </row>
    <row r="214" spans="1:11" ht="16.5" customHeight="1">
      <c r="A214" s="323"/>
      <c r="B214" s="325"/>
      <c r="C214" s="326"/>
      <c r="D214" s="326"/>
      <c r="E214" s="330"/>
      <c r="F214" s="331"/>
      <c r="G214" s="332"/>
      <c r="H214" s="333"/>
    </row>
    <row r="215" spans="1:11" ht="16.5" customHeight="1">
      <c r="A215" s="322"/>
      <c r="B215" s="324"/>
      <c r="C215" s="325"/>
      <c r="D215" s="326"/>
      <c r="E215" s="337"/>
      <c r="F215" s="326"/>
      <c r="G215" s="326"/>
      <c r="H215" s="333"/>
      <c r="I215" s="3"/>
      <c r="K215" s="23"/>
    </row>
    <row r="216" spans="1:11" ht="16.5" customHeight="1">
      <c r="A216" s="323"/>
      <c r="B216" s="325"/>
      <c r="C216" s="325"/>
      <c r="D216" s="326"/>
      <c r="E216" s="326"/>
      <c r="F216" s="326"/>
      <c r="G216" s="326"/>
      <c r="H216" s="333"/>
    </row>
    <row r="217" spans="1:11" ht="16.5" customHeight="1">
      <c r="A217" s="322"/>
      <c r="B217" s="324"/>
      <c r="C217" s="325"/>
      <c r="D217" s="326"/>
      <c r="E217" s="327"/>
      <c r="F217" s="328"/>
      <c r="G217" s="329"/>
      <c r="H217" s="333"/>
    </row>
    <row r="218" spans="1:11" ht="16.5" customHeight="1">
      <c r="A218" s="323"/>
      <c r="B218" s="325"/>
      <c r="C218" s="325"/>
      <c r="D218" s="326"/>
      <c r="E218" s="330"/>
      <c r="F218" s="331"/>
      <c r="G218" s="332"/>
      <c r="H218" s="333"/>
    </row>
    <row r="219" spans="1:11" ht="16.5" customHeight="1">
      <c r="A219" s="322"/>
      <c r="B219" s="324"/>
      <c r="C219" s="324"/>
      <c r="D219" s="326"/>
      <c r="E219" s="327"/>
      <c r="F219" s="328"/>
      <c r="G219" s="329"/>
      <c r="H219" s="333"/>
    </row>
    <row r="220" spans="1:11" ht="16.5" customHeight="1">
      <c r="A220" s="323"/>
      <c r="B220" s="325"/>
      <c r="C220" s="325"/>
      <c r="D220" s="326"/>
      <c r="E220" s="330"/>
      <c r="F220" s="331"/>
      <c r="G220" s="332"/>
      <c r="H220" s="333"/>
    </row>
    <row r="221" spans="1:11" ht="16.5" customHeight="1">
      <c r="A221" s="335"/>
      <c r="B221" s="324"/>
      <c r="C221" s="325"/>
      <c r="D221" s="326"/>
      <c r="E221" s="327"/>
      <c r="F221" s="328"/>
      <c r="G221" s="329"/>
      <c r="H221" s="333"/>
    </row>
    <row r="222" spans="1:11" ht="16.5" customHeight="1">
      <c r="A222" s="336"/>
      <c r="B222" s="325"/>
      <c r="C222" s="325"/>
      <c r="D222" s="326"/>
      <c r="E222" s="330"/>
      <c r="F222" s="331"/>
      <c r="G222" s="332"/>
      <c r="H222" s="333"/>
    </row>
    <row r="223" spans="1:11" ht="16.5" customHeight="1">
      <c r="A223" s="334"/>
      <c r="B223" s="324"/>
      <c r="C223" s="324"/>
      <c r="D223" s="326"/>
      <c r="E223" s="327"/>
      <c r="F223" s="328"/>
      <c r="G223" s="329"/>
      <c r="H223" s="333"/>
    </row>
    <row r="224" spans="1:11" ht="16.5" customHeight="1">
      <c r="A224" s="323"/>
      <c r="B224" s="325"/>
      <c r="C224" s="325"/>
      <c r="D224" s="326"/>
      <c r="E224" s="330"/>
      <c r="F224" s="331"/>
      <c r="G224" s="332"/>
      <c r="H224" s="333"/>
    </row>
    <row r="225" spans="1:8" ht="16.5" customHeight="1">
      <c r="A225" s="322"/>
      <c r="B225" s="324"/>
      <c r="C225" s="325"/>
      <c r="D225" s="326"/>
      <c r="E225" s="327"/>
      <c r="F225" s="328"/>
      <c r="G225" s="329"/>
      <c r="H225" s="333"/>
    </row>
    <row r="226" spans="1:8" ht="16.5" customHeight="1">
      <c r="A226" s="323"/>
      <c r="B226" s="325"/>
      <c r="C226" s="325"/>
      <c r="D226" s="326"/>
      <c r="E226" s="330"/>
      <c r="F226" s="331"/>
      <c r="G226" s="332"/>
      <c r="H226" s="333"/>
    </row>
    <row r="227" spans="1:8" ht="16.5" customHeight="1">
      <c r="A227" s="313"/>
      <c r="B227" s="314"/>
      <c r="C227" s="307"/>
      <c r="D227" s="309"/>
      <c r="E227" s="315"/>
      <c r="F227" s="316"/>
      <c r="G227" s="317"/>
      <c r="H227" s="321"/>
    </row>
    <row r="228" spans="1:8" ht="16.5" customHeight="1">
      <c r="A228" s="305"/>
      <c r="B228" s="307"/>
      <c r="C228" s="307"/>
      <c r="D228" s="309"/>
      <c r="E228" s="318"/>
      <c r="F228" s="319"/>
      <c r="G228" s="320"/>
      <c r="H228" s="311"/>
    </row>
    <row r="229" spans="1:8" ht="16.5" customHeight="1">
      <c r="A229" s="313"/>
      <c r="B229" s="314"/>
      <c r="C229" s="307"/>
      <c r="D229" s="309"/>
      <c r="E229" s="315"/>
      <c r="F229" s="316"/>
      <c r="G229" s="317"/>
      <c r="H229" s="321"/>
    </row>
    <row r="230" spans="1:8" ht="16.5" customHeight="1">
      <c r="A230" s="305"/>
      <c r="B230" s="307"/>
      <c r="C230" s="307"/>
      <c r="D230" s="309"/>
      <c r="E230" s="318"/>
      <c r="F230" s="319"/>
      <c r="G230" s="320"/>
      <c r="H230" s="311"/>
    </row>
    <row r="231" spans="1:8">
      <c r="A231" s="305"/>
      <c r="B231" s="307"/>
      <c r="C231" s="307"/>
      <c r="D231" s="309"/>
      <c r="E231" s="309"/>
      <c r="F231" s="309"/>
      <c r="G231" s="309"/>
      <c r="H231" s="311"/>
    </row>
    <row r="232" spans="1:8">
      <c r="A232" s="305"/>
      <c r="B232" s="307"/>
      <c r="C232" s="307"/>
      <c r="D232" s="309"/>
      <c r="E232" s="309"/>
      <c r="F232" s="309"/>
      <c r="G232" s="309"/>
      <c r="H232" s="311"/>
    </row>
    <row r="233" spans="1:8" ht="16.5" customHeight="1">
      <c r="A233" s="313"/>
      <c r="B233" s="314"/>
      <c r="C233" s="307"/>
      <c r="D233" s="309"/>
      <c r="E233" s="315"/>
      <c r="F233" s="316"/>
      <c r="G233" s="317"/>
      <c r="H233" s="311"/>
    </row>
    <row r="234" spans="1:8" ht="16.5" customHeight="1">
      <c r="A234" s="305"/>
      <c r="B234" s="307"/>
      <c r="C234" s="307"/>
      <c r="D234" s="309"/>
      <c r="E234" s="318"/>
      <c r="F234" s="319"/>
      <c r="G234" s="320"/>
      <c r="H234" s="311"/>
    </row>
    <row r="235" spans="1:8" ht="16.5" customHeight="1">
      <c r="A235" s="313"/>
      <c r="B235" s="314"/>
      <c r="C235" s="307"/>
      <c r="D235" s="309"/>
      <c r="E235" s="315"/>
      <c r="F235" s="316"/>
      <c r="G235" s="317"/>
      <c r="H235" s="311"/>
    </row>
    <row r="236" spans="1:8" ht="16.5" customHeight="1">
      <c r="A236" s="305"/>
      <c r="B236" s="307"/>
      <c r="C236" s="307"/>
      <c r="D236" s="309"/>
      <c r="E236" s="318"/>
      <c r="F236" s="319"/>
      <c r="G236" s="320"/>
      <c r="H236" s="311"/>
    </row>
    <row r="237" spans="1:8" ht="16.5" customHeight="1">
      <c r="A237" s="313"/>
      <c r="B237" s="314"/>
      <c r="C237" s="307"/>
      <c r="D237" s="309"/>
      <c r="E237" s="315"/>
      <c r="F237" s="316"/>
      <c r="G237" s="317"/>
      <c r="H237" s="321"/>
    </row>
    <row r="238" spans="1:8" ht="16.5" customHeight="1">
      <c r="A238" s="305"/>
      <c r="B238" s="307"/>
      <c r="C238" s="307"/>
      <c r="D238" s="309"/>
      <c r="E238" s="318"/>
      <c r="F238" s="319"/>
      <c r="G238" s="320"/>
      <c r="H238" s="311"/>
    </row>
    <row r="239" spans="1:8" ht="16.5" customHeight="1">
      <c r="A239" s="313"/>
      <c r="B239" s="314"/>
      <c r="C239" s="307"/>
      <c r="D239" s="309"/>
      <c r="E239" s="315"/>
      <c r="F239" s="316"/>
      <c r="G239" s="317"/>
      <c r="H239" s="321"/>
    </row>
    <row r="240" spans="1:8" ht="16.5" customHeight="1">
      <c r="A240" s="305"/>
      <c r="B240" s="307"/>
      <c r="C240" s="307"/>
      <c r="D240" s="309"/>
      <c r="E240" s="318"/>
      <c r="F240" s="319"/>
      <c r="G240" s="320"/>
      <c r="H240" s="311"/>
    </row>
    <row r="241" spans="1:8">
      <c r="A241" s="305"/>
      <c r="B241" s="307"/>
      <c r="C241" s="307"/>
      <c r="D241" s="309"/>
      <c r="E241" s="309"/>
      <c r="F241" s="309"/>
      <c r="G241" s="309"/>
      <c r="H241" s="311"/>
    </row>
    <row r="242" spans="1:8">
      <c r="A242" s="305"/>
      <c r="B242" s="307"/>
      <c r="C242" s="307"/>
      <c r="D242" s="309"/>
      <c r="E242" s="309"/>
      <c r="F242" s="309"/>
      <c r="G242" s="309"/>
      <c r="H242" s="311"/>
    </row>
    <row r="243" spans="1:8" ht="16.5" customHeight="1">
      <c r="A243" s="313"/>
      <c r="B243" s="314"/>
      <c r="C243" s="307"/>
      <c r="D243" s="309"/>
      <c r="E243" s="315"/>
      <c r="F243" s="316"/>
      <c r="G243" s="317"/>
      <c r="H243" s="311"/>
    </row>
    <row r="244" spans="1:8" ht="16.5" customHeight="1">
      <c r="A244" s="305"/>
      <c r="B244" s="307"/>
      <c r="C244" s="307"/>
      <c r="D244" s="309"/>
      <c r="E244" s="318"/>
      <c r="F244" s="319"/>
      <c r="G244" s="320"/>
      <c r="H244" s="311"/>
    </row>
    <row r="245" spans="1:8" ht="16.5" customHeight="1">
      <c r="A245" s="313"/>
      <c r="B245" s="314"/>
      <c r="C245" s="307"/>
      <c r="D245" s="309"/>
      <c r="E245" s="315"/>
      <c r="F245" s="316"/>
      <c r="G245" s="317"/>
      <c r="H245" s="321"/>
    </row>
    <row r="246" spans="1:8" ht="16.5" customHeight="1">
      <c r="A246" s="305"/>
      <c r="B246" s="307"/>
      <c r="C246" s="307"/>
      <c r="D246" s="309"/>
      <c r="E246" s="318"/>
      <c r="F246" s="319"/>
      <c r="G246" s="320"/>
      <c r="H246" s="311"/>
    </row>
    <row r="247" spans="1:8" ht="16.5" customHeight="1">
      <c r="A247" s="313"/>
      <c r="B247" s="314"/>
      <c r="C247" s="307"/>
      <c r="D247" s="309"/>
      <c r="E247" s="315"/>
      <c r="F247" s="316"/>
      <c r="G247" s="317"/>
      <c r="H247" s="321"/>
    </row>
    <row r="248" spans="1:8" ht="16.5" customHeight="1">
      <c r="A248" s="305"/>
      <c r="B248" s="307"/>
      <c r="C248" s="307"/>
      <c r="D248" s="309"/>
      <c r="E248" s="318"/>
      <c r="F248" s="319"/>
      <c r="G248" s="320"/>
      <c r="H248" s="311"/>
    </row>
    <row r="249" spans="1:8">
      <c r="A249" s="305"/>
      <c r="B249" s="307"/>
      <c r="C249" s="307"/>
      <c r="D249" s="309"/>
      <c r="E249" s="309"/>
      <c r="F249" s="309"/>
      <c r="G249" s="309"/>
      <c r="H249" s="311"/>
    </row>
    <row r="250" spans="1:8">
      <c r="A250" s="305"/>
      <c r="B250" s="307"/>
      <c r="C250" s="307"/>
      <c r="D250" s="309"/>
      <c r="E250" s="309"/>
      <c r="F250" s="309"/>
      <c r="G250" s="309"/>
      <c r="H250" s="311"/>
    </row>
    <row r="251" spans="1:8">
      <c r="A251" s="305"/>
      <c r="B251" s="307"/>
      <c r="C251" s="307"/>
      <c r="D251" s="309"/>
      <c r="E251" s="309"/>
      <c r="F251" s="309"/>
      <c r="G251" s="309"/>
      <c r="H251" s="311"/>
    </row>
    <row r="252" spans="1:8" ht="17.25" thickBot="1">
      <c r="A252" s="306"/>
      <c r="B252" s="308"/>
      <c r="C252" s="308"/>
      <c r="D252" s="310"/>
      <c r="E252" s="310"/>
      <c r="F252" s="310"/>
      <c r="G252" s="310"/>
      <c r="H252" s="312"/>
    </row>
  </sheetData>
  <mergeCells count="725">
    <mergeCell ref="B47:H47"/>
    <mergeCell ref="A251:A252"/>
    <mergeCell ref="B251:B252"/>
    <mergeCell ref="C251:C252"/>
    <mergeCell ref="D251:D252"/>
    <mergeCell ref="E251:G252"/>
    <mergeCell ref="H251:H252"/>
    <mergeCell ref="A249:A250"/>
    <mergeCell ref="B249:B250"/>
    <mergeCell ref="C249:C250"/>
    <mergeCell ref="D249:D250"/>
    <mergeCell ref="E249:G250"/>
    <mergeCell ref="H249:H250"/>
    <mergeCell ref="A247:A248"/>
    <mergeCell ref="B247:B248"/>
    <mergeCell ref="C247:C248"/>
    <mergeCell ref="D247:D248"/>
    <mergeCell ref="E247:G248"/>
    <mergeCell ref="H247:H248"/>
    <mergeCell ref="A245:A246"/>
    <mergeCell ref="B245:B246"/>
    <mergeCell ref="C245:C246"/>
    <mergeCell ref="D245:D246"/>
    <mergeCell ref="E245:G246"/>
    <mergeCell ref="H245:H246"/>
    <mergeCell ref="A243:A244"/>
    <mergeCell ref="B243:B244"/>
    <mergeCell ref="C243:C244"/>
    <mergeCell ref="D243:D244"/>
    <mergeCell ref="E243:G244"/>
    <mergeCell ref="H243:H244"/>
    <mergeCell ref="A241:A242"/>
    <mergeCell ref="B241:B242"/>
    <mergeCell ref="C241:C242"/>
    <mergeCell ref="D241:D242"/>
    <mergeCell ref="E241:G242"/>
    <mergeCell ref="H241:H242"/>
    <mergeCell ref="A239:A240"/>
    <mergeCell ref="B239:B240"/>
    <mergeCell ref="C239:C240"/>
    <mergeCell ref="D239:D240"/>
    <mergeCell ref="E239:G240"/>
    <mergeCell ref="H239:H240"/>
    <mergeCell ref="A237:A238"/>
    <mergeCell ref="B237:B238"/>
    <mergeCell ref="C237:C238"/>
    <mergeCell ref="D237:D238"/>
    <mergeCell ref="E237:G238"/>
    <mergeCell ref="H237:H238"/>
    <mergeCell ref="A235:A236"/>
    <mergeCell ref="B235:B236"/>
    <mergeCell ref="C235:C236"/>
    <mergeCell ref="D235:D236"/>
    <mergeCell ref="E235:G236"/>
    <mergeCell ref="H235:H236"/>
    <mergeCell ref="A233:A234"/>
    <mergeCell ref="B233:B234"/>
    <mergeCell ref="C233:C234"/>
    <mergeCell ref="D233:D234"/>
    <mergeCell ref="E233:G234"/>
    <mergeCell ref="H233:H234"/>
    <mergeCell ref="A231:A232"/>
    <mergeCell ref="B231:B232"/>
    <mergeCell ref="C231:C232"/>
    <mergeCell ref="D231:D232"/>
    <mergeCell ref="E231:G232"/>
    <mergeCell ref="H231:H232"/>
    <mergeCell ref="A229:A230"/>
    <mergeCell ref="B229:B230"/>
    <mergeCell ref="C229:C230"/>
    <mergeCell ref="D229:D230"/>
    <mergeCell ref="E229:G230"/>
    <mergeCell ref="H229:H230"/>
    <mergeCell ref="A227:A228"/>
    <mergeCell ref="B227:B228"/>
    <mergeCell ref="C227:C228"/>
    <mergeCell ref="D227:D228"/>
    <mergeCell ref="E227:G228"/>
    <mergeCell ref="H227:H228"/>
    <mergeCell ref="A225:A226"/>
    <mergeCell ref="B225:B226"/>
    <mergeCell ref="C225:C226"/>
    <mergeCell ref="D225:D226"/>
    <mergeCell ref="E225:G226"/>
    <mergeCell ref="H225:H226"/>
    <mergeCell ref="A223:A224"/>
    <mergeCell ref="B223:B224"/>
    <mergeCell ref="C223:C224"/>
    <mergeCell ref="D223:D224"/>
    <mergeCell ref="E223:G224"/>
    <mergeCell ref="H223:H224"/>
    <mergeCell ref="A221:A222"/>
    <mergeCell ref="B221:B222"/>
    <mergeCell ref="C221:C222"/>
    <mergeCell ref="D221:D222"/>
    <mergeCell ref="E221:G222"/>
    <mergeCell ref="H221:H222"/>
    <mergeCell ref="A219:A220"/>
    <mergeCell ref="B219:B220"/>
    <mergeCell ref="C219:C220"/>
    <mergeCell ref="D219:D220"/>
    <mergeCell ref="E219:G220"/>
    <mergeCell ref="H219:H220"/>
    <mergeCell ref="A217:A218"/>
    <mergeCell ref="B217:B218"/>
    <mergeCell ref="C217:C218"/>
    <mergeCell ref="D217:D218"/>
    <mergeCell ref="E217:G218"/>
    <mergeCell ref="H217:H218"/>
    <mergeCell ref="A215:A216"/>
    <mergeCell ref="B215:B216"/>
    <mergeCell ref="C215:C216"/>
    <mergeCell ref="D215:D216"/>
    <mergeCell ref="E215:G216"/>
    <mergeCell ref="H215:H216"/>
    <mergeCell ref="A213:A214"/>
    <mergeCell ref="B213:B214"/>
    <mergeCell ref="C213:C214"/>
    <mergeCell ref="D213:D214"/>
    <mergeCell ref="E213:G214"/>
    <mergeCell ref="H213:H214"/>
    <mergeCell ref="A211:A212"/>
    <mergeCell ref="B211:B212"/>
    <mergeCell ref="C211:C212"/>
    <mergeCell ref="D211:D212"/>
    <mergeCell ref="E211:G212"/>
    <mergeCell ref="H211:H212"/>
    <mergeCell ref="A209:A210"/>
    <mergeCell ref="B209:B210"/>
    <mergeCell ref="C209:C210"/>
    <mergeCell ref="D209:D210"/>
    <mergeCell ref="E209:G210"/>
    <mergeCell ref="H209:H210"/>
    <mergeCell ref="A207:A208"/>
    <mergeCell ref="B207:B208"/>
    <mergeCell ref="C207:C208"/>
    <mergeCell ref="D207:D208"/>
    <mergeCell ref="E207:G208"/>
    <mergeCell ref="H207:H208"/>
    <mergeCell ref="A205:A206"/>
    <mergeCell ref="B205:B206"/>
    <mergeCell ref="C205:C206"/>
    <mergeCell ref="D205:D206"/>
    <mergeCell ref="E205:G206"/>
    <mergeCell ref="H205:H206"/>
    <mergeCell ref="A203:A204"/>
    <mergeCell ref="B203:B204"/>
    <mergeCell ref="C203:C204"/>
    <mergeCell ref="D203:D204"/>
    <mergeCell ref="E203:G204"/>
    <mergeCell ref="H203:H204"/>
    <mergeCell ref="A201:A202"/>
    <mergeCell ref="B201:B202"/>
    <mergeCell ref="C201:C202"/>
    <mergeCell ref="D201:D202"/>
    <mergeCell ref="E201:G202"/>
    <mergeCell ref="H201:H202"/>
    <mergeCell ref="A199:A200"/>
    <mergeCell ref="B199:B200"/>
    <mergeCell ref="C199:C200"/>
    <mergeCell ref="D199:D200"/>
    <mergeCell ref="E199:G200"/>
    <mergeCell ref="H199:H200"/>
    <mergeCell ref="A197:A198"/>
    <mergeCell ref="B197:B198"/>
    <mergeCell ref="C197:C198"/>
    <mergeCell ref="D197:D198"/>
    <mergeCell ref="E197:G198"/>
    <mergeCell ref="H197:H198"/>
    <mergeCell ref="A195:A196"/>
    <mergeCell ref="B195:B196"/>
    <mergeCell ref="C195:C196"/>
    <mergeCell ref="D195:D196"/>
    <mergeCell ref="E195:G196"/>
    <mergeCell ref="H195:H196"/>
    <mergeCell ref="A193:A194"/>
    <mergeCell ref="B193:B194"/>
    <mergeCell ref="C193:C194"/>
    <mergeCell ref="D193:D194"/>
    <mergeCell ref="E193:G194"/>
    <mergeCell ref="H193:H194"/>
    <mergeCell ref="A191:A192"/>
    <mergeCell ref="B191:B192"/>
    <mergeCell ref="C191:C192"/>
    <mergeCell ref="D191:D192"/>
    <mergeCell ref="E191:G192"/>
    <mergeCell ref="H191:H192"/>
    <mergeCell ref="A189:A190"/>
    <mergeCell ref="B189:B190"/>
    <mergeCell ref="C189:C190"/>
    <mergeCell ref="D189:D190"/>
    <mergeCell ref="E189:G190"/>
    <mergeCell ref="H189:H190"/>
    <mergeCell ref="A187:A188"/>
    <mergeCell ref="B187:B188"/>
    <mergeCell ref="C187:C188"/>
    <mergeCell ref="D187:D188"/>
    <mergeCell ref="E187:G188"/>
    <mergeCell ref="H187:H188"/>
    <mergeCell ref="A185:A186"/>
    <mergeCell ref="B185:B186"/>
    <mergeCell ref="C185:C186"/>
    <mergeCell ref="D185:D186"/>
    <mergeCell ref="E185:G186"/>
    <mergeCell ref="H185:H186"/>
    <mergeCell ref="A183:A184"/>
    <mergeCell ref="B183:B184"/>
    <mergeCell ref="C183:C184"/>
    <mergeCell ref="D183:D184"/>
    <mergeCell ref="E183:G184"/>
    <mergeCell ref="H183:H184"/>
    <mergeCell ref="A181:A182"/>
    <mergeCell ref="B181:B182"/>
    <mergeCell ref="C181:C182"/>
    <mergeCell ref="D181:D182"/>
    <mergeCell ref="E181:G182"/>
    <mergeCell ref="H181:H182"/>
    <mergeCell ref="A179:A180"/>
    <mergeCell ref="B179:B180"/>
    <mergeCell ref="C179:C180"/>
    <mergeCell ref="D179:D180"/>
    <mergeCell ref="E179:G180"/>
    <mergeCell ref="H179:H180"/>
    <mergeCell ref="A177:A178"/>
    <mergeCell ref="B177:B178"/>
    <mergeCell ref="C177:C178"/>
    <mergeCell ref="D177:D178"/>
    <mergeCell ref="E177:G178"/>
    <mergeCell ref="H177:H178"/>
    <mergeCell ref="A175:A176"/>
    <mergeCell ref="B175:B176"/>
    <mergeCell ref="C175:C176"/>
    <mergeCell ref="D175:D176"/>
    <mergeCell ref="E175:G176"/>
    <mergeCell ref="H175:H176"/>
    <mergeCell ref="A173:A174"/>
    <mergeCell ref="B173:B174"/>
    <mergeCell ref="C173:C174"/>
    <mergeCell ref="D173:D174"/>
    <mergeCell ref="E173:G174"/>
    <mergeCell ref="H173:H174"/>
    <mergeCell ref="A171:A172"/>
    <mergeCell ref="B171:B172"/>
    <mergeCell ref="C171:C172"/>
    <mergeCell ref="D171:D172"/>
    <mergeCell ref="E171:G172"/>
    <mergeCell ref="H171:H172"/>
    <mergeCell ref="A169:A170"/>
    <mergeCell ref="B169:B170"/>
    <mergeCell ref="C169:C170"/>
    <mergeCell ref="D169:D170"/>
    <mergeCell ref="E169:G170"/>
    <mergeCell ref="H169:H170"/>
    <mergeCell ref="A167:A168"/>
    <mergeCell ref="B167:B168"/>
    <mergeCell ref="C167:C168"/>
    <mergeCell ref="D167:D168"/>
    <mergeCell ref="E167:G168"/>
    <mergeCell ref="H167:H168"/>
    <mergeCell ref="A165:A166"/>
    <mergeCell ref="B165:B166"/>
    <mergeCell ref="C165:C166"/>
    <mergeCell ref="D165:D166"/>
    <mergeCell ref="E165:G166"/>
    <mergeCell ref="H165:H166"/>
    <mergeCell ref="A163:A164"/>
    <mergeCell ref="B163:B164"/>
    <mergeCell ref="C163:C164"/>
    <mergeCell ref="D163:D164"/>
    <mergeCell ref="E163:G164"/>
    <mergeCell ref="H163:H164"/>
    <mergeCell ref="A161:A162"/>
    <mergeCell ref="B161:B162"/>
    <mergeCell ref="C161:C162"/>
    <mergeCell ref="D161:D162"/>
    <mergeCell ref="E161:G162"/>
    <mergeCell ref="H161:H162"/>
    <mergeCell ref="A159:A160"/>
    <mergeCell ref="B159:B160"/>
    <mergeCell ref="C159:C160"/>
    <mergeCell ref="D159:D160"/>
    <mergeCell ref="E159:G160"/>
    <mergeCell ref="H159:H160"/>
    <mergeCell ref="A157:A158"/>
    <mergeCell ref="B157:B158"/>
    <mergeCell ref="C157:C158"/>
    <mergeCell ref="D157:D158"/>
    <mergeCell ref="E157:G158"/>
    <mergeCell ref="H157:H158"/>
    <mergeCell ref="A155:A156"/>
    <mergeCell ref="B155:B156"/>
    <mergeCell ref="C155:C156"/>
    <mergeCell ref="D155:D156"/>
    <mergeCell ref="E155:G156"/>
    <mergeCell ref="H155:H156"/>
    <mergeCell ref="A153:A154"/>
    <mergeCell ref="B153:B154"/>
    <mergeCell ref="C153:C154"/>
    <mergeCell ref="D153:D154"/>
    <mergeCell ref="E153:G154"/>
    <mergeCell ref="H153:H154"/>
    <mergeCell ref="A151:A152"/>
    <mergeCell ref="B151:B152"/>
    <mergeCell ref="C151:C152"/>
    <mergeCell ref="D151:D152"/>
    <mergeCell ref="E151:G152"/>
    <mergeCell ref="H151:H152"/>
    <mergeCell ref="A149:A150"/>
    <mergeCell ref="B149:B150"/>
    <mergeCell ref="C149:C150"/>
    <mergeCell ref="D149:D150"/>
    <mergeCell ref="E149:G150"/>
    <mergeCell ref="H149:H150"/>
    <mergeCell ref="A147:A148"/>
    <mergeCell ref="B147:B148"/>
    <mergeCell ref="C147:C148"/>
    <mergeCell ref="D147:D148"/>
    <mergeCell ref="E147:G148"/>
    <mergeCell ref="H147:H148"/>
    <mergeCell ref="A145:A146"/>
    <mergeCell ref="B145:B146"/>
    <mergeCell ref="C145:C146"/>
    <mergeCell ref="D145:D146"/>
    <mergeCell ref="E145:G146"/>
    <mergeCell ref="H145:H146"/>
    <mergeCell ref="A143:A144"/>
    <mergeCell ref="B143:B144"/>
    <mergeCell ref="C143:C144"/>
    <mergeCell ref="D143:D144"/>
    <mergeCell ref="E143:G144"/>
    <mergeCell ref="H143:H144"/>
    <mergeCell ref="A141:A142"/>
    <mergeCell ref="B141:B142"/>
    <mergeCell ref="C141:C142"/>
    <mergeCell ref="D141:D142"/>
    <mergeCell ref="E141:G142"/>
    <mergeCell ref="H141:H142"/>
    <mergeCell ref="A139:A140"/>
    <mergeCell ref="B139:B140"/>
    <mergeCell ref="C139:C140"/>
    <mergeCell ref="D139:D140"/>
    <mergeCell ref="E139:G140"/>
    <mergeCell ref="H139:H140"/>
    <mergeCell ref="A137:A138"/>
    <mergeCell ref="B137:B138"/>
    <mergeCell ref="C137:C138"/>
    <mergeCell ref="D137:D138"/>
    <mergeCell ref="E137:G138"/>
    <mergeCell ref="H137:H138"/>
    <mergeCell ref="A135:A136"/>
    <mergeCell ref="B135:B136"/>
    <mergeCell ref="C135:C136"/>
    <mergeCell ref="D135:D136"/>
    <mergeCell ref="E135:G136"/>
    <mergeCell ref="H135:H136"/>
    <mergeCell ref="A133:A134"/>
    <mergeCell ref="B133:B134"/>
    <mergeCell ref="C133:C134"/>
    <mergeCell ref="D133:D134"/>
    <mergeCell ref="E133:G134"/>
    <mergeCell ref="H133:H134"/>
    <mergeCell ref="A131:A132"/>
    <mergeCell ref="B131:B132"/>
    <mergeCell ref="C131:C132"/>
    <mergeCell ref="D131:D132"/>
    <mergeCell ref="E131:G132"/>
    <mergeCell ref="H131:H132"/>
    <mergeCell ref="A129:A130"/>
    <mergeCell ref="B129:B130"/>
    <mergeCell ref="C129:C130"/>
    <mergeCell ref="D129:D130"/>
    <mergeCell ref="E129:G130"/>
    <mergeCell ref="H129:H130"/>
    <mergeCell ref="A127:A128"/>
    <mergeCell ref="B127:B128"/>
    <mergeCell ref="C127:C128"/>
    <mergeCell ref="D127:D128"/>
    <mergeCell ref="E127:G128"/>
    <mergeCell ref="H127:H128"/>
    <mergeCell ref="A125:A126"/>
    <mergeCell ref="B125:B126"/>
    <mergeCell ref="C125:C126"/>
    <mergeCell ref="D125:D126"/>
    <mergeCell ref="E125:G126"/>
    <mergeCell ref="H125:H126"/>
    <mergeCell ref="A117:H120"/>
    <mergeCell ref="A123:A124"/>
    <mergeCell ref="B123:B124"/>
    <mergeCell ref="C123:C124"/>
    <mergeCell ref="D123:D124"/>
    <mergeCell ref="E123:G124"/>
    <mergeCell ref="H123:H124"/>
    <mergeCell ref="A121:A122"/>
    <mergeCell ref="B121:B122"/>
    <mergeCell ref="C121:C122"/>
    <mergeCell ref="D121:D122"/>
    <mergeCell ref="E121:G122"/>
    <mergeCell ref="H121:H122"/>
    <mergeCell ref="A115:A116"/>
    <mergeCell ref="B115:B116"/>
    <mergeCell ref="C115:C116"/>
    <mergeCell ref="D115:D116"/>
    <mergeCell ref="E115:G116"/>
    <mergeCell ref="H115:H116"/>
    <mergeCell ref="A113:A114"/>
    <mergeCell ref="B113:B114"/>
    <mergeCell ref="C113:C114"/>
    <mergeCell ref="D113:D114"/>
    <mergeCell ref="E113:G114"/>
    <mergeCell ref="H113:H114"/>
    <mergeCell ref="A107:A108"/>
    <mergeCell ref="B107:B108"/>
    <mergeCell ref="C107:C108"/>
    <mergeCell ref="D107:D108"/>
    <mergeCell ref="E107:G108"/>
    <mergeCell ref="H107:H108"/>
    <mergeCell ref="A105:A106"/>
    <mergeCell ref="B105:B106"/>
    <mergeCell ref="C105:C106"/>
    <mergeCell ref="D105:D106"/>
    <mergeCell ref="E105:G106"/>
    <mergeCell ref="H105:H106"/>
    <mergeCell ref="A111:A112"/>
    <mergeCell ref="B111:B112"/>
    <mergeCell ref="C111:C112"/>
    <mergeCell ref="D111:D112"/>
    <mergeCell ref="E111:G112"/>
    <mergeCell ref="H111:H112"/>
    <mergeCell ref="A109:A110"/>
    <mergeCell ref="B109:B110"/>
    <mergeCell ref="C109:C110"/>
    <mergeCell ref="D109:D110"/>
    <mergeCell ref="E109:G110"/>
    <mergeCell ref="H109:H110"/>
    <mergeCell ref="B101:H104"/>
    <mergeCell ref="A101:A104"/>
    <mergeCell ref="E100:G100"/>
    <mergeCell ref="A94:A95"/>
    <mergeCell ref="B94:B95"/>
    <mergeCell ref="C94:C95"/>
    <mergeCell ref="D94:D95"/>
    <mergeCell ref="E94:G95"/>
    <mergeCell ref="H94:H95"/>
    <mergeCell ref="A98:A99"/>
    <mergeCell ref="B98:B99"/>
    <mergeCell ref="C98:C99"/>
    <mergeCell ref="D98:D99"/>
    <mergeCell ref="E98:G99"/>
    <mergeCell ref="H98:H99"/>
    <mergeCell ref="A96:A97"/>
    <mergeCell ref="B96:B97"/>
    <mergeCell ref="C96:C97"/>
    <mergeCell ref="D96:D97"/>
    <mergeCell ref="E96:G97"/>
    <mergeCell ref="H96:H97"/>
    <mergeCell ref="A92:A93"/>
    <mergeCell ref="B92:B93"/>
    <mergeCell ref="C92:C93"/>
    <mergeCell ref="D92:D93"/>
    <mergeCell ref="E92:G93"/>
    <mergeCell ref="H92:H93"/>
    <mergeCell ref="A90:A91"/>
    <mergeCell ref="B90:B91"/>
    <mergeCell ref="C90:C91"/>
    <mergeCell ref="D90:D91"/>
    <mergeCell ref="E90:G91"/>
    <mergeCell ref="H90:H91"/>
    <mergeCell ref="A88:A89"/>
    <mergeCell ref="B88:B89"/>
    <mergeCell ref="C88:C89"/>
    <mergeCell ref="D88:D89"/>
    <mergeCell ref="E88:G89"/>
    <mergeCell ref="H88:H89"/>
    <mergeCell ref="A86:A87"/>
    <mergeCell ref="B86:B87"/>
    <mergeCell ref="C86:C87"/>
    <mergeCell ref="D86:D87"/>
    <mergeCell ref="E86:G87"/>
    <mergeCell ref="H86:H87"/>
    <mergeCell ref="A84:A85"/>
    <mergeCell ref="B84:B85"/>
    <mergeCell ref="C84:C85"/>
    <mergeCell ref="D84:D85"/>
    <mergeCell ref="E84:G85"/>
    <mergeCell ref="H84:H85"/>
    <mergeCell ref="A82:A83"/>
    <mergeCell ref="B82:B83"/>
    <mergeCell ref="C82:C83"/>
    <mergeCell ref="D82:D83"/>
    <mergeCell ref="E82:G83"/>
    <mergeCell ref="H82:H83"/>
    <mergeCell ref="A80:A81"/>
    <mergeCell ref="B80:B81"/>
    <mergeCell ref="C80:C81"/>
    <mergeCell ref="D80:D81"/>
    <mergeCell ref="E80:G81"/>
    <mergeCell ref="H80:H81"/>
    <mergeCell ref="A76:A77"/>
    <mergeCell ref="A74:A75"/>
    <mergeCell ref="B74:B75"/>
    <mergeCell ref="C74:C75"/>
    <mergeCell ref="D74:D75"/>
    <mergeCell ref="E74:G75"/>
    <mergeCell ref="H74:H75"/>
    <mergeCell ref="B76:H77"/>
    <mergeCell ref="A78:A79"/>
    <mergeCell ref="B78:B79"/>
    <mergeCell ref="C78:C79"/>
    <mergeCell ref="D78:D79"/>
    <mergeCell ref="E78:G79"/>
    <mergeCell ref="H78:H79"/>
    <mergeCell ref="A72:A73"/>
    <mergeCell ref="B72:B73"/>
    <mergeCell ref="C72:C73"/>
    <mergeCell ref="D72:D73"/>
    <mergeCell ref="E72:G73"/>
    <mergeCell ref="H72:H73"/>
    <mergeCell ref="A70:A71"/>
    <mergeCell ref="B70:B71"/>
    <mergeCell ref="C70:C71"/>
    <mergeCell ref="D70:D71"/>
    <mergeCell ref="E70:G71"/>
    <mergeCell ref="H70:H71"/>
    <mergeCell ref="A68:A69"/>
    <mergeCell ref="B68:B69"/>
    <mergeCell ref="C68:C69"/>
    <mergeCell ref="D68:D69"/>
    <mergeCell ref="E68:G69"/>
    <mergeCell ref="H68:H69"/>
    <mergeCell ref="A66:A67"/>
    <mergeCell ref="B66:B67"/>
    <mergeCell ref="C66:C67"/>
    <mergeCell ref="D66:D67"/>
    <mergeCell ref="E66:G67"/>
    <mergeCell ref="H66:H67"/>
    <mergeCell ref="A60:A61"/>
    <mergeCell ref="B60:B61"/>
    <mergeCell ref="C60:C61"/>
    <mergeCell ref="D60:D61"/>
    <mergeCell ref="E60:G61"/>
    <mergeCell ref="H60:H61"/>
    <mergeCell ref="A64:A65"/>
    <mergeCell ref="B64:B65"/>
    <mergeCell ref="C64:C65"/>
    <mergeCell ref="D64:D65"/>
    <mergeCell ref="E64:G65"/>
    <mergeCell ref="H64:H65"/>
    <mergeCell ref="A62:A63"/>
    <mergeCell ref="B62:B63"/>
    <mergeCell ref="C62:C63"/>
    <mergeCell ref="D62:D63"/>
    <mergeCell ref="E62:G63"/>
    <mergeCell ref="H62:H63"/>
    <mergeCell ref="A58:A59"/>
    <mergeCell ref="B58:B59"/>
    <mergeCell ref="C58:C59"/>
    <mergeCell ref="D58:D59"/>
    <mergeCell ref="E58:G59"/>
    <mergeCell ref="H58:H59"/>
    <mergeCell ref="A56:A57"/>
    <mergeCell ref="B56:B57"/>
    <mergeCell ref="C56:C57"/>
    <mergeCell ref="D56:D57"/>
    <mergeCell ref="E56:G57"/>
    <mergeCell ref="H56:H57"/>
    <mergeCell ref="A54:A55"/>
    <mergeCell ref="B54:B55"/>
    <mergeCell ref="C54:C55"/>
    <mergeCell ref="D54:D55"/>
    <mergeCell ref="E54:G55"/>
    <mergeCell ref="H54:H55"/>
    <mergeCell ref="A52:A53"/>
    <mergeCell ref="B52:B53"/>
    <mergeCell ref="C52:C53"/>
    <mergeCell ref="D52:D53"/>
    <mergeCell ref="E52:G53"/>
    <mergeCell ref="H52:H53"/>
    <mergeCell ref="A50:A51"/>
    <mergeCell ref="B50:B51"/>
    <mergeCell ref="C50:C51"/>
    <mergeCell ref="D50:D51"/>
    <mergeCell ref="E50:G51"/>
    <mergeCell ref="H50:H51"/>
    <mergeCell ref="A48:A49"/>
    <mergeCell ref="B48:B49"/>
    <mergeCell ref="C48:C49"/>
    <mergeCell ref="D48:D49"/>
    <mergeCell ref="E48:G49"/>
    <mergeCell ref="H48:H49"/>
    <mergeCell ref="A44:A46"/>
    <mergeCell ref="B44:B46"/>
    <mergeCell ref="C44:C46"/>
    <mergeCell ref="D44:D46"/>
    <mergeCell ref="E44:G46"/>
    <mergeCell ref="H44:H46"/>
    <mergeCell ref="A42:A43"/>
    <mergeCell ref="B42:B43"/>
    <mergeCell ref="C42:C43"/>
    <mergeCell ref="D42:D43"/>
    <mergeCell ref="E42:G43"/>
    <mergeCell ref="H42:H43"/>
    <mergeCell ref="A40:A41"/>
    <mergeCell ref="B40:B41"/>
    <mergeCell ref="C40:C41"/>
    <mergeCell ref="D40:D41"/>
    <mergeCell ref="E40:G41"/>
    <mergeCell ref="H40:H41"/>
    <mergeCell ref="A38:A39"/>
    <mergeCell ref="B38:B39"/>
    <mergeCell ref="C38:C39"/>
    <mergeCell ref="D38:D39"/>
    <mergeCell ref="E38:G39"/>
    <mergeCell ref="H38:H39"/>
    <mergeCell ref="A36:A37"/>
    <mergeCell ref="B36:B37"/>
    <mergeCell ref="C36:C37"/>
    <mergeCell ref="D36:D37"/>
    <mergeCell ref="E36:G37"/>
    <mergeCell ref="H36:H37"/>
    <mergeCell ref="A34:A35"/>
    <mergeCell ref="B34:B35"/>
    <mergeCell ref="C34:C35"/>
    <mergeCell ref="D34:D35"/>
    <mergeCell ref="E34:G35"/>
    <mergeCell ref="H34:H35"/>
    <mergeCell ref="A32:A33"/>
    <mergeCell ref="B32:B33"/>
    <mergeCell ref="C32:C33"/>
    <mergeCell ref="D32:D33"/>
    <mergeCell ref="E32:G33"/>
    <mergeCell ref="H32:H33"/>
    <mergeCell ref="A30:A31"/>
    <mergeCell ref="B30:B31"/>
    <mergeCell ref="C30:C31"/>
    <mergeCell ref="D30:D31"/>
    <mergeCell ref="E30:G31"/>
    <mergeCell ref="H30:H31"/>
    <mergeCell ref="A28:A29"/>
    <mergeCell ref="B28:B29"/>
    <mergeCell ref="C28:C29"/>
    <mergeCell ref="D28:D29"/>
    <mergeCell ref="E28:G29"/>
    <mergeCell ref="H28:H29"/>
    <mergeCell ref="A26:A27"/>
    <mergeCell ref="B26:B27"/>
    <mergeCell ref="C26:C27"/>
    <mergeCell ref="D26:D27"/>
    <mergeCell ref="E26:G27"/>
    <mergeCell ref="H26:H27"/>
    <mergeCell ref="A20:A21"/>
    <mergeCell ref="A18:A19"/>
    <mergeCell ref="B18:B19"/>
    <mergeCell ref="C18:C19"/>
    <mergeCell ref="D18:D19"/>
    <mergeCell ref="E18:G19"/>
    <mergeCell ref="H18:H19"/>
    <mergeCell ref="B20:H21"/>
    <mergeCell ref="A24:A25"/>
    <mergeCell ref="B24:B25"/>
    <mergeCell ref="C24:C25"/>
    <mergeCell ref="D24:D25"/>
    <mergeCell ref="E24:G25"/>
    <mergeCell ref="H24:H25"/>
    <mergeCell ref="A22:A23"/>
    <mergeCell ref="B22:B23"/>
    <mergeCell ref="C22:C23"/>
    <mergeCell ref="D22:D23"/>
    <mergeCell ref="E22:G23"/>
    <mergeCell ref="H22:H23"/>
    <mergeCell ref="A16:A17"/>
    <mergeCell ref="B16:B17"/>
    <mergeCell ref="C16:C17"/>
    <mergeCell ref="D16:D17"/>
    <mergeCell ref="E16:G17"/>
    <mergeCell ref="H16:H17"/>
    <mergeCell ref="A14:A15"/>
    <mergeCell ref="B14:B15"/>
    <mergeCell ref="C14:C15"/>
    <mergeCell ref="D14:D15"/>
    <mergeCell ref="E14:G15"/>
    <mergeCell ref="H14:H15"/>
    <mergeCell ref="A12:A13"/>
    <mergeCell ref="B12:B13"/>
    <mergeCell ref="C12:C13"/>
    <mergeCell ref="D12:D13"/>
    <mergeCell ref="E12:G13"/>
    <mergeCell ref="H12:H13"/>
    <mergeCell ref="A10:A11"/>
    <mergeCell ref="B10:B11"/>
    <mergeCell ref="C10:C11"/>
    <mergeCell ref="D10:D11"/>
    <mergeCell ref="E10:G11"/>
    <mergeCell ref="H10:H11"/>
    <mergeCell ref="A8:A9"/>
    <mergeCell ref="B8:B9"/>
    <mergeCell ref="C8:C9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A3:H3"/>
    <mergeCell ref="A4:A5"/>
    <mergeCell ref="B4:B5"/>
    <mergeCell ref="C4:C5"/>
    <mergeCell ref="D4:D5"/>
    <mergeCell ref="E4:G5"/>
    <mergeCell ref="H4:H5"/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</mergeCells>
  <phoneticPr fontId="1" type="noConversion"/>
  <pageMargins left="0" right="0" top="0" bottom="0" header="0" footer="0"/>
  <pageSetup paperSize="9" scale="3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242"/>
  <sheetViews>
    <sheetView showGridLines="0" zoomScale="115" zoomScaleNormal="115" workbookViewId="0">
      <pane xSplit="8" ySplit="2" topLeftCell="I111" activePane="bottomRight" state="frozen"/>
      <selection pane="topRight" activeCell="I1" sqref="I1"/>
      <selection pane="bottomLeft" activeCell="A3" sqref="A3"/>
      <selection pane="bottomRight" activeCell="D125" sqref="D109:D126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9" max="9" width="10.5" bestFit="1" customWidth="1"/>
    <col min="10" max="10" width="10.62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</cols>
  <sheetData>
    <row r="1" spans="1:18" ht="35.25" customHeight="1" thickBot="1">
      <c r="A1" s="388" t="s">
        <v>1991</v>
      </c>
      <c r="B1" s="389"/>
      <c r="C1" s="402" t="s">
        <v>27</v>
      </c>
      <c r="D1" s="403"/>
      <c r="E1" s="21" t="s">
        <v>26</v>
      </c>
      <c r="F1" s="20">
        <f>H1/6</f>
        <v>2000666.6666666667</v>
      </c>
      <c r="G1" s="21" t="s">
        <v>4</v>
      </c>
      <c r="H1" s="22">
        <f>SUM(D4:D242)</f>
        <v>12004000</v>
      </c>
      <c r="I1" s="392"/>
      <c r="J1" s="338"/>
      <c r="K1" s="394"/>
      <c r="L1" s="396"/>
      <c r="M1" s="377"/>
      <c r="N1" s="379"/>
      <c r="O1" s="381"/>
      <c r="P1" s="383"/>
      <c r="Q1" s="377"/>
      <c r="R1" s="376"/>
    </row>
    <row r="2" spans="1:18" ht="17.25" thickBot="1">
      <c r="A2" s="27" t="s">
        <v>0</v>
      </c>
      <c r="B2" s="28" t="s">
        <v>1</v>
      </c>
      <c r="C2" s="28" t="s">
        <v>2</v>
      </c>
      <c r="D2" s="29" t="s">
        <v>3</v>
      </c>
      <c r="E2" s="385" t="s">
        <v>25</v>
      </c>
      <c r="F2" s="386"/>
      <c r="G2" s="387"/>
      <c r="H2" s="25" t="s">
        <v>5</v>
      </c>
      <c r="I2" s="393"/>
      <c r="J2" s="333"/>
      <c r="K2" s="395"/>
      <c r="L2" s="397"/>
      <c r="M2" s="378"/>
      <c r="N2" s="380"/>
      <c r="O2" s="382"/>
      <c r="P2" s="384"/>
      <c r="Q2" s="378"/>
      <c r="R2" s="376"/>
    </row>
    <row r="3" spans="1:18" ht="36" customHeight="1">
      <c r="A3" s="441" t="s">
        <v>2004</v>
      </c>
      <c r="B3" s="442"/>
      <c r="C3" s="442"/>
      <c r="D3" s="442"/>
      <c r="E3" s="442"/>
      <c r="F3" s="442"/>
      <c r="G3" s="442"/>
      <c r="H3" s="443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322" t="s">
        <v>1993</v>
      </c>
      <c r="B4" s="444" t="s">
        <v>2007</v>
      </c>
      <c r="C4" s="325"/>
      <c r="D4" s="326">
        <v>308000</v>
      </c>
      <c r="E4" s="327">
        <v>620</v>
      </c>
      <c r="F4" s="328"/>
      <c r="G4" s="329"/>
      <c r="H4" s="398" t="s">
        <v>2034</v>
      </c>
      <c r="J4" s="42"/>
    </row>
    <row r="5" spans="1:18" ht="16.5" customHeight="1">
      <c r="A5" s="323"/>
      <c r="B5" s="445"/>
      <c r="C5" s="325"/>
      <c r="D5" s="326"/>
      <c r="E5" s="330"/>
      <c r="F5" s="331"/>
      <c r="G5" s="332"/>
      <c r="H5" s="399"/>
      <c r="J5" s="43"/>
    </row>
    <row r="6" spans="1:18" ht="16.5" customHeight="1">
      <c r="A6" s="322" t="s">
        <v>1994</v>
      </c>
      <c r="B6" s="439" t="s">
        <v>2001</v>
      </c>
      <c r="C6" s="341"/>
      <c r="D6" s="326">
        <v>445000</v>
      </c>
      <c r="E6" s="562" t="s">
        <v>2010</v>
      </c>
      <c r="F6" s="563"/>
      <c r="G6" s="564"/>
      <c r="H6" s="398" t="s">
        <v>2001</v>
      </c>
      <c r="J6" s="43"/>
    </row>
    <row r="7" spans="1:18" ht="16.5" customHeight="1">
      <c r="A7" s="323"/>
      <c r="B7" s="440"/>
      <c r="C7" s="352"/>
      <c r="D7" s="326"/>
      <c r="E7" s="565"/>
      <c r="F7" s="566"/>
      <c r="G7" s="567"/>
      <c r="H7" s="399"/>
      <c r="J7" s="43"/>
      <c r="K7">
        <v>2317000</v>
      </c>
    </row>
    <row r="8" spans="1:18" ht="16.5" customHeight="1">
      <c r="A8" s="322" t="s">
        <v>1995</v>
      </c>
      <c r="B8" s="439" t="s">
        <v>2002</v>
      </c>
      <c r="C8" s="353"/>
      <c r="D8" s="343">
        <v>100000</v>
      </c>
      <c r="E8" s="327" t="s">
        <v>2009</v>
      </c>
      <c r="F8" s="345"/>
      <c r="G8" s="346"/>
      <c r="H8" s="398" t="s">
        <v>2001</v>
      </c>
      <c r="J8" s="43"/>
    </row>
    <row r="9" spans="1:18" ht="24" customHeight="1">
      <c r="A9" s="323"/>
      <c r="B9" s="440"/>
      <c r="C9" s="352"/>
      <c r="D9" s="344"/>
      <c r="E9" s="347"/>
      <c r="F9" s="348"/>
      <c r="G9" s="349"/>
      <c r="H9" s="399"/>
    </row>
    <row r="10" spans="1:18" ht="16.5" customHeight="1">
      <c r="A10" s="322" t="s">
        <v>1996</v>
      </c>
      <c r="B10" s="444" t="s">
        <v>2003</v>
      </c>
      <c r="C10" s="324"/>
      <c r="D10" s="343">
        <v>145000</v>
      </c>
      <c r="E10" s="327" t="s">
        <v>2008</v>
      </c>
      <c r="F10" s="328"/>
      <c r="G10" s="329"/>
      <c r="H10" s="398" t="s">
        <v>2005</v>
      </c>
    </row>
    <row r="11" spans="1:18" ht="30.75" customHeight="1">
      <c r="A11" s="323"/>
      <c r="B11" s="445"/>
      <c r="C11" s="325"/>
      <c r="D11" s="344"/>
      <c r="E11" s="330"/>
      <c r="F11" s="331"/>
      <c r="G11" s="332"/>
      <c r="H11" s="399"/>
    </row>
    <row r="12" spans="1:18" ht="16.5" customHeight="1">
      <c r="A12" s="322"/>
      <c r="B12" s="657" t="s">
        <v>2075</v>
      </c>
      <c r="C12" s="491"/>
      <c r="D12" s="491"/>
      <c r="E12" s="491"/>
      <c r="F12" s="491"/>
      <c r="G12" s="491"/>
      <c r="H12" s="492"/>
    </row>
    <row r="13" spans="1:18" ht="39" customHeight="1">
      <c r="A13" s="323"/>
      <c r="B13" s="493"/>
      <c r="C13" s="494"/>
      <c r="D13" s="494"/>
      <c r="E13" s="494"/>
      <c r="F13" s="494"/>
      <c r="G13" s="494"/>
      <c r="H13" s="495"/>
    </row>
    <row r="14" spans="1:18" ht="16.5" customHeight="1">
      <c r="A14" s="322" t="s">
        <v>1998</v>
      </c>
      <c r="B14" s="439" t="s">
        <v>1999</v>
      </c>
      <c r="C14" s="341"/>
      <c r="D14" s="326">
        <v>94000</v>
      </c>
      <c r="E14" s="327" t="s">
        <v>2000</v>
      </c>
      <c r="F14" s="328"/>
      <c r="G14" s="329"/>
      <c r="H14" s="398" t="s">
        <v>2001</v>
      </c>
    </row>
    <row r="15" spans="1:18" ht="16.5" customHeight="1">
      <c r="A15" s="323"/>
      <c r="B15" s="440"/>
      <c r="C15" s="342"/>
      <c r="D15" s="326"/>
      <c r="E15" s="330"/>
      <c r="F15" s="331"/>
      <c r="G15" s="332"/>
      <c r="H15" s="399"/>
    </row>
    <row r="16" spans="1:18" ht="16.5" customHeight="1">
      <c r="A16" s="322" t="s">
        <v>2006</v>
      </c>
      <c r="B16" s="439" t="s">
        <v>2014</v>
      </c>
      <c r="C16" s="341"/>
      <c r="D16" s="343">
        <v>180000</v>
      </c>
      <c r="E16" s="327" t="s">
        <v>2031</v>
      </c>
      <c r="F16" s="345"/>
      <c r="G16" s="346"/>
      <c r="H16" s="398" t="s">
        <v>2013</v>
      </c>
    </row>
    <row r="17" spans="1:11" ht="16.5" customHeight="1">
      <c r="A17" s="323"/>
      <c r="B17" s="440"/>
      <c r="C17" s="342"/>
      <c r="D17" s="344"/>
      <c r="E17" s="347"/>
      <c r="F17" s="348"/>
      <c r="G17" s="349"/>
      <c r="H17" s="399"/>
    </row>
    <row r="18" spans="1:11" ht="16.5" customHeight="1">
      <c r="A18" s="322" t="s">
        <v>2006</v>
      </c>
      <c r="B18" s="439" t="s">
        <v>2012</v>
      </c>
      <c r="C18" s="341"/>
      <c r="D18" s="343">
        <v>150000</v>
      </c>
      <c r="E18" s="327" t="s">
        <v>2032</v>
      </c>
      <c r="F18" s="345"/>
      <c r="G18" s="346"/>
      <c r="H18" s="398" t="s">
        <v>2013</v>
      </c>
    </row>
    <row r="19" spans="1:11" ht="16.5" customHeight="1">
      <c r="A19" s="323"/>
      <c r="B19" s="440"/>
      <c r="C19" s="352"/>
      <c r="D19" s="344"/>
      <c r="E19" s="347"/>
      <c r="F19" s="348"/>
      <c r="G19" s="349"/>
      <c r="H19" s="399"/>
    </row>
    <row r="20" spans="1:11" ht="16.5" customHeight="1">
      <c r="A20" s="322" t="s">
        <v>1997</v>
      </c>
      <c r="B20" s="444" t="s">
        <v>2011</v>
      </c>
      <c r="C20" s="325"/>
      <c r="D20" s="326">
        <v>75000</v>
      </c>
      <c r="E20" s="327" t="s">
        <v>2030</v>
      </c>
      <c r="F20" s="328"/>
      <c r="G20" s="329"/>
      <c r="H20" s="398" t="s">
        <v>2001</v>
      </c>
    </row>
    <row r="21" spans="1:11" ht="16.5" customHeight="1">
      <c r="A21" s="323"/>
      <c r="B21" s="445"/>
      <c r="C21" s="325"/>
      <c r="D21" s="326"/>
      <c r="E21" s="330"/>
      <c r="F21" s="331"/>
      <c r="G21" s="332"/>
      <c r="H21" s="399"/>
    </row>
    <row r="22" spans="1:11" ht="16.5" customHeight="1">
      <c r="A22" s="322" t="s">
        <v>1997</v>
      </c>
      <c r="B22" s="439" t="s">
        <v>2026</v>
      </c>
      <c r="C22" s="324" t="s">
        <v>2024</v>
      </c>
      <c r="D22" s="326">
        <v>550000</v>
      </c>
      <c r="E22" s="327" t="s">
        <v>2025</v>
      </c>
      <c r="F22" s="328"/>
      <c r="G22" s="329"/>
      <c r="H22" s="398" t="s">
        <v>2001</v>
      </c>
      <c r="K22">
        <v>2161000</v>
      </c>
    </row>
    <row r="23" spans="1:11" ht="22.5" customHeight="1">
      <c r="A23" s="323"/>
      <c r="B23" s="440"/>
      <c r="C23" s="325"/>
      <c r="D23" s="326"/>
      <c r="E23" s="330"/>
      <c r="F23" s="331"/>
      <c r="G23" s="332"/>
      <c r="H23" s="399"/>
      <c r="K23" s="24"/>
    </row>
    <row r="24" spans="1:11" ht="16.5" customHeight="1">
      <c r="A24" s="322" t="s">
        <v>1997</v>
      </c>
      <c r="B24" s="444" t="s">
        <v>2028</v>
      </c>
      <c r="C24" s="341"/>
      <c r="D24" s="326">
        <v>110000</v>
      </c>
      <c r="E24" s="364" t="s">
        <v>2029</v>
      </c>
      <c r="F24" s="365"/>
      <c r="G24" s="366"/>
      <c r="H24" s="360" t="s">
        <v>2001</v>
      </c>
    </row>
    <row r="25" spans="1:11" ht="16.5" customHeight="1">
      <c r="A25" s="323"/>
      <c r="B25" s="445"/>
      <c r="C25" s="342"/>
      <c r="D25" s="326"/>
      <c r="E25" s="347"/>
      <c r="F25" s="348"/>
      <c r="G25" s="349"/>
      <c r="H25" s="359"/>
    </row>
    <row r="26" spans="1:11" ht="16.5" customHeight="1">
      <c r="A26" s="322" t="s">
        <v>1997</v>
      </c>
      <c r="B26" s="439" t="s">
        <v>2027</v>
      </c>
      <c r="C26" s="341"/>
      <c r="D26" s="326">
        <v>65000</v>
      </c>
      <c r="E26" s="327" t="s">
        <v>2033</v>
      </c>
      <c r="F26" s="345"/>
      <c r="G26" s="346"/>
      <c r="H26" s="360" t="s">
        <v>2016</v>
      </c>
    </row>
    <row r="27" spans="1:11" ht="16.5" customHeight="1">
      <c r="A27" s="323"/>
      <c r="B27" s="440"/>
      <c r="C27" s="342"/>
      <c r="D27" s="326"/>
      <c r="E27" s="347"/>
      <c r="F27" s="348"/>
      <c r="G27" s="349"/>
      <c r="H27" s="359"/>
    </row>
    <row r="28" spans="1:11" ht="16.5" customHeight="1">
      <c r="A28" s="322" t="s">
        <v>1997</v>
      </c>
      <c r="B28" s="444" t="s">
        <v>2022</v>
      </c>
      <c r="C28" s="341"/>
      <c r="D28" s="343">
        <v>12000</v>
      </c>
      <c r="E28" s="327" t="s">
        <v>2023</v>
      </c>
      <c r="F28" s="328"/>
      <c r="G28" s="329"/>
      <c r="H28" s="360" t="s">
        <v>2015</v>
      </c>
      <c r="K28" s="24"/>
    </row>
    <row r="29" spans="1:11" ht="16.5" customHeight="1">
      <c r="A29" s="323"/>
      <c r="B29" s="445"/>
      <c r="C29" s="342"/>
      <c r="D29" s="344"/>
      <c r="E29" s="330"/>
      <c r="F29" s="331"/>
      <c r="G29" s="332"/>
      <c r="H29" s="359"/>
      <c r="K29" s="24"/>
    </row>
    <row r="30" spans="1:11" ht="16.5" customHeight="1">
      <c r="A30" s="335" t="s">
        <v>2017</v>
      </c>
      <c r="B30" s="444" t="s">
        <v>2020</v>
      </c>
      <c r="C30" s="341" t="s">
        <v>2021</v>
      </c>
      <c r="D30" s="326">
        <v>260000</v>
      </c>
      <c r="E30" s="337" t="s">
        <v>2019</v>
      </c>
      <c r="F30" s="326"/>
      <c r="G30" s="326"/>
      <c r="H30" s="360" t="s">
        <v>2018</v>
      </c>
      <c r="I30" s="4"/>
    </row>
    <row r="31" spans="1:11" ht="16.5" customHeight="1">
      <c r="A31" s="336"/>
      <c r="B31" s="445"/>
      <c r="C31" s="342"/>
      <c r="D31" s="326"/>
      <c r="E31" s="326"/>
      <c r="F31" s="326"/>
      <c r="G31" s="326"/>
      <c r="H31" s="359"/>
    </row>
    <row r="32" spans="1:11" ht="16.5" customHeight="1">
      <c r="A32" s="335" t="s">
        <v>2035</v>
      </c>
      <c r="B32" s="444" t="s">
        <v>2036</v>
      </c>
      <c r="C32" s="341"/>
      <c r="D32" s="326">
        <v>120000</v>
      </c>
      <c r="E32" s="327" t="s">
        <v>2037</v>
      </c>
      <c r="F32" s="345"/>
      <c r="G32" s="346"/>
      <c r="H32" s="360" t="s">
        <v>2040</v>
      </c>
    </row>
    <row r="33" spans="1:10" ht="16.5" customHeight="1">
      <c r="A33" s="336"/>
      <c r="B33" s="445"/>
      <c r="C33" s="342"/>
      <c r="D33" s="326"/>
      <c r="E33" s="347"/>
      <c r="F33" s="348"/>
      <c r="G33" s="349"/>
      <c r="H33" s="359"/>
    </row>
    <row r="34" spans="1:10" ht="16.5" customHeight="1">
      <c r="A34" s="322" t="s">
        <v>2038</v>
      </c>
      <c r="B34" s="439" t="s">
        <v>2041</v>
      </c>
      <c r="C34" s="341"/>
      <c r="D34" s="326">
        <v>310000</v>
      </c>
      <c r="E34" s="327" t="s">
        <v>2042</v>
      </c>
      <c r="F34" s="328"/>
      <c r="G34" s="329"/>
      <c r="H34" s="360" t="s">
        <v>2040</v>
      </c>
    </row>
    <row r="35" spans="1:10" ht="16.5" customHeight="1">
      <c r="A35" s="323"/>
      <c r="B35" s="440"/>
      <c r="C35" s="342"/>
      <c r="D35" s="326"/>
      <c r="E35" s="330"/>
      <c r="F35" s="331"/>
      <c r="G35" s="332"/>
      <c r="H35" s="359"/>
    </row>
    <row r="36" spans="1:10" ht="16.5" customHeight="1">
      <c r="A36" s="322" t="s">
        <v>2038</v>
      </c>
      <c r="B36" s="444" t="s">
        <v>2039</v>
      </c>
      <c r="C36" s="324"/>
      <c r="D36" s="326">
        <v>220000</v>
      </c>
      <c r="E36" s="327" t="s">
        <v>2043</v>
      </c>
      <c r="F36" s="328"/>
      <c r="G36" s="329"/>
      <c r="H36" s="360" t="s">
        <v>2044</v>
      </c>
    </row>
    <row r="37" spans="1:10" ht="16.5" customHeight="1">
      <c r="A37" s="323"/>
      <c r="B37" s="445"/>
      <c r="C37" s="325"/>
      <c r="D37" s="326"/>
      <c r="E37" s="330"/>
      <c r="F37" s="331"/>
      <c r="G37" s="332"/>
      <c r="H37" s="359"/>
    </row>
    <row r="38" spans="1:10" ht="16.5" customHeight="1">
      <c r="A38" s="322" t="s">
        <v>2045</v>
      </c>
      <c r="B38" s="444" t="s">
        <v>2046</v>
      </c>
      <c r="C38" s="341"/>
      <c r="D38" s="326">
        <v>300000</v>
      </c>
      <c r="E38" s="327" t="s">
        <v>2051</v>
      </c>
      <c r="F38" s="328"/>
      <c r="G38" s="329"/>
      <c r="H38" s="360" t="s">
        <v>2052</v>
      </c>
    </row>
    <row r="39" spans="1:10" ht="16.5" customHeight="1">
      <c r="A39" s="323"/>
      <c r="B39" s="445"/>
      <c r="C39" s="342"/>
      <c r="D39" s="326"/>
      <c r="E39" s="330"/>
      <c r="F39" s="331"/>
      <c r="G39" s="332"/>
      <c r="H39" s="359"/>
    </row>
    <row r="40" spans="1:10" ht="16.5" customHeight="1">
      <c r="A40" s="322" t="s">
        <v>2045</v>
      </c>
      <c r="B40" s="496" t="s">
        <v>2047</v>
      </c>
      <c r="C40" s="324" t="s">
        <v>2105</v>
      </c>
      <c r="D40" s="326">
        <v>150000</v>
      </c>
      <c r="E40" s="327" t="s">
        <v>2053</v>
      </c>
      <c r="F40" s="328"/>
      <c r="G40" s="329"/>
      <c r="H40" s="360" t="s">
        <v>2054</v>
      </c>
    </row>
    <row r="41" spans="1:10" ht="35.25" customHeight="1">
      <c r="A41" s="323"/>
      <c r="B41" s="497"/>
      <c r="C41" s="325"/>
      <c r="D41" s="326"/>
      <c r="E41" s="330"/>
      <c r="F41" s="331"/>
      <c r="G41" s="332"/>
      <c r="H41" s="359"/>
    </row>
    <row r="42" spans="1:10" ht="16.5" customHeight="1">
      <c r="A42" s="322" t="s">
        <v>2049</v>
      </c>
      <c r="B42" s="496" t="s">
        <v>2050</v>
      </c>
      <c r="C42" s="341"/>
      <c r="D42" s="326">
        <v>135000</v>
      </c>
      <c r="E42" s="327" t="s">
        <v>2059</v>
      </c>
      <c r="F42" s="345"/>
      <c r="G42" s="346"/>
      <c r="H42" s="360" t="s">
        <v>2048</v>
      </c>
    </row>
    <row r="43" spans="1:10" ht="16.5" customHeight="1">
      <c r="A43" s="322"/>
      <c r="B43" s="496"/>
      <c r="C43" s="361"/>
      <c r="D43" s="326"/>
      <c r="E43" s="364"/>
      <c r="F43" s="365"/>
      <c r="G43" s="366"/>
      <c r="H43" s="360"/>
    </row>
    <row r="44" spans="1:10" ht="16.5" customHeight="1">
      <c r="A44" s="323"/>
      <c r="B44" s="497"/>
      <c r="C44" s="352"/>
      <c r="D44" s="326"/>
      <c r="E44" s="347"/>
      <c r="F44" s="348"/>
      <c r="G44" s="349"/>
      <c r="H44" s="359"/>
    </row>
    <row r="45" spans="1:10" ht="16.5" customHeight="1">
      <c r="A45" s="322" t="s">
        <v>2055</v>
      </c>
      <c r="B45" s="496" t="s">
        <v>2056</v>
      </c>
      <c r="C45" s="324" t="s">
        <v>2103</v>
      </c>
      <c r="D45" s="326">
        <v>210000</v>
      </c>
      <c r="E45" s="327" t="s">
        <v>2057</v>
      </c>
      <c r="F45" s="328"/>
      <c r="G45" s="329"/>
      <c r="H45" s="360" t="s">
        <v>2058</v>
      </c>
      <c r="J45" s="57">
        <v>639200</v>
      </c>
    </row>
    <row r="46" spans="1:10" ht="16.5" customHeight="1">
      <c r="A46" s="323"/>
      <c r="B46" s="497"/>
      <c r="C46" s="325"/>
      <c r="D46" s="326"/>
      <c r="E46" s="330"/>
      <c r="F46" s="331"/>
      <c r="G46" s="332"/>
      <c r="H46" s="359"/>
      <c r="J46" s="57">
        <v>554400</v>
      </c>
    </row>
    <row r="47" spans="1:10" ht="16.5" customHeight="1">
      <c r="A47" s="335" t="s">
        <v>2061</v>
      </c>
      <c r="B47" s="596" t="s">
        <v>2062</v>
      </c>
      <c r="C47" s="341" t="s">
        <v>2104</v>
      </c>
      <c r="D47" s="343">
        <v>189000</v>
      </c>
      <c r="E47" s="327" t="s">
        <v>2064</v>
      </c>
      <c r="F47" s="345"/>
      <c r="G47" s="346"/>
      <c r="H47" s="400" t="s">
        <v>2063</v>
      </c>
    </row>
    <row r="48" spans="1:10" ht="16.5" customHeight="1">
      <c r="A48" s="336"/>
      <c r="B48" s="597"/>
      <c r="C48" s="342"/>
      <c r="D48" s="344"/>
      <c r="E48" s="347"/>
      <c r="F48" s="348"/>
      <c r="G48" s="349"/>
      <c r="H48" s="401"/>
    </row>
    <row r="49" spans="1:12" ht="16.5" customHeight="1">
      <c r="A49" s="335" t="s">
        <v>2060</v>
      </c>
      <c r="B49" s="596" t="s">
        <v>2067</v>
      </c>
      <c r="C49" s="341"/>
      <c r="D49" s="343">
        <v>2200000</v>
      </c>
      <c r="E49" s="327" t="s">
        <v>2101</v>
      </c>
      <c r="F49" s="345"/>
      <c r="G49" s="346"/>
      <c r="H49" s="400" t="s">
        <v>2102</v>
      </c>
    </row>
    <row r="50" spans="1:12" ht="59.25" customHeight="1">
      <c r="A50" s="336"/>
      <c r="B50" s="597"/>
      <c r="C50" s="342"/>
      <c r="D50" s="344"/>
      <c r="E50" s="347"/>
      <c r="F50" s="348"/>
      <c r="G50" s="349"/>
      <c r="H50" s="401"/>
    </row>
    <row r="51" spans="1:12" ht="16.5" customHeight="1">
      <c r="A51" s="335" t="s">
        <v>2065</v>
      </c>
      <c r="B51" s="596" t="s">
        <v>2066</v>
      </c>
      <c r="C51" s="341"/>
      <c r="D51" s="343">
        <v>130000</v>
      </c>
      <c r="E51" s="327" t="s">
        <v>2068</v>
      </c>
      <c r="F51" s="345"/>
      <c r="G51" s="346"/>
      <c r="H51" s="400" t="s">
        <v>2069</v>
      </c>
    </row>
    <row r="52" spans="1:12" ht="16.5" customHeight="1">
      <c r="A52" s="336"/>
      <c r="B52" s="597"/>
      <c r="C52" s="342"/>
      <c r="D52" s="344"/>
      <c r="E52" s="347"/>
      <c r="F52" s="348"/>
      <c r="G52" s="349"/>
      <c r="H52" s="401"/>
    </row>
    <row r="53" spans="1:12" ht="67.5" customHeight="1">
      <c r="A53" s="58"/>
      <c r="B53" s="654" t="s">
        <v>2113</v>
      </c>
      <c r="C53" s="655"/>
      <c r="D53" s="655"/>
      <c r="E53" s="655"/>
      <c r="F53" s="655"/>
      <c r="G53" s="655"/>
      <c r="H53" s="656"/>
    </row>
    <row r="54" spans="1:12" ht="16.5" customHeight="1">
      <c r="A54" s="335" t="s">
        <v>2070</v>
      </c>
      <c r="B54" s="596" t="s">
        <v>2071</v>
      </c>
      <c r="C54" s="341"/>
      <c r="D54" s="343">
        <v>67000</v>
      </c>
      <c r="E54" s="327"/>
      <c r="F54" s="345"/>
      <c r="G54" s="346"/>
      <c r="H54" s="398" t="s">
        <v>2073</v>
      </c>
      <c r="J54">
        <v>175</v>
      </c>
      <c r="K54">
        <v>80</v>
      </c>
    </row>
    <row r="55" spans="1:12" ht="35.25" customHeight="1">
      <c r="A55" s="336"/>
      <c r="B55" s="597"/>
      <c r="C55" s="342"/>
      <c r="D55" s="344"/>
      <c r="E55" s="347"/>
      <c r="F55" s="348"/>
      <c r="G55" s="349"/>
      <c r="H55" s="399"/>
    </row>
    <row r="56" spans="1:12" ht="16.5" customHeight="1">
      <c r="A56" s="335" t="s">
        <v>2070</v>
      </c>
      <c r="B56" s="496" t="s">
        <v>2072</v>
      </c>
      <c r="C56" s="325" t="s">
        <v>2098</v>
      </c>
      <c r="D56" s="326">
        <v>140000</v>
      </c>
      <c r="E56" s="327" t="s">
        <v>2099</v>
      </c>
      <c r="F56" s="328"/>
      <c r="G56" s="329"/>
      <c r="H56" s="359" t="s">
        <v>2074</v>
      </c>
    </row>
    <row r="57" spans="1:12" ht="18.75" customHeight="1">
      <c r="A57" s="336"/>
      <c r="B57" s="497"/>
      <c r="C57" s="325"/>
      <c r="D57" s="326"/>
      <c r="E57" s="330"/>
      <c r="F57" s="331"/>
      <c r="G57" s="332"/>
      <c r="H57" s="359"/>
    </row>
    <row r="58" spans="1:12" ht="16.5" customHeight="1">
      <c r="A58" s="322" t="s">
        <v>2076</v>
      </c>
      <c r="B58" s="496" t="s">
        <v>2077</v>
      </c>
      <c r="C58" s="325" t="s">
        <v>2096</v>
      </c>
      <c r="D58" s="326">
        <v>260000</v>
      </c>
      <c r="E58" s="327" t="s">
        <v>2097</v>
      </c>
      <c r="F58" s="328"/>
      <c r="G58" s="329"/>
      <c r="H58" s="359" t="s">
        <v>2078</v>
      </c>
      <c r="L58" s="23"/>
    </row>
    <row r="59" spans="1:12" ht="27" customHeight="1">
      <c r="A59" s="323"/>
      <c r="B59" s="497"/>
      <c r="C59" s="325"/>
      <c r="D59" s="326"/>
      <c r="E59" s="330"/>
      <c r="F59" s="331"/>
      <c r="G59" s="332"/>
      <c r="H59" s="359"/>
    </row>
    <row r="60" spans="1:12" ht="16.5" customHeight="1">
      <c r="A60" s="322" t="s">
        <v>2076</v>
      </c>
      <c r="B60" s="496" t="s">
        <v>2081</v>
      </c>
      <c r="C60" s="325"/>
      <c r="D60" s="326">
        <v>105000</v>
      </c>
      <c r="E60" s="327" t="s">
        <v>2100</v>
      </c>
      <c r="F60" s="328"/>
      <c r="G60" s="329"/>
      <c r="H60" s="359" t="s">
        <v>2078</v>
      </c>
    </row>
    <row r="61" spans="1:12" ht="24.75" customHeight="1">
      <c r="A61" s="323"/>
      <c r="B61" s="497"/>
      <c r="C61" s="325"/>
      <c r="D61" s="326"/>
      <c r="E61" s="330"/>
      <c r="F61" s="331"/>
      <c r="G61" s="332"/>
      <c r="H61" s="359"/>
    </row>
    <row r="62" spans="1:12" ht="16.5" customHeight="1">
      <c r="A62" s="322" t="s">
        <v>2076</v>
      </c>
      <c r="B62" s="496" t="s">
        <v>2079</v>
      </c>
      <c r="C62" s="325"/>
      <c r="D62" s="326">
        <v>80000</v>
      </c>
      <c r="E62" s="327"/>
      <c r="F62" s="328"/>
      <c r="G62" s="329"/>
      <c r="H62" s="360" t="s">
        <v>2080</v>
      </c>
    </row>
    <row r="63" spans="1:12" ht="16.5" customHeight="1">
      <c r="A63" s="323"/>
      <c r="B63" s="497"/>
      <c r="C63" s="325"/>
      <c r="D63" s="326"/>
      <c r="E63" s="330"/>
      <c r="F63" s="331"/>
      <c r="G63" s="332"/>
      <c r="H63" s="359"/>
    </row>
    <row r="64" spans="1:12" ht="16.5" customHeight="1">
      <c r="A64" s="322" t="s">
        <v>2083</v>
      </c>
      <c r="B64" s="496" t="s">
        <v>2084</v>
      </c>
      <c r="C64" s="341"/>
      <c r="D64" s="343">
        <v>100000</v>
      </c>
      <c r="E64" s="327" t="s">
        <v>2085</v>
      </c>
      <c r="F64" s="345"/>
      <c r="G64" s="346"/>
      <c r="H64" s="360" t="s">
        <v>2082</v>
      </c>
    </row>
    <row r="65" spans="1:11" ht="16.5" customHeight="1">
      <c r="A65" s="323"/>
      <c r="B65" s="497"/>
      <c r="C65" s="352"/>
      <c r="D65" s="344"/>
      <c r="E65" s="347"/>
      <c r="F65" s="348"/>
      <c r="G65" s="349"/>
      <c r="H65" s="359"/>
    </row>
    <row r="66" spans="1:11" ht="16.5" customHeight="1">
      <c r="A66" s="322" t="s">
        <v>2087</v>
      </c>
      <c r="B66" s="496" t="s">
        <v>2088</v>
      </c>
      <c r="C66" s="324"/>
      <c r="D66" s="326">
        <v>25000</v>
      </c>
      <c r="E66" s="327"/>
      <c r="F66" s="328"/>
      <c r="G66" s="329"/>
      <c r="H66" s="360" t="s">
        <v>2086</v>
      </c>
    </row>
    <row r="67" spans="1:11" ht="16.5" customHeight="1">
      <c r="A67" s="323"/>
      <c r="B67" s="497"/>
      <c r="C67" s="325"/>
      <c r="D67" s="326"/>
      <c r="E67" s="330"/>
      <c r="F67" s="331"/>
      <c r="G67" s="332"/>
      <c r="H67" s="359"/>
    </row>
    <row r="68" spans="1:11" ht="16.5" customHeight="1">
      <c r="A68" s="322" t="s">
        <v>2089</v>
      </c>
      <c r="B68" s="496" t="s">
        <v>2093</v>
      </c>
      <c r="C68" s="324" t="s">
        <v>2094</v>
      </c>
      <c r="D68" s="343">
        <v>418000</v>
      </c>
      <c r="E68" s="327" t="s">
        <v>2095</v>
      </c>
      <c r="F68" s="328"/>
      <c r="G68" s="329"/>
      <c r="H68" s="360" t="s">
        <v>2091</v>
      </c>
    </row>
    <row r="69" spans="1:11" ht="36.75" customHeight="1">
      <c r="A69" s="323"/>
      <c r="B69" s="497"/>
      <c r="C69" s="325"/>
      <c r="D69" s="344"/>
      <c r="E69" s="330"/>
      <c r="F69" s="331"/>
      <c r="G69" s="332"/>
      <c r="H69" s="359"/>
    </row>
    <row r="70" spans="1:11">
      <c r="A70" s="322" t="s">
        <v>2090</v>
      </c>
      <c r="B70" s="498" t="s">
        <v>2106</v>
      </c>
      <c r="C70" s="325"/>
      <c r="D70" s="343">
        <v>120000</v>
      </c>
      <c r="E70" s="337"/>
      <c r="F70" s="326"/>
      <c r="G70" s="326"/>
      <c r="H70" s="359" t="s">
        <v>2092</v>
      </c>
    </row>
    <row r="71" spans="1:11" ht="32.25" customHeight="1">
      <c r="A71" s="323"/>
      <c r="B71" s="499"/>
      <c r="C71" s="325"/>
      <c r="D71" s="344"/>
      <c r="E71" s="326"/>
      <c r="F71" s="326"/>
      <c r="G71" s="326"/>
      <c r="H71" s="359"/>
    </row>
    <row r="72" spans="1:11">
      <c r="A72" s="322" t="s">
        <v>2107</v>
      </c>
      <c r="B72" s="498" t="s">
        <v>2108</v>
      </c>
      <c r="C72" s="324"/>
      <c r="D72" s="343">
        <v>25000</v>
      </c>
      <c r="E72" s="337"/>
      <c r="F72" s="326"/>
      <c r="G72" s="326"/>
      <c r="H72" s="359" t="s">
        <v>2109</v>
      </c>
    </row>
    <row r="73" spans="1:11">
      <c r="A73" s="323"/>
      <c r="B73" s="499"/>
      <c r="C73" s="325"/>
      <c r="D73" s="344"/>
      <c r="E73" s="326"/>
      <c r="F73" s="326"/>
      <c r="G73" s="326"/>
      <c r="H73" s="359"/>
    </row>
    <row r="74" spans="1:11">
      <c r="A74" s="322" t="s">
        <v>2111</v>
      </c>
      <c r="B74" s="498" t="s">
        <v>2110</v>
      </c>
      <c r="C74" s="324"/>
      <c r="D74" s="326">
        <v>50000</v>
      </c>
      <c r="E74" s="337"/>
      <c r="F74" s="326"/>
      <c r="G74" s="326"/>
      <c r="H74" s="360" t="s">
        <v>2112</v>
      </c>
    </row>
    <row r="75" spans="1:11">
      <c r="A75" s="323"/>
      <c r="B75" s="499"/>
      <c r="C75" s="325"/>
      <c r="D75" s="326"/>
      <c r="E75" s="326"/>
      <c r="F75" s="326"/>
      <c r="G75" s="326"/>
      <c r="H75" s="359"/>
    </row>
    <row r="76" spans="1:11">
      <c r="A76" s="322"/>
      <c r="B76" s="523" t="s">
        <v>2155</v>
      </c>
      <c r="C76" s="524"/>
      <c r="D76" s="524"/>
      <c r="E76" s="524"/>
      <c r="F76" s="524"/>
      <c r="G76" s="524"/>
      <c r="H76" s="525"/>
    </row>
    <row r="77" spans="1:11">
      <c r="A77" s="323"/>
      <c r="B77" s="651"/>
      <c r="C77" s="652"/>
      <c r="D77" s="652"/>
      <c r="E77" s="652"/>
      <c r="F77" s="652"/>
      <c r="G77" s="652"/>
      <c r="H77" s="653"/>
    </row>
    <row r="78" spans="1:11" ht="16.5" customHeight="1">
      <c r="A78" s="322"/>
      <c r="B78" s="651"/>
      <c r="C78" s="652"/>
      <c r="D78" s="652"/>
      <c r="E78" s="652"/>
      <c r="F78" s="652"/>
      <c r="G78" s="652"/>
      <c r="H78" s="653"/>
      <c r="K78">
        <v>465000</v>
      </c>
    </row>
    <row r="79" spans="1:11">
      <c r="A79" s="323"/>
      <c r="B79" s="526"/>
      <c r="C79" s="527"/>
      <c r="D79" s="527"/>
      <c r="E79" s="527"/>
      <c r="F79" s="527"/>
      <c r="G79" s="527"/>
      <c r="H79" s="528"/>
      <c r="K79">
        <v>410000</v>
      </c>
    </row>
    <row r="80" spans="1:11" ht="16.5" customHeight="1">
      <c r="A80" s="322" t="s">
        <v>2114</v>
      </c>
      <c r="B80" s="500" t="s">
        <v>2115</v>
      </c>
      <c r="C80" s="353"/>
      <c r="D80" s="343">
        <v>60000</v>
      </c>
      <c r="E80" s="327"/>
      <c r="F80" s="345"/>
      <c r="G80" s="346"/>
      <c r="H80" s="359" t="s">
        <v>2117</v>
      </c>
    </row>
    <row r="81" spans="1:10">
      <c r="A81" s="323"/>
      <c r="B81" s="501"/>
      <c r="C81" s="352"/>
      <c r="D81" s="344"/>
      <c r="E81" s="347"/>
      <c r="F81" s="348"/>
      <c r="G81" s="349"/>
      <c r="H81" s="359"/>
    </row>
    <row r="82" spans="1:10">
      <c r="A82" s="322" t="s">
        <v>2114</v>
      </c>
      <c r="B82" s="500" t="s">
        <v>2116</v>
      </c>
      <c r="C82" s="341"/>
      <c r="D82" s="343">
        <v>260000</v>
      </c>
      <c r="E82" s="337"/>
      <c r="F82" s="326"/>
      <c r="G82" s="326"/>
      <c r="H82" s="359" t="s">
        <v>2117</v>
      </c>
    </row>
    <row r="83" spans="1:10">
      <c r="A83" s="323"/>
      <c r="B83" s="501"/>
      <c r="C83" s="342"/>
      <c r="D83" s="344"/>
      <c r="E83" s="326"/>
      <c r="F83" s="326"/>
      <c r="G83" s="326"/>
      <c r="H83" s="359"/>
    </row>
    <row r="84" spans="1:10">
      <c r="A84" s="322" t="s">
        <v>2118</v>
      </c>
      <c r="B84" s="498" t="s">
        <v>2119</v>
      </c>
      <c r="C84" s="341"/>
      <c r="D84" s="343">
        <v>30000</v>
      </c>
      <c r="E84" s="327"/>
      <c r="F84" s="328"/>
      <c r="G84" s="329"/>
      <c r="H84" s="359" t="s">
        <v>2120</v>
      </c>
    </row>
    <row r="85" spans="1:10">
      <c r="A85" s="323"/>
      <c r="B85" s="499"/>
      <c r="C85" s="342"/>
      <c r="D85" s="344"/>
      <c r="E85" s="330"/>
      <c r="F85" s="331"/>
      <c r="G85" s="332"/>
      <c r="H85" s="359"/>
    </row>
    <row r="86" spans="1:10">
      <c r="A86" s="322" t="s">
        <v>2121</v>
      </c>
      <c r="B86" s="498" t="s">
        <v>2122</v>
      </c>
      <c r="C86" s="325"/>
      <c r="D86" s="326">
        <v>80000</v>
      </c>
      <c r="E86" s="337"/>
      <c r="F86" s="326"/>
      <c r="G86" s="326"/>
      <c r="H86" s="359" t="s">
        <v>2123</v>
      </c>
    </row>
    <row r="87" spans="1:10">
      <c r="A87" s="323"/>
      <c r="B87" s="499"/>
      <c r="C87" s="325"/>
      <c r="D87" s="326"/>
      <c r="E87" s="326"/>
      <c r="F87" s="326"/>
      <c r="G87" s="326"/>
      <c r="H87" s="359"/>
    </row>
    <row r="88" spans="1:10">
      <c r="A88" s="322" t="s">
        <v>2124</v>
      </c>
      <c r="B88" s="498" t="s">
        <v>2126</v>
      </c>
      <c r="C88" s="325"/>
      <c r="D88" s="326">
        <v>40000</v>
      </c>
      <c r="E88" s="337" t="s">
        <v>2150</v>
      </c>
      <c r="F88" s="326"/>
      <c r="G88" s="326"/>
      <c r="H88" s="360" t="s">
        <v>2125</v>
      </c>
      <c r="J88">
        <v>335000</v>
      </c>
    </row>
    <row r="89" spans="1:10">
      <c r="A89" s="323"/>
      <c r="B89" s="499"/>
      <c r="C89" s="325"/>
      <c r="D89" s="326"/>
      <c r="E89" s="326"/>
      <c r="F89" s="326"/>
      <c r="G89" s="326"/>
      <c r="H89" s="359"/>
      <c r="J89">
        <v>275000</v>
      </c>
    </row>
    <row r="90" spans="1:10">
      <c r="A90" s="322" t="s">
        <v>2124</v>
      </c>
      <c r="B90" s="498" t="s">
        <v>2127</v>
      </c>
      <c r="C90" s="324" t="s">
        <v>2186</v>
      </c>
      <c r="D90" s="326">
        <v>110000</v>
      </c>
      <c r="E90" s="327" t="s">
        <v>2128</v>
      </c>
      <c r="F90" s="328"/>
      <c r="G90" s="329"/>
      <c r="H90" s="359" t="s">
        <v>2129</v>
      </c>
    </row>
    <row r="91" spans="1:10">
      <c r="A91" s="323"/>
      <c r="B91" s="499"/>
      <c r="C91" s="325"/>
      <c r="D91" s="326"/>
      <c r="E91" s="330"/>
      <c r="F91" s="331"/>
      <c r="G91" s="332"/>
      <c r="H91" s="359"/>
    </row>
    <row r="92" spans="1:10">
      <c r="A92" s="322" t="s">
        <v>2130</v>
      </c>
      <c r="B92" s="498" t="s">
        <v>2143</v>
      </c>
      <c r="C92" s="324" t="s">
        <v>2185</v>
      </c>
      <c r="D92" s="326">
        <v>350000</v>
      </c>
      <c r="E92" s="337" t="s">
        <v>2149</v>
      </c>
      <c r="F92" s="326"/>
      <c r="G92" s="326"/>
      <c r="H92" s="359" t="s">
        <v>2141</v>
      </c>
    </row>
    <row r="93" spans="1:10" ht="15.75" customHeight="1">
      <c r="A93" s="323"/>
      <c r="B93" s="499"/>
      <c r="C93" s="325"/>
      <c r="D93" s="326"/>
      <c r="E93" s="326"/>
      <c r="F93" s="326"/>
      <c r="G93" s="326"/>
      <c r="H93" s="359"/>
    </row>
    <row r="94" spans="1:10" ht="35.25" customHeight="1">
      <c r="A94" s="54" t="s">
        <v>2131</v>
      </c>
      <c r="B94" s="51" t="s">
        <v>2142</v>
      </c>
      <c r="C94" s="55" t="s">
        <v>2184</v>
      </c>
      <c r="D94" s="56">
        <v>280000</v>
      </c>
      <c r="E94" s="650" t="s">
        <v>2148</v>
      </c>
      <c r="F94" s="628"/>
      <c r="G94" s="629"/>
      <c r="H94" s="52" t="s">
        <v>2141</v>
      </c>
      <c r="J94" t="s">
        <v>1981</v>
      </c>
    </row>
    <row r="95" spans="1:10">
      <c r="A95" s="322" t="s">
        <v>2132</v>
      </c>
      <c r="B95" s="478" t="s">
        <v>2134</v>
      </c>
      <c r="C95" s="325"/>
      <c r="D95" s="326">
        <v>38000</v>
      </c>
      <c r="E95" s="337" t="s">
        <v>2147</v>
      </c>
      <c r="F95" s="326"/>
      <c r="G95" s="326"/>
      <c r="H95" s="359" t="s">
        <v>2135</v>
      </c>
    </row>
    <row r="96" spans="1:10">
      <c r="A96" s="323"/>
      <c r="B96" s="479"/>
      <c r="C96" s="325"/>
      <c r="D96" s="326"/>
      <c r="E96" s="326"/>
      <c r="F96" s="326"/>
      <c r="G96" s="326"/>
      <c r="H96" s="359"/>
    </row>
    <row r="97" spans="1:9" ht="16.5" customHeight="1">
      <c r="A97" s="322" t="s">
        <v>2132</v>
      </c>
      <c r="B97" s="324" t="s">
        <v>2133</v>
      </c>
      <c r="C97" s="324"/>
      <c r="D97" s="326">
        <v>68000</v>
      </c>
      <c r="E97" s="337" t="s">
        <v>2145</v>
      </c>
      <c r="F97" s="326"/>
      <c r="G97" s="326"/>
      <c r="H97" s="360" t="s">
        <v>2141</v>
      </c>
    </row>
    <row r="98" spans="1:9">
      <c r="A98" s="323"/>
      <c r="B98" s="325"/>
      <c r="C98" s="325"/>
      <c r="D98" s="326"/>
      <c r="E98" s="326"/>
      <c r="F98" s="326"/>
      <c r="G98" s="326"/>
      <c r="H98" s="359"/>
    </row>
    <row r="99" spans="1:9">
      <c r="A99" s="322" t="s">
        <v>2136</v>
      </c>
      <c r="B99" s="324" t="s">
        <v>2137</v>
      </c>
      <c r="C99" s="325" t="s">
        <v>2183</v>
      </c>
      <c r="D99" s="326">
        <v>260000</v>
      </c>
      <c r="E99" s="337" t="s">
        <v>2144</v>
      </c>
      <c r="F99" s="326"/>
      <c r="G99" s="326"/>
      <c r="H99" s="359" t="s">
        <v>2141</v>
      </c>
    </row>
    <row r="100" spans="1:9">
      <c r="A100" s="323"/>
      <c r="B100" s="325"/>
      <c r="C100" s="325"/>
      <c r="D100" s="326"/>
      <c r="E100" s="326"/>
      <c r="F100" s="326"/>
      <c r="G100" s="326"/>
      <c r="H100" s="359"/>
    </row>
    <row r="101" spans="1:9">
      <c r="A101" s="322" t="s">
        <v>2139</v>
      </c>
      <c r="B101" s="324" t="s">
        <v>2138</v>
      </c>
      <c r="C101" s="324"/>
      <c r="D101" s="326">
        <v>110000</v>
      </c>
      <c r="E101" s="337" t="s">
        <v>2146</v>
      </c>
      <c r="F101" s="326"/>
      <c r="G101" s="326"/>
      <c r="H101" s="360" t="s">
        <v>2140</v>
      </c>
    </row>
    <row r="102" spans="1:9">
      <c r="A102" s="323"/>
      <c r="B102" s="325"/>
      <c r="C102" s="325"/>
      <c r="D102" s="326"/>
      <c r="E102" s="326"/>
      <c r="F102" s="326"/>
      <c r="G102" s="326"/>
      <c r="H102" s="359"/>
    </row>
    <row r="103" spans="1:9">
      <c r="A103" s="322" t="s">
        <v>2136</v>
      </c>
      <c r="B103" s="324" t="s">
        <v>2138</v>
      </c>
      <c r="C103" s="325"/>
      <c r="D103" s="326">
        <v>114000</v>
      </c>
      <c r="E103" s="337" t="s">
        <v>2152</v>
      </c>
      <c r="F103" s="326"/>
      <c r="G103" s="326"/>
      <c r="H103" s="360" t="s">
        <v>2151</v>
      </c>
    </row>
    <row r="104" spans="1:9">
      <c r="A104" s="323"/>
      <c r="B104" s="325"/>
      <c r="C104" s="325"/>
      <c r="D104" s="326"/>
      <c r="E104" s="326"/>
      <c r="F104" s="326"/>
      <c r="G104" s="326"/>
      <c r="H104" s="359"/>
    </row>
    <row r="105" spans="1:9">
      <c r="A105" s="323" t="s">
        <v>2136</v>
      </c>
      <c r="B105" s="324" t="s">
        <v>2153</v>
      </c>
      <c r="C105" s="325" t="s">
        <v>2182</v>
      </c>
      <c r="D105" s="326">
        <v>85000</v>
      </c>
      <c r="E105" s="337" t="s">
        <v>2154</v>
      </c>
      <c r="F105" s="326"/>
      <c r="G105" s="326"/>
      <c r="H105" s="359" t="s">
        <v>2140</v>
      </c>
    </row>
    <row r="106" spans="1:9">
      <c r="A106" s="323"/>
      <c r="B106" s="325"/>
      <c r="C106" s="325"/>
      <c r="D106" s="326"/>
      <c r="E106" s="326"/>
      <c r="F106" s="326"/>
      <c r="G106" s="326"/>
      <c r="H106" s="359"/>
    </row>
    <row r="107" spans="1:9">
      <c r="A107" s="323"/>
      <c r="B107" s="644"/>
      <c r="C107" s="645"/>
      <c r="D107" s="645"/>
      <c r="E107" s="645"/>
      <c r="F107" s="645"/>
      <c r="G107" s="645"/>
      <c r="H107" s="646"/>
    </row>
    <row r="108" spans="1:9" ht="59.25" customHeight="1">
      <c r="A108" s="323"/>
      <c r="B108" s="647"/>
      <c r="C108" s="648"/>
      <c r="D108" s="648"/>
      <c r="E108" s="648"/>
      <c r="F108" s="648"/>
      <c r="G108" s="648"/>
      <c r="H108" s="649"/>
    </row>
    <row r="109" spans="1:9" ht="16.5" customHeight="1">
      <c r="A109" s="322" t="s">
        <v>2156</v>
      </c>
      <c r="B109" s="324" t="s">
        <v>2160</v>
      </c>
      <c r="C109" s="325" t="s">
        <v>2179</v>
      </c>
      <c r="D109" s="326">
        <v>400000</v>
      </c>
      <c r="E109" s="337" t="s">
        <v>2175</v>
      </c>
      <c r="F109" s="326"/>
      <c r="G109" s="326"/>
      <c r="H109" s="359" t="s">
        <v>2169</v>
      </c>
      <c r="I109">
        <v>12004000</v>
      </c>
    </row>
    <row r="110" spans="1:9">
      <c r="A110" s="323"/>
      <c r="B110" s="325"/>
      <c r="C110" s="325"/>
      <c r="D110" s="326"/>
      <c r="E110" s="326"/>
      <c r="F110" s="326"/>
      <c r="G110" s="326"/>
      <c r="H110" s="359"/>
    </row>
    <row r="111" spans="1:9">
      <c r="A111" s="322" t="s">
        <v>2156</v>
      </c>
      <c r="B111" s="324" t="s">
        <v>2161</v>
      </c>
      <c r="C111" s="325"/>
      <c r="D111" s="326">
        <v>120000</v>
      </c>
      <c r="E111" s="337" t="s">
        <v>2174</v>
      </c>
      <c r="F111" s="326"/>
      <c r="G111" s="326"/>
      <c r="H111" s="359" t="s">
        <v>2170</v>
      </c>
    </row>
    <row r="112" spans="1:9">
      <c r="A112" s="323"/>
      <c r="B112" s="325"/>
      <c r="C112" s="325"/>
      <c r="D112" s="326"/>
      <c r="E112" s="326"/>
      <c r="F112" s="326"/>
      <c r="G112" s="326"/>
      <c r="H112" s="359"/>
    </row>
    <row r="113" spans="1:8">
      <c r="A113" s="322" t="s">
        <v>2156</v>
      </c>
      <c r="B113" s="325" t="s">
        <v>2180</v>
      </c>
      <c r="C113" s="325" t="s">
        <v>2181</v>
      </c>
      <c r="D113" s="326">
        <v>600000</v>
      </c>
      <c r="E113" s="337" t="s">
        <v>2173</v>
      </c>
      <c r="F113" s="326"/>
      <c r="G113" s="326"/>
      <c r="H113" s="359" t="s">
        <v>2168</v>
      </c>
    </row>
    <row r="114" spans="1:8">
      <c r="A114" s="323"/>
      <c r="B114" s="325"/>
      <c r="C114" s="325"/>
      <c r="D114" s="326"/>
      <c r="E114" s="326"/>
      <c r="F114" s="326"/>
      <c r="G114" s="326"/>
      <c r="H114" s="359"/>
    </row>
    <row r="115" spans="1:8">
      <c r="A115" s="322" t="s">
        <v>2158</v>
      </c>
      <c r="B115" s="325" t="s">
        <v>2162</v>
      </c>
      <c r="C115" s="325"/>
      <c r="D115" s="326">
        <v>21000</v>
      </c>
      <c r="E115" s="337" t="s">
        <v>2157</v>
      </c>
      <c r="F115" s="326"/>
      <c r="G115" s="326"/>
      <c r="H115" s="359" t="s">
        <v>2167</v>
      </c>
    </row>
    <row r="116" spans="1:8">
      <c r="A116" s="323"/>
      <c r="B116" s="325"/>
      <c r="C116" s="325"/>
      <c r="D116" s="326"/>
      <c r="E116" s="326"/>
      <c r="F116" s="326"/>
      <c r="G116" s="326"/>
      <c r="H116" s="359"/>
    </row>
    <row r="117" spans="1:8">
      <c r="A117" s="322" t="s">
        <v>2159</v>
      </c>
      <c r="B117" s="325" t="s">
        <v>2163</v>
      </c>
      <c r="C117" s="325" t="s">
        <v>2178</v>
      </c>
      <c r="D117" s="326">
        <v>430000</v>
      </c>
      <c r="E117" s="337" t="s">
        <v>2165</v>
      </c>
      <c r="F117" s="326"/>
      <c r="G117" s="326"/>
      <c r="H117" s="359" t="s">
        <v>2166</v>
      </c>
    </row>
    <row r="118" spans="1:8">
      <c r="A118" s="323"/>
      <c r="B118" s="325"/>
      <c r="C118" s="325"/>
      <c r="D118" s="326"/>
      <c r="E118" s="326"/>
      <c r="F118" s="326"/>
      <c r="G118" s="326"/>
      <c r="H118" s="359"/>
    </row>
    <row r="119" spans="1:8">
      <c r="A119" s="322" t="s">
        <v>2159</v>
      </c>
      <c r="B119" s="324" t="s">
        <v>2164</v>
      </c>
      <c r="C119" s="325" t="s">
        <v>2177</v>
      </c>
      <c r="D119" s="326">
        <v>220000</v>
      </c>
      <c r="E119" s="337" t="s">
        <v>2172</v>
      </c>
      <c r="F119" s="326"/>
      <c r="G119" s="326"/>
      <c r="H119" s="359" t="s">
        <v>2171</v>
      </c>
    </row>
    <row r="120" spans="1:8">
      <c r="A120" s="323"/>
      <c r="B120" s="325"/>
      <c r="C120" s="325"/>
      <c r="D120" s="326"/>
      <c r="E120" s="326"/>
      <c r="F120" s="326"/>
      <c r="G120" s="326"/>
      <c r="H120" s="359"/>
    </row>
    <row r="121" spans="1:8">
      <c r="A121" s="322" t="s">
        <v>2176</v>
      </c>
      <c r="B121" s="324"/>
      <c r="C121" s="325"/>
      <c r="D121" s="326">
        <v>370000</v>
      </c>
      <c r="E121" s="337"/>
      <c r="F121" s="326"/>
      <c r="G121" s="326"/>
      <c r="H121" s="338"/>
    </row>
    <row r="122" spans="1:8" s="30" customFormat="1">
      <c r="A122" s="323"/>
      <c r="B122" s="325"/>
      <c r="C122" s="325"/>
      <c r="D122" s="326"/>
      <c r="E122" s="326"/>
      <c r="F122" s="326"/>
      <c r="G122" s="326"/>
      <c r="H122" s="333"/>
    </row>
    <row r="123" spans="1:8">
      <c r="A123" s="322" t="s">
        <v>2176</v>
      </c>
      <c r="B123" s="325"/>
      <c r="C123" s="325"/>
      <c r="D123" s="326">
        <v>90000</v>
      </c>
      <c r="E123" s="337"/>
      <c r="F123" s="326"/>
      <c r="G123" s="326"/>
      <c r="H123" s="333"/>
    </row>
    <row r="124" spans="1:8">
      <c r="A124" s="323"/>
      <c r="B124" s="325"/>
      <c r="C124" s="325"/>
      <c r="D124" s="326"/>
      <c r="E124" s="326"/>
      <c r="F124" s="326"/>
      <c r="G124" s="326"/>
      <c r="H124" s="333"/>
    </row>
    <row r="125" spans="1:8">
      <c r="A125" s="322" t="s">
        <v>2176</v>
      </c>
      <c r="B125" s="324"/>
      <c r="C125" s="325"/>
      <c r="D125" s="326">
        <v>20000</v>
      </c>
      <c r="E125" s="337"/>
      <c r="F125" s="326"/>
      <c r="G125" s="326"/>
      <c r="H125" s="333"/>
    </row>
    <row r="126" spans="1:8">
      <c r="A126" s="323"/>
      <c r="B126" s="325"/>
      <c r="C126" s="325"/>
      <c r="D126" s="326"/>
      <c r="E126" s="326"/>
      <c r="F126" s="326"/>
      <c r="G126" s="326"/>
      <c r="H126" s="333"/>
    </row>
    <row r="127" spans="1:8">
      <c r="A127" s="323"/>
      <c r="B127" s="472" t="s">
        <v>3325</v>
      </c>
      <c r="C127" s="473"/>
      <c r="D127" s="473"/>
      <c r="E127" s="473"/>
      <c r="F127" s="473"/>
      <c r="G127" s="473"/>
      <c r="H127" s="642"/>
    </row>
    <row r="128" spans="1:8" s="30" customFormat="1" ht="33" customHeight="1">
      <c r="A128" s="323"/>
      <c r="B128" s="475"/>
      <c r="C128" s="476"/>
      <c r="D128" s="476"/>
      <c r="E128" s="476"/>
      <c r="F128" s="476"/>
      <c r="G128" s="476"/>
      <c r="H128" s="643"/>
    </row>
    <row r="129" spans="1:8">
      <c r="A129" s="323"/>
      <c r="B129" s="324"/>
      <c r="C129" s="325"/>
      <c r="D129" s="326"/>
      <c r="E129" s="337"/>
      <c r="F129" s="326"/>
      <c r="G129" s="326"/>
      <c r="H129" s="338"/>
    </row>
    <row r="130" spans="1:8">
      <c r="A130" s="323"/>
      <c r="B130" s="325"/>
      <c r="C130" s="325"/>
      <c r="D130" s="326"/>
      <c r="E130" s="326"/>
      <c r="F130" s="326"/>
      <c r="G130" s="326"/>
      <c r="H130" s="333"/>
    </row>
    <row r="131" spans="1:8">
      <c r="A131" s="322"/>
      <c r="B131" s="324"/>
      <c r="C131" s="325"/>
      <c r="D131" s="326"/>
      <c r="E131" s="337"/>
      <c r="F131" s="326"/>
      <c r="G131" s="326"/>
      <c r="H131" s="333"/>
    </row>
    <row r="132" spans="1:8">
      <c r="A132" s="323"/>
      <c r="B132" s="325"/>
      <c r="C132" s="325"/>
      <c r="D132" s="326"/>
      <c r="E132" s="326"/>
      <c r="F132" s="326"/>
      <c r="G132" s="326"/>
      <c r="H132" s="333"/>
    </row>
    <row r="133" spans="1:8">
      <c r="A133" s="323"/>
      <c r="B133" s="324"/>
      <c r="C133" s="325"/>
      <c r="D133" s="326"/>
      <c r="E133" s="337"/>
      <c r="F133" s="326"/>
      <c r="G133" s="326"/>
      <c r="H133" s="333"/>
    </row>
    <row r="134" spans="1:8">
      <c r="A134" s="323"/>
      <c r="B134" s="325"/>
      <c r="C134" s="325"/>
      <c r="D134" s="326"/>
      <c r="E134" s="326"/>
      <c r="F134" s="326"/>
      <c r="G134" s="326"/>
      <c r="H134" s="333"/>
    </row>
    <row r="135" spans="1:8">
      <c r="A135" s="322"/>
      <c r="B135" s="324"/>
      <c r="C135" s="325"/>
      <c r="D135" s="326"/>
      <c r="E135" s="326"/>
      <c r="F135" s="326"/>
      <c r="G135" s="326"/>
      <c r="H135" s="333"/>
    </row>
    <row r="136" spans="1:8">
      <c r="A136" s="323"/>
      <c r="B136" s="325"/>
      <c r="C136" s="325"/>
      <c r="D136" s="326"/>
      <c r="E136" s="326"/>
      <c r="F136" s="326"/>
      <c r="G136" s="326"/>
      <c r="H136" s="333"/>
    </row>
    <row r="137" spans="1:8">
      <c r="A137" s="322"/>
      <c r="B137" s="324"/>
      <c r="C137" s="325"/>
      <c r="D137" s="326"/>
      <c r="E137" s="337"/>
      <c r="F137" s="326"/>
      <c r="G137" s="326"/>
      <c r="H137" s="338"/>
    </row>
    <row r="138" spans="1:8" s="30" customFormat="1">
      <c r="A138" s="323"/>
      <c r="B138" s="325"/>
      <c r="C138" s="325"/>
      <c r="D138" s="326"/>
      <c r="E138" s="326"/>
      <c r="F138" s="326"/>
      <c r="G138" s="326"/>
      <c r="H138" s="333"/>
    </row>
    <row r="139" spans="1:8">
      <c r="A139" s="323"/>
      <c r="B139" s="325"/>
      <c r="C139" s="325"/>
      <c r="D139" s="326"/>
      <c r="E139" s="337"/>
      <c r="F139" s="326"/>
      <c r="G139" s="326"/>
      <c r="H139" s="338"/>
    </row>
    <row r="140" spans="1:8">
      <c r="A140" s="323"/>
      <c r="B140" s="325"/>
      <c r="C140" s="325"/>
      <c r="D140" s="326"/>
      <c r="E140" s="326"/>
      <c r="F140" s="326"/>
      <c r="G140" s="326"/>
      <c r="H140" s="333"/>
    </row>
    <row r="141" spans="1:8">
      <c r="A141" s="322"/>
      <c r="B141" s="324"/>
      <c r="C141" s="325"/>
      <c r="D141" s="326"/>
      <c r="E141" s="337"/>
      <c r="F141" s="326"/>
      <c r="G141" s="326"/>
      <c r="H141" s="333"/>
    </row>
    <row r="142" spans="1:8">
      <c r="A142" s="323"/>
      <c r="B142" s="325"/>
      <c r="C142" s="325"/>
      <c r="D142" s="326"/>
      <c r="E142" s="326"/>
      <c r="F142" s="326"/>
      <c r="G142" s="326"/>
      <c r="H142" s="333"/>
    </row>
    <row r="143" spans="1:8">
      <c r="A143" s="322"/>
      <c r="B143" s="324"/>
      <c r="C143" s="325"/>
      <c r="D143" s="326"/>
      <c r="E143" s="337"/>
      <c r="F143" s="326"/>
      <c r="G143" s="326"/>
      <c r="H143" s="338"/>
    </row>
    <row r="144" spans="1:8" s="30" customFormat="1">
      <c r="A144" s="323"/>
      <c r="B144" s="325"/>
      <c r="C144" s="325"/>
      <c r="D144" s="326"/>
      <c r="E144" s="326"/>
      <c r="F144" s="326"/>
      <c r="G144" s="326"/>
      <c r="H144" s="333"/>
    </row>
    <row r="145" spans="1:8">
      <c r="A145" s="323"/>
      <c r="B145" s="324"/>
      <c r="C145" s="325"/>
      <c r="D145" s="326"/>
      <c r="E145" s="337"/>
      <c r="F145" s="326"/>
      <c r="G145" s="326"/>
      <c r="H145" s="338"/>
    </row>
    <row r="146" spans="1:8">
      <c r="A146" s="323"/>
      <c r="B146" s="325"/>
      <c r="C146" s="325"/>
      <c r="D146" s="326"/>
      <c r="E146" s="326"/>
      <c r="F146" s="326"/>
      <c r="G146" s="326"/>
      <c r="H146" s="333"/>
    </row>
    <row r="147" spans="1:8">
      <c r="A147" s="323"/>
      <c r="B147" s="325"/>
      <c r="C147" s="325"/>
      <c r="D147" s="326"/>
      <c r="E147" s="326"/>
      <c r="F147" s="326"/>
      <c r="G147" s="326"/>
      <c r="H147" s="338"/>
    </row>
    <row r="148" spans="1:8">
      <c r="A148" s="323"/>
      <c r="B148" s="325"/>
      <c r="C148" s="325"/>
      <c r="D148" s="326"/>
      <c r="E148" s="326"/>
      <c r="F148" s="326"/>
      <c r="G148" s="326"/>
      <c r="H148" s="333"/>
    </row>
    <row r="149" spans="1:8">
      <c r="A149" s="322"/>
      <c r="B149" s="325"/>
      <c r="C149" s="325"/>
      <c r="D149" s="326"/>
      <c r="E149" s="337"/>
      <c r="F149" s="326"/>
      <c r="G149" s="326"/>
      <c r="H149" s="338"/>
    </row>
    <row r="150" spans="1:8" s="30" customFormat="1">
      <c r="A150" s="323"/>
      <c r="B150" s="325"/>
      <c r="C150" s="325"/>
      <c r="D150" s="326"/>
      <c r="E150" s="326"/>
      <c r="F150" s="326"/>
      <c r="G150" s="326"/>
      <c r="H150" s="333"/>
    </row>
    <row r="151" spans="1:8">
      <c r="A151" s="322"/>
      <c r="B151" s="325"/>
      <c r="C151" s="325"/>
      <c r="D151" s="326"/>
      <c r="E151" s="337"/>
      <c r="F151" s="326"/>
      <c r="G151" s="326"/>
      <c r="H151" s="338"/>
    </row>
    <row r="152" spans="1:8">
      <c r="A152" s="323"/>
      <c r="B152" s="325"/>
      <c r="C152" s="325"/>
      <c r="D152" s="326"/>
      <c r="E152" s="326"/>
      <c r="F152" s="326"/>
      <c r="G152" s="326"/>
      <c r="H152" s="333"/>
    </row>
    <row r="153" spans="1:8">
      <c r="A153" s="323"/>
      <c r="B153" s="324"/>
      <c r="C153" s="325"/>
      <c r="D153" s="326"/>
      <c r="E153" s="337"/>
      <c r="F153" s="326"/>
      <c r="G153" s="326"/>
      <c r="H153" s="338"/>
    </row>
    <row r="154" spans="1:8">
      <c r="A154" s="323"/>
      <c r="B154" s="325"/>
      <c r="C154" s="325"/>
      <c r="D154" s="326"/>
      <c r="E154" s="326"/>
      <c r="F154" s="326"/>
      <c r="G154" s="326"/>
      <c r="H154" s="333"/>
    </row>
    <row r="155" spans="1:8" ht="16.5" customHeight="1">
      <c r="A155" s="322"/>
      <c r="B155" s="324"/>
      <c r="C155" s="324"/>
      <c r="D155" s="326"/>
      <c r="E155" s="327"/>
      <c r="F155" s="328"/>
      <c r="G155" s="329"/>
      <c r="H155" s="338"/>
    </row>
    <row r="156" spans="1:8" ht="16.5" customHeight="1">
      <c r="A156" s="323"/>
      <c r="B156" s="325"/>
      <c r="C156" s="325"/>
      <c r="D156" s="326"/>
      <c r="E156" s="330"/>
      <c r="F156" s="331"/>
      <c r="G156" s="332"/>
      <c r="H156" s="333"/>
    </row>
    <row r="157" spans="1:8" ht="16.5" customHeight="1">
      <c r="A157" s="322"/>
      <c r="B157" s="324"/>
      <c r="C157" s="325"/>
      <c r="D157" s="326"/>
      <c r="E157" s="326"/>
      <c r="F157" s="326"/>
      <c r="G157" s="326"/>
      <c r="H157" s="338"/>
    </row>
    <row r="158" spans="1:8" ht="16.5" customHeight="1">
      <c r="A158" s="323"/>
      <c r="B158" s="325"/>
      <c r="C158" s="325"/>
      <c r="D158" s="326"/>
      <c r="E158" s="326"/>
      <c r="F158" s="326"/>
      <c r="G158" s="326"/>
      <c r="H158" s="333"/>
    </row>
    <row r="159" spans="1:8" ht="16.5" customHeight="1">
      <c r="A159" s="336"/>
      <c r="B159" s="324"/>
      <c r="C159" s="324"/>
      <c r="D159" s="326"/>
      <c r="E159" s="327"/>
      <c r="F159" s="328"/>
      <c r="G159" s="329"/>
      <c r="H159" s="350"/>
    </row>
    <row r="160" spans="1:8" ht="16.5" customHeight="1">
      <c r="A160" s="323"/>
      <c r="B160" s="325"/>
      <c r="C160" s="325"/>
      <c r="D160" s="326"/>
      <c r="E160" s="330"/>
      <c r="F160" s="331"/>
      <c r="G160" s="332"/>
      <c r="H160" s="351"/>
    </row>
    <row r="161" spans="1:8" ht="16.5" customHeight="1">
      <c r="A161" s="322"/>
      <c r="B161" s="324"/>
      <c r="C161" s="325"/>
      <c r="D161" s="326"/>
      <c r="E161" s="337"/>
      <c r="F161" s="326"/>
      <c r="G161" s="326"/>
      <c r="H161" s="338"/>
    </row>
    <row r="162" spans="1:8" ht="16.5" customHeight="1">
      <c r="A162" s="323"/>
      <c r="B162" s="325"/>
      <c r="C162" s="325"/>
      <c r="D162" s="326"/>
      <c r="E162" s="326"/>
      <c r="F162" s="326"/>
      <c r="G162" s="326"/>
      <c r="H162" s="333"/>
    </row>
    <row r="163" spans="1:8" ht="16.5" customHeight="1">
      <c r="A163" s="335"/>
      <c r="B163" s="324"/>
      <c r="C163" s="341"/>
      <c r="D163" s="343"/>
      <c r="E163" s="327"/>
      <c r="F163" s="345"/>
      <c r="G163" s="346"/>
      <c r="H163" s="333"/>
    </row>
    <row r="164" spans="1:8" ht="16.5" customHeight="1">
      <c r="A164" s="336"/>
      <c r="B164" s="325"/>
      <c r="C164" s="342"/>
      <c r="D164" s="344"/>
      <c r="E164" s="347"/>
      <c r="F164" s="348"/>
      <c r="G164" s="349"/>
      <c r="H164" s="333"/>
    </row>
    <row r="165" spans="1:8" ht="16.5" customHeight="1">
      <c r="A165" s="322"/>
      <c r="B165" s="324"/>
      <c r="C165" s="325"/>
      <c r="D165" s="326"/>
      <c r="E165" s="327"/>
      <c r="F165" s="328"/>
      <c r="G165" s="329"/>
      <c r="H165" s="333"/>
    </row>
    <row r="166" spans="1:8" ht="16.5" customHeight="1">
      <c r="A166" s="323"/>
      <c r="B166" s="325"/>
      <c r="C166" s="325"/>
      <c r="D166" s="326"/>
      <c r="E166" s="330"/>
      <c r="F166" s="331"/>
      <c r="G166" s="332"/>
      <c r="H166" s="333"/>
    </row>
    <row r="167" spans="1:8" ht="16.5" customHeight="1">
      <c r="A167" s="322"/>
      <c r="B167" s="324"/>
      <c r="C167" s="324"/>
      <c r="D167" s="326"/>
      <c r="E167" s="327"/>
      <c r="F167" s="328"/>
      <c r="G167" s="329"/>
      <c r="H167" s="333"/>
    </row>
    <row r="168" spans="1:8" ht="16.5" customHeight="1">
      <c r="A168" s="323"/>
      <c r="B168" s="325"/>
      <c r="C168" s="325"/>
      <c r="D168" s="326"/>
      <c r="E168" s="330"/>
      <c r="F168" s="331"/>
      <c r="G168" s="332"/>
      <c r="H168" s="333"/>
    </row>
    <row r="169" spans="1:8" ht="16.5" customHeight="1">
      <c r="A169" s="322"/>
      <c r="B169" s="324"/>
      <c r="C169" s="325"/>
      <c r="D169" s="326"/>
      <c r="E169" s="327"/>
      <c r="F169" s="328"/>
      <c r="G169" s="329"/>
      <c r="H169" s="333"/>
    </row>
    <row r="170" spans="1:8" ht="16.5" customHeight="1">
      <c r="A170" s="323"/>
      <c r="B170" s="325"/>
      <c r="C170" s="325"/>
      <c r="D170" s="326"/>
      <c r="E170" s="330"/>
      <c r="F170" s="331"/>
      <c r="G170" s="332"/>
      <c r="H170" s="333"/>
    </row>
    <row r="171" spans="1:8" ht="16.5" customHeight="1">
      <c r="A171" s="322"/>
      <c r="B171" s="324"/>
      <c r="C171" s="325"/>
      <c r="D171" s="326"/>
      <c r="E171" s="327"/>
      <c r="F171" s="328"/>
      <c r="G171" s="329"/>
      <c r="H171" s="333"/>
    </row>
    <row r="172" spans="1:8" ht="17.25" customHeight="1">
      <c r="A172" s="323"/>
      <c r="B172" s="325"/>
      <c r="C172" s="325"/>
      <c r="D172" s="326"/>
      <c r="E172" s="330"/>
      <c r="F172" s="331"/>
      <c r="G172" s="332"/>
      <c r="H172" s="333"/>
    </row>
    <row r="173" spans="1:8" ht="16.5" customHeight="1">
      <c r="A173" s="322"/>
      <c r="B173" s="324"/>
      <c r="C173" s="325"/>
      <c r="D173" s="326"/>
      <c r="E173" s="327"/>
      <c r="F173" s="328"/>
      <c r="G173" s="329"/>
      <c r="H173" s="333"/>
    </row>
    <row r="174" spans="1:8" ht="16.5" customHeight="1">
      <c r="A174" s="323"/>
      <c r="B174" s="325"/>
      <c r="C174" s="325"/>
      <c r="D174" s="326"/>
      <c r="E174" s="330"/>
      <c r="F174" s="331"/>
      <c r="G174" s="332"/>
      <c r="H174" s="333"/>
    </row>
    <row r="175" spans="1:8" ht="16.5" customHeight="1">
      <c r="A175" s="322"/>
      <c r="B175" s="324"/>
      <c r="C175" s="324"/>
      <c r="D175" s="326"/>
      <c r="E175" s="327"/>
      <c r="F175" s="328"/>
      <c r="G175" s="329"/>
      <c r="H175" s="333"/>
    </row>
    <row r="176" spans="1:8" ht="16.5" customHeight="1">
      <c r="A176" s="323"/>
      <c r="B176" s="325"/>
      <c r="C176" s="325"/>
      <c r="D176" s="326"/>
      <c r="E176" s="330"/>
      <c r="F176" s="331"/>
      <c r="G176" s="332"/>
      <c r="H176" s="333"/>
    </row>
    <row r="177" spans="1:11" ht="16.5" customHeight="1">
      <c r="A177" s="322"/>
      <c r="B177" s="324"/>
      <c r="C177" s="324"/>
      <c r="D177" s="326"/>
      <c r="E177" s="327"/>
      <c r="F177" s="328"/>
      <c r="G177" s="329"/>
      <c r="H177" s="333"/>
    </row>
    <row r="178" spans="1:11" ht="16.5" customHeight="1">
      <c r="A178" s="323"/>
      <c r="B178" s="325"/>
      <c r="C178" s="325"/>
      <c r="D178" s="326"/>
      <c r="E178" s="330"/>
      <c r="F178" s="331"/>
      <c r="G178" s="332"/>
      <c r="H178" s="333"/>
    </row>
    <row r="179" spans="1:11" ht="16.5" customHeight="1">
      <c r="A179" s="322"/>
      <c r="B179" s="324"/>
      <c r="C179" s="325"/>
      <c r="D179" s="326"/>
      <c r="E179" s="337"/>
      <c r="F179" s="326"/>
      <c r="G179" s="326"/>
      <c r="H179" s="333"/>
    </row>
    <row r="180" spans="1:11" ht="16.5" customHeight="1">
      <c r="A180" s="323"/>
      <c r="B180" s="325"/>
      <c r="C180" s="325"/>
      <c r="D180" s="326"/>
      <c r="E180" s="326"/>
      <c r="F180" s="326"/>
      <c r="G180" s="326"/>
      <c r="H180" s="333"/>
    </row>
    <row r="181" spans="1:11" ht="16.5" customHeight="1">
      <c r="A181" s="322"/>
      <c r="B181" s="324"/>
      <c r="C181" s="324"/>
      <c r="D181" s="326"/>
      <c r="E181" s="337"/>
      <c r="F181" s="326"/>
      <c r="G181" s="326"/>
      <c r="H181" s="333"/>
    </row>
    <row r="182" spans="1:11" ht="16.5" customHeight="1">
      <c r="A182" s="323"/>
      <c r="B182" s="325"/>
      <c r="C182" s="325"/>
      <c r="D182" s="326"/>
      <c r="E182" s="326"/>
      <c r="F182" s="326"/>
      <c r="G182" s="326"/>
      <c r="H182" s="333"/>
    </row>
    <row r="183" spans="1:11" ht="16.5" customHeight="1">
      <c r="A183" s="339"/>
      <c r="B183" s="324"/>
      <c r="C183" s="324"/>
      <c r="D183" s="326"/>
      <c r="E183" s="327"/>
      <c r="F183" s="328"/>
      <c r="G183" s="329"/>
      <c r="H183" s="333"/>
    </row>
    <row r="184" spans="1:11" ht="16.5" customHeight="1">
      <c r="A184" s="340"/>
      <c r="B184" s="325"/>
      <c r="C184" s="325"/>
      <c r="D184" s="326"/>
      <c r="E184" s="330"/>
      <c r="F184" s="331"/>
      <c r="G184" s="332"/>
      <c r="H184" s="333"/>
    </row>
    <row r="185" spans="1:11" ht="16.5" customHeight="1">
      <c r="A185" s="322"/>
      <c r="B185" s="324"/>
      <c r="C185" s="324"/>
      <c r="D185" s="326"/>
      <c r="E185" s="327"/>
      <c r="F185" s="328"/>
      <c r="G185" s="329"/>
      <c r="H185" s="333"/>
    </row>
    <row r="186" spans="1:11" ht="16.5" customHeight="1">
      <c r="A186" s="323"/>
      <c r="B186" s="325"/>
      <c r="C186" s="325"/>
      <c r="D186" s="326"/>
      <c r="E186" s="330"/>
      <c r="F186" s="331"/>
      <c r="G186" s="332"/>
      <c r="H186" s="333"/>
      <c r="K186" s="24"/>
    </row>
    <row r="187" spans="1:11" ht="16.5" customHeight="1">
      <c r="A187" s="322"/>
      <c r="B187" s="324"/>
      <c r="C187" s="324"/>
      <c r="D187" s="326"/>
      <c r="E187" s="327"/>
      <c r="F187" s="328"/>
      <c r="G187" s="329"/>
      <c r="H187" s="338"/>
    </row>
    <row r="188" spans="1:11" ht="16.5" customHeight="1">
      <c r="A188" s="323"/>
      <c r="B188" s="325"/>
      <c r="C188" s="325"/>
      <c r="D188" s="326"/>
      <c r="E188" s="330"/>
      <c r="F188" s="331"/>
      <c r="G188" s="332"/>
      <c r="H188" s="333"/>
      <c r="K188" s="24"/>
    </row>
    <row r="189" spans="1:11" ht="16.5" customHeight="1">
      <c r="A189" s="322"/>
      <c r="B189" s="324"/>
      <c r="C189" s="324"/>
      <c r="D189" s="326"/>
      <c r="E189" s="327"/>
      <c r="F189" s="328"/>
      <c r="G189" s="329"/>
      <c r="H189" s="333"/>
      <c r="K189" s="24"/>
    </row>
    <row r="190" spans="1:11" ht="16.5" customHeight="1">
      <c r="A190" s="323"/>
      <c r="B190" s="325"/>
      <c r="C190" s="325"/>
      <c r="D190" s="326"/>
      <c r="E190" s="330"/>
      <c r="F190" s="331"/>
      <c r="G190" s="332"/>
      <c r="H190" s="333"/>
      <c r="K190" s="24"/>
    </row>
    <row r="191" spans="1:11" ht="16.5" customHeight="1">
      <c r="A191" s="322"/>
      <c r="B191" s="324"/>
      <c r="C191" s="325"/>
      <c r="D191" s="326"/>
      <c r="E191" s="337"/>
      <c r="F191" s="326"/>
      <c r="G191" s="326"/>
      <c r="H191" s="333"/>
      <c r="K191" s="24"/>
    </row>
    <row r="192" spans="1:11" ht="16.5" customHeight="1">
      <c r="A192" s="323"/>
      <c r="B192" s="325"/>
      <c r="C192" s="325"/>
      <c r="D192" s="326"/>
      <c r="E192" s="326"/>
      <c r="F192" s="326"/>
      <c r="G192" s="326"/>
      <c r="H192" s="333"/>
      <c r="K192" s="24"/>
    </row>
    <row r="193" spans="1:11" ht="16.5" customHeight="1">
      <c r="A193" s="322"/>
      <c r="B193" s="324"/>
      <c r="C193" s="325"/>
      <c r="D193" s="326"/>
      <c r="E193" s="327"/>
      <c r="F193" s="328"/>
      <c r="G193" s="329"/>
      <c r="H193" s="338"/>
      <c r="I193" s="4"/>
    </row>
    <row r="194" spans="1:11" ht="16.5" customHeight="1">
      <c r="A194" s="323"/>
      <c r="B194" s="325"/>
      <c r="C194" s="325"/>
      <c r="D194" s="326"/>
      <c r="E194" s="330"/>
      <c r="F194" s="331"/>
      <c r="G194" s="332"/>
      <c r="H194" s="333"/>
    </row>
    <row r="195" spans="1:11" ht="16.5" customHeight="1">
      <c r="A195" s="322"/>
      <c r="B195" s="324"/>
      <c r="C195" s="325"/>
      <c r="D195" s="326"/>
      <c r="E195" s="327"/>
      <c r="F195" s="328"/>
      <c r="G195" s="329"/>
      <c r="H195" s="333"/>
    </row>
    <row r="196" spans="1:11" ht="16.5" customHeight="1">
      <c r="A196" s="323"/>
      <c r="B196" s="325"/>
      <c r="C196" s="325"/>
      <c r="D196" s="326"/>
      <c r="E196" s="330"/>
      <c r="F196" s="331"/>
      <c r="G196" s="332"/>
      <c r="H196" s="333"/>
    </row>
    <row r="197" spans="1:11" ht="16.5" customHeight="1">
      <c r="A197" s="322"/>
      <c r="B197" s="324"/>
      <c r="C197" s="325"/>
      <c r="D197" s="326"/>
      <c r="E197" s="327"/>
      <c r="F197" s="328"/>
      <c r="G197" s="329"/>
      <c r="H197" s="333"/>
    </row>
    <row r="198" spans="1:11" ht="16.5" customHeight="1">
      <c r="A198" s="323"/>
      <c r="B198" s="325"/>
      <c r="C198" s="325"/>
      <c r="D198" s="326"/>
      <c r="E198" s="330"/>
      <c r="F198" s="331"/>
      <c r="G198" s="332"/>
      <c r="H198" s="333"/>
    </row>
    <row r="199" spans="1:11" ht="16.5" customHeight="1">
      <c r="A199" s="322"/>
      <c r="B199" s="324"/>
      <c r="C199" s="325"/>
      <c r="D199" s="326"/>
      <c r="E199" s="327"/>
      <c r="F199" s="328"/>
      <c r="G199" s="329"/>
      <c r="H199" s="333"/>
    </row>
    <row r="200" spans="1:11" ht="16.5" customHeight="1">
      <c r="A200" s="323"/>
      <c r="B200" s="325"/>
      <c r="C200" s="325"/>
      <c r="D200" s="326"/>
      <c r="E200" s="330"/>
      <c r="F200" s="331"/>
      <c r="G200" s="332"/>
      <c r="H200" s="333"/>
    </row>
    <row r="201" spans="1:11" ht="16.5" customHeight="1">
      <c r="A201" s="322"/>
      <c r="B201" s="324"/>
      <c r="C201" s="325"/>
      <c r="D201" s="326"/>
      <c r="E201" s="327"/>
      <c r="F201" s="328"/>
      <c r="G201" s="329"/>
      <c r="H201" s="333"/>
    </row>
    <row r="202" spans="1:11" ht="16.5" customHeight="1">
      <c r="A202" s="323"/>
      <c r="B202" s="325"/>
      <c r="C202" s="325"/>
      <c r="D202" s="326"/>
      <c r="E202" s="330"/>
      <c r="F202" s="331"/>
      <c r="G202" s="332"/>
      <c r="H202" s="333"/>
    </row>
    <row r="203" spans="1:11" ht="16.5" customHeight="1">
      <c r="A203" s="322"/>
      <c r="B203" s="324"/>
      <c r="C203" s="326"/>
      <c r="D203" s="326"/>
      <c r="E203" s="327"/>
      <c r="F203" s="328"/>
      <c r="G203" s="329"/>
      <c r="H203" s="333"/>
    </row>
    <row r="204" spans="1:11" ht="16.5" customHeight="1">
      <c r="A204" s="323"/>
      <c r="B204" s="325"/>
      <c r="C204" s="326"/>
      <c r="D204" s="326"/>
      <c r="E204" s="330"/>
      <c r="F204" s="331"/>
      <c r="G204" s="332"/>
      <c r="H204" s="333"/>
    </row>
    <row r="205" spans="1:11" ht="16.5" customHeight="1">
      <c r="A205" s="322"/>
      <c r="B205" s="324"/>
      <c r="C205" s="325"/>
      <c r="D205" s="326"/>
      <c r="E205" s="337"/>
      <c r="F205" s="326"/>
      <c r="G205" s="326"/>
      <c r="H205" s="333"/>
      <c r="I205" s="3"/>
      <c r="K205" s="23"/>
    </row>
    <row r="206" spans="1:11" ht="16.5" customHeight="1">
      <c r="A206" s="323"/>
      <c r="B206" s="325"/>
      <c r="C206" s="325"/>
      <c r="D206" s="326"/>
      <c r="E206" s="326"/>
      <c r="F206" s="326"/>
      <c r="G206" s="326"/>
      <c r="H206" s="333"/>
    </row>
    <row r="207" spans="1:11" ht="16.5" customHeight="1">
      <c r="A207" s="322"/>
      <c r="B207" s="324"/>
      <c r="C207" s="325"/>
      <c r="D207" s="326"/>
      <c r="E207" s="327"/>
      <c r="F207" s="328"/>
      <c r="G207" s="329"/>
      <c r="H207" s="333"/>
    </row>
    <row r="208" spans="1:11" ht="16.5" customHeight="1">
      <c r="A208" s="323"/>
      <c r="B208" s="325"/>
      <c r="C208" s="325"/>
      <c r="D208" s="326"/>
      <c r="E208" s="330"/>
      <c r="F208" s="331"/>
      <c r="G208" s="332"/>
      <c r="H208" s="333"/>
    </row>
    <row r="209" spans="1:8" ht="16.5" customHeight="1">
      <c r="A209" s="322"/>
      <c r="B209" s="324"/>
      <c r="C209" s="324"/>
      <c r="D209" s="326"/>
      <c r="E209" s="327"/>
      <c r="F209" s="328"/>
      <c r="G209" s="329"/>
      <c r="H209" s="333"/>
    </row>
    <row r="210" spans="1:8" ht="16.5" customHeight="1">
      <c r="A210" s="323"/>
      <c r="B210" s="325"/>
      <c r="C210" s="325"/>
      <c r="D210" s="326"/>
      <c r="E210" s="330"/>
      <c r="F210" s="331"/>
      <c r="G210" s="332"/>
      <c r="H210" s="333"/>
    </row>
    <row r="211" spans="1:8" ht="16.5" customHeight="1">
      <c r="A211" s="335"/>
      <c r="B211" s="324"/>
      <c r="C211" s="325"/>
      <c r="D211" s="326"/>
      <c r="E211" s="327"/>
      <c r="F211" s="328"/>
      <c r="G211" s="329"/>
      <c r="H211" s="333"/>
    </row>
    <row r="212" spans="1:8" ht="16.5" customHeight="1">
      <c r="A212" s="336"/>
      <c r="B212" s="325"/>
      <c r="C212" s="325"/>
      <c r="D212" s="326"/>
      <c r="E212" s="330"/>
      <c r="F212" s="331"/>
      <c r="G212" s="332"/>
      <c r="H212" s="333"/>
    </row>
    <row r="213" spans="1:8" ht="16.5" customHeight="1">
      <c r="A213" s="334"/>
      <c r="B213" s="324"/>
      <c r="C213" s="324"/>
      <c r="D213" s="326"/>
      <c r="E213" s="327"/>
      <c r="F213" s="328"/>
      <c r="G213" s="329"/>
      <c r="H213" s="333"/>
    </row>
    <row r="214" spans="1:8" ht="16.5" customHeight="1">
      <c r="A214" s="323"/>
      <c r="B214" s="325"/>
      <c r="C214" s="325"/>
      <c r="D214" s="326"/>
      <c r="E214" s="330"/>
      <c r="F214" s="331"/>
      <c r="G214" s="332"/>
      <c r="H214" s="333"/>
    </row>
    <row r="215" spans="1:8" ht="16.5" customHeight="1">
      <c r="A215" s="322"/>
      <c r="B215" s="324"/>
      <c r="C215" s="325"/>
      <c r="D215" s="326"/>
      <c r="E215" s="327"/>
      <c r="F215" s="328"/>
      <c r="G215" s="329"/>
      <c r="H215" s="333"/>
    </row>
    <row r="216" spans="1:8" ht="16.5" customHeight="1">
      <c r="A216" s="323"/>
      <c r="B216" s="325"/>
      <c r="C216" s="325"/>
      <c r="D216" s="326"/>
      <c r="E216" s="330"/>
      <c r="F216" s="331"/>
      <c r="G216" s="332"/>
      <c r="H216" s="333"/>
    </row>
    <row r="217" spans="1:8" ht="16.5" customHeight="1">
      <c r="A217" s="313"/>
      <c r="B217" s="314"/>
      <c r="C217" s="307"/>
      <c r="D217" s="309"/>
      <c r="E217" s="315"/>
      <c r="F217" s="316"/>
      <c r="G217" s="317"/>
      <c r="H217" s="321"/>
    </row>
    <row r="218" spans="1:8" ht="16.5" customHeight="1">
      <c r="A218" s="305"/>
      <c r="B218" s="307"/>
      <c r="C218" s="307"/>
      <c r="D218" s="309"/>
      <c r="E218" s="318"/>
      <c r="F218" s="319"/>
      <c r="G218" s="320"/>
      <c r="H218" s="311"/>
    </row>
    <row r="219" spans="1:8" ht="16.5" customHeight="1">
      <c r="A219" s="313"/>
      <c r="B219" s="314"/>
      <c r="C219" s="307"/>
      <c r="D219" s="309"/>
      <c r="E219" s="315"/>
      <c r="F219" s="316"/>
      <c r="G219" s="317"/>
      <c r="H219" s="321"/>
    </row>
    <row r="220" spans="1:8" ht="16.5" customHeight="1">
      <c r="A220" s="305"/>
      <c r="B220" s="307"/>
      <c r="C220" s="307"/>
      <c r="D220" s="309"/>
      <c r="E220" s="318"/>
      <c r="F220" s="319"/>
      <c r="G220" s="320"/>
      <c r="H220" s="311"/>
    </row>
    <row r="221" spans="1:8">
      <c r="A221" s="305"/>
      <c r="B221" s="307"/>
      <c r="C221" s="307"/>
      <c r="D221" s="309"/>
      <c r="E221" s="309"/>
      <c r="F221" s="309"/>
      <c r="G221" s="309"/>
      <c r="H221" s="311"/>
    </row>
    <row r="222" spans="1:8">
      <c r="A222" s="305"/>
      <c r="B222" s="307"/>
      <c r="C222" s="307"/>
      <c r="D222" s="309"/>
      <c r="E222" s="309"/>
      <c r="F222" s="309"/>
      <c r="G222" s="309"/>
      <c r="H222" s="311"/>
    </row>
    <row r="223" spans="1:8" ht="16.5" customHeight="1">
      <c r="A223" s="313"/>
      <c r="B223" s="314"/>
      <c r="C223" s="307"/>
      <c r="D223" s="309"/>
      <c r="E223" s="315"/>
      <c r="F223" s="316"/>
      <c r="G223" s="317"/>
      <c r="H223" s="311"/>
    </row>
    <row r="224" spans="1:8" ht="16.5" customHeight="1">
      <c r="A224" s="305"/>
      <c r="B224" s="307"/>
      <c r="C224" s="307"/>
      <c r="D224" s="309"/>
      <c r="E224" s="318"/>
      <c r="F224" s="319"/>
      <c r="G224" s="320"/>
      <c r="H224" s="311"/>
    </row>
    <row r="225" spans="1:8" ht="16.5" customHeight="1">
      <c r="A225" s="313"/>
      <c r="B225" s="314"/>
      <c r="C225" s="307"/>
      <c r="D225" s="309"/>
      <c r="E225" s="315"/>
      <c r="F225" s="316"/>
      <c r="G225" s="317"/>
      <c r="H225" s="311"/>
    </row>
    <row r="226" spans="1:8" ht="16.5" customHeight="1">
      <c r="A226" s="305"/>
      <c r="B226" s="307"/>
      <c r="C226" s="307"/>
      <c r="D226" s="309"/>
      <c r="E226" s="318"/>
      <c r="F226" s="319"/>
      <c r="G226" s="320"/>
      <c r="H226" s="311"/>
    </row>
    <row r="227" spans="1:8" ht="16.5" customHeight="1">
      <c r="A227" s="313"/>
      <c r="B227" s="314"/>
      <c r="C227" s="307"/>
      <c r="D227" s="309"/>
      <c r="E227" s="315"/>
      <c r="F227" s="316"/>
      <c r="G227" s="317"/>
      <c r="H227" s="321"/>
    </row>
    <row r="228" spans="1:8" ht="16.5" customHeight="1">
      <c r="A228" s="305"/>
      <c r="B228" s="307"/>
      <c r="C228" s="307"/>
      <c r="D228" s="309"/>
      <c r="E228" s="318"/>
      <c r="F228" s="319"/>
      <c r="G228" s="320"/>
      <c r="H228" s="311"/>
    </row>
    <row r="229" spans="1:8" ht="16.5" customHeight="1">
      <c r="A229" s="313"/>
      <c r="B229" s="314"/>
      <c r="C229" s="307"/>
      <c r="D229" s="309"/>
      <c r="E229" s="315"/>
      <c r="F229" s="316"/>
      <c r="G229" s="317"/>
      <c r="H229" s="321"/>
    </row>
    <row r="230" spans="1:8" ht="16.5" customHeight="1">
      <c r="A230" s="305"/>
      <c r="B230" s="307"/>
      <c r="C230" s="307"/>
      <c r="D230" s="309"/>
      <c r="E230" s="318"/>
      <c r="F230" s="319"/>
      <c r="G230" s="320"/>
      <c r="H230" s="311"/>
    </row>
    <row r="231" spans="1:8">
      <c r="A231" s="305"/>
      <c r="B231" s="307"/>
      <c r="C231" s="307"/>
      <c r="D231" s="309"/>
      <c r="E231" s="309"/>
      <c r="F231" s="309"/>
      <c r="G231" s="309"/>
      <c r="H231" s="311"/>
    </row>
    <row r="232" spans="1:8">
      <c r="A232" s="305"/>
      <c r="B232" s="307"/>
      <c r="C232" s="307"/>
      <c r="D232" s="309"/>
      <c r="E232" s="309"/>
      <c r="F232" s="309"/>
      <c r="G232" s="309"/>
      <c r="H232" s="311"/>
    </row>
    <row r="233" spans="1:8" ht="16.5" customHeight="1">
      <c r="A233" s="313"/>
      <c r="B233" s="314"/>
      <c r="C233" s="307"/>
      <c r="D233" s="309"/>
      <c r="E233" s="315"/>
      <c r="F233" s="316"/>
      <c r="G233" s="317"/>
      <c r="H233" s="311"/>
    </row>
    <row r="234" spans="1:8" ht="16.5" customHeight="1">
      <c r="A234" s="305"/>
      <c r="B234" s="307"/>
      <c r="C234" s="307"/>
      <c r="D234" s="309"/>
      <c r="E234" s="318"/>
      <c r="F234" s="319"/>
      <c r="G234" s="320"/>
      <c r="H234" s="311"/>
    </row>
    <row r="235" spans="1:8" ht="16.5" customHeight="1">
      <c r="A235" s="313"/>
      <c r="B235" s="314"/>
      <c r="C235" s="307"/>
      <c r="D235" s="309"/>
      <c r="E235" s="315"/>
      <c r="F235" s="316"/>
      <c r="G235" s="317"/>
      <c r="H235" s="321"/>
    </row>
    <row r="236" spans="1:8" ht="16.5" customHeight="1">
      <c r="A236" s="305"/>
      <c r="B236" s="307"/>
      <c r="C236" s="307"/>
      <c r="D236" s="309"/>
      <c r="E236" s="318"/>
      <c r="F236" s="319"/>
      <c r="G236" s="320"/>
      <c r="H236" s="311"/>
    </row>
    <row r="237" spans="1:8" ht="16.5" customHeight="1">
      <c r="A237" s="313"/>
      <c r="B237" s="314"/>
      <c r="C237" s="307"/>
      <c r="D237" s="309"/>
      <c r="E237" s="315"/>
      <c r="F237" s="316"/>
      <c r="G237" s="317"/>
      <c r="H237" s="321"/>
    </row>
    <row r="238" spans="1:8" ht="16.5" customHeight="1">
      <c r="A238" s="305"/>
      <c r="B238" s="307"/>
      <c r="C238" s="307"/>
      <c r="D238" s="309"/>
      <c r="E238" s="318"/>
      <c r="F238" s="319"/>
      <c r="G238" s="320"/>
      <c r="H238" s="311"/>
    </row>
    <row r="239" spans="1:8">
      <c r="A239" s="305"/>
      <c r="B239" s="307"/>
      <c r="C239" s="307"/>
      <c r="D239" s="309"/>
      <c r="E239" s="309"/>
      <c r="F239" s="309"/>
      <c r="G239" s="309"/>
      <c r="H239" s="311"/>
    </row>
    <row r="240" spans="1:8">
      <c r="A240" s="305"/>
      <c r="B240" s="307"/>
      <c r="C240" s="307"/>
      <c r="D240" s="309"/>
      <c r="E240" s="309"/>
      <c r="F240" s="309"/>
      <c r="G240" s="309"/>
      <c r="H240" s="311"/>
    </row>
    <row r="241" spans="1:8">
      <c r="A241" s="305"/>
      <c r="B241" s="307"/>
      <c r="C241" s="307"/>
      <c r="D241" s="309"/>
      <c r="E241" s="309"/>
      <c r="F241" s="309"/>
      <c r="G241" s="309"/>
      <c r="H241" s="311"/>
    </row>
    <row r="242" spans="1:8" ht="17.25" thickBot="1">
      <c r="A242" s="306"/>
      <c r="B242" s="308"/>
      <c r="C242" s="308"/>
      <c r="D242" s="310"/>
      <c r="E242" s="310"/>
      <c r="F242" s="310"/>
      <c r="G242" s="310"/>
      <c r="H242" s="312"/>
    </row>
  </sheetData>
  <mergeCells count="703"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  <mergeCell ref="A3:H3"/>
    <mergeCell ref="A4:A5"/>
    <mergeCell ref="B4:B5"/>
    <mergeCell ref="C4:C5"/>
    <mergeCell ref="D4:D5"/>
    <mergeCell ref="E4:G5"/>
    <mergeCell ref="H4:H5"/>
    <mergeCell ref="M1:M2"/>
    <mergeCell ref="N1:N2"/>
    <mergeCell ref="A8:A9"/>
    <mergeCell ref="B8:B9"/>
    <mergeCell ref="C8:C9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A12:A13"/>
    <mergeCell ref="A10:A11"/>
    <mergeCell ref="B10:B11"/>
    <mergeCell ref="C10:C11"/>
    <mergeCell ref="D10:D11"/>
    <mergeCell ref="E10:G11"/>
    <mergeCell ref="H10:H11"/>
    <mergeCell ref="B12:H13"/>
    <mergeCell ref="A16:A17"/>
    <mergeCell ref="B16:B17"/>
    <mergeCell ref="C16:C17"/>
    <mergeCell ref="D16:D17"/>
    <mergeCell ref="E16:G17"/>
    <mergeCell ref="H16:H17"/>
    <mergeCell ref="A14:A15"/>
    <mergeCell ref="B14:B15"/>
    <mergeCell ref="C14:C15"/>
    <mergeCell ref="D14:D15"/>
    <mergeCell ref="E14:G15"/>
    <mergeCell ref="H14:H15"/>
    <mergeCell ref="A20:A21"/>
    <mergeCell ref="B20:B21"/>
    <mergeCell ref="C20:C21"/>
    <mergeCell ref="D20:D21"/>
    <mergeCell ref="E20:G21"/>
    <mergeCell ref="H20:H21"/>
    <mergeCell ref="A18:A19"/>
    <mergeCell ref="B18:B19"/>
    <mergeCell ref="C18:C19"/>
    <mergeCell ref="D18:D19"/>
    <mergeCell ref="E18:G19"/>
    <mergeCell ref="H18:H19"/>
    <mergeCell ref="A24:A25"/>
    <mergeCell ref="B24:B25"/>
    <mergeCell ref="C24:C25"/>
    <mergeCell ref="D24:D25"/>
    <mergeCell ref="E24:G25"/>
    <mergeCell ref="H24:H25"/>
    <mergeCell ref="A22:A23"/>
    <mergeCell ref="B22:B23"/>
    <mergeCell ref="C22:C23"/>
    <mergeCell ref="D22:D23"/>
    <mergeCell ref="E22:G23"/>
    <mergeCell ref="H22:H23"/>
    <mergeCell ref="A28:A29"/>
    <mergeCell ref="B28:B29"/>
    <mergeCell ref="C28:C29"/>
    <mergeCell ref="D28:D29"/>
    <mergeCell ref="E28:G29"/>
    <mergeCell ref="H28:H29"/>
    <mergeCell ref="A26:A27"/>
    <mergeCell ref="B26:B27"/>
    <mergeCell ref="C26:C27"/>
    <mergeCell ref="D26:D27"/>
    <mergeCell ref="E26:G27"/>
    <mergeCell ref="H26:H27"/>
    <mergeCell ref="A32:A33"/>
    <mergeCell ref="B32:B33"/>
    <mergeCell ref="C32:C33"/>
    <mergeCell ref="D32:D33"/>
    <mergeCell ref="E32:G33"/>
    <mergeCell ref="H32:H33"/>
    <mergeCell ref="A30:A31"/>
    <mergeCell ref="B30:B31"/>
    <mergeCell ref="C30:C31"/>
    <mergeCell ref="D30:D31"/>
    <mergeCell ref="E30:G31"/>
    <mergeCell ref="H30:H31"/>
    <mergeCell ref="A36:A37"/>
    <mergeCell ref="B36:B37"/>
    <mergeCell ref="C36:C37"/>
    <mergeCell ref="D36:D37"/>
    <mergeCell ref="E36:G37"/>
    <mergeCell ref="H36:H37"/>
    <mergeCell ref="A34:A35"/>
    <mergeCell ref="B34:B35"/>
    <mergeCell ref="C34:C35"/>
    <mergeCell ref="D34:D35"/>
    <mergeCell ref="E34:G35"/>
    <mergeCell ref="H34:H35"/>
    <mergeCell ref="A40:A41"/>
    <mergeCell ref="B40:B41"/>
    <mergeCell ref="C40:C41"/>
    <mergeCell ref="D40:D41"/>
    <mergeCell ref="E40:G41"/>
    <mergeCell ref="H40:H41"/>
    <mergeCell ref="A38:A39"/>
    <mergeCell ref="B38:B39"/>
    <mergeCell ref="C38:C39"/>
    <mergeCell ref="D38:D39"/>
    <mergeCell ref="E38:G39"/>
    <mergeCell ref="H38:H39"/>
    <mergeCell ref="A45:A46"/>
    <mergeCell ref="B45:B46"/>
    <mergeCell ref="C45:C46"/>
    <mergeCell ref="D45:D46"/>
    <mergeCell ref="E45:G46"/>
    <mergeCell ref="H45:H46"/>
    <mergeCell ref="A42:A44"/>
    <mergeCell ref="B42:B44"/>
    <mergeCell ref="C42:C44"/>
    <mergeCell ref="D42:D44"/>
    <mergeCell ref="E42:G44"/>
    <mergeCell ref="H42:H44"/>
    <mergeCell ref="A49:A50"/>
    <mergeCell ref="B49:B50"/>
    <mergeCell ref="C49:C50"/>
    <mergeCell ref="D49:D50"/>
    <mergeCell ref="E49:G50"/>
    <mergeCell ref="H49:H50"/>
    <mergeCell ref="A47:A48"/>
    <mergeCell ref="B47:B48"/>
    <mergeCell ref="C47:C48"/>
    <mergeCell ref="D47:D48"/>
    <mergeCell ref="E47:G48"/>
    <mergeCell ref="H47:H48"/>
    <mergeCell ref="A54:A55"/>
    <mergeCell ref="B54:B55"/>
    <mergeCell ref="C54:C55"/>
    <mergeCell ref="D54:D55"/>
    <mergeCell ref="E54:G55"/>
    <mergeCell ref="H54:H55"/>
    <mergeCell ref="A51:A52"/>
    <mergeCell ref="B51:B52"/>
    <mergeCell ref="C51:C52"/>
    <mergeCell ref="D51:D52"/>
    <mergeCell ref="E51:G52"/>
    <mergeCell ref="H51:H52"/>
    <mergeCell ref="B53:H53"/>
    <mergeCell ref="A58:A59"/>
    <mergeCell ref="B58:B59"/>
    <mergeCell ref="C58:C59"/>
    <mergeCell ref="D58:D59"/>
    <mergeCell ref="E58:G59"/>
    <mergeCell ref="H58:H59"/>
    <mergeCell ref="A56:A57"/>
    <mergeCell ref="B56:B57"/>
    <mergeCell ref="C56:C57"/>
    <mergeCell ref="D56:D57"/>
    <mergeCell ref="E56:G57"/>
    <mergeCell ref="H56:H57"/>
    <mergeCell ref="A62:A63"/>
    <mergeCell ref="B62:B63"/>
    <mergeCell ref="C62:C63"/>
    <mergeCell ref="D62:D63"/>
    <mergeCell ref="E62:G63"/>
    <mergeCell ref="H62:H63"/>
    <mergeCell ref="A60:A61"/>
    <mergeCell ref="B60:B61"/>
    <mergeCell ref="C60:C61"/>
    <mergeCell ref="D60:D61"/>
    <mergeCell ref="E60:G61"/>
    <mergeCell ref="H60:H61"/>
    <mergeCell ref="A66:A67"/>
    <mergeCell ref="B66:B67"/>
    <mergeCell ref="C66:C67"/>
    <mergeCell ref="D66:D67"/>
    <mergeCell ref="E66:G67"/>
    <mergeCell ref="H66:H67"/>
    <mergeCell ref="A64:A65"/>
    <mergeCell ref="B64:B65"/>
    <mergeCell ref="C64:C65"/>
    <mergeCell ref="D64:D65"/>
    <mergeCell ref="E64:G65"/>
    <mergeCell ref="H64:H65"/>
    <mergeCell ref="A70:A71"/>
    <mergeCell ref="B70:B71"/>
    <mergeCell ref="C70:C71"/>
    <mergeCell ref="D70:D71"/>
    <mergeCell ref="E70:G71"/>
    <mergeCell ref="H70:H71"/>
    <mergeCell ref="A68:A69"/>
    <mergeCell ref="B68:B69"/>
    <mergeCell ref="C68:C69"/>
    <mergeCell ref="D68:D69"/>
    <mergeCell ref="E68:G69"/>
    <mergeCell ref="H68:H69"/>
    <mergeCell ref="A72:A73"/>
    <mergeCell ref="B72:B73"/>
    <mergeCell ref="C72:C73"/>
    <mergeCell ref="D72:D73"/>
    <mergeCell ref="E72:G73"/>
    <mergeCell ref="H72:H73"/>
    <mergeCell ref="A76:A77"/>
    <mergeCell ref="A74:A75"/>
    <mergeCell ref="B74:B75"/>
    <mergeCell ref="C74:C75"/>
    <mergeCell ref="D74:D75"/>
    <mergeCell ref="E74:G75"/>
    <mergeCell ref="H74:H75"/>
    <mergeCell ref="B76:H79"/>
    <mergeCell ref="A80:A81"/>
    <mergeCell ref="B80:B81"/>
    <mergeCell ref="C80:C81"/>
    <mergeCell ref="D80:D81"/>
    <mergeCell ref="E80:G81"/>
    <mergeCell ref="H80:H81"/>
    <mergeCell ref="A78:A79"/>
    <mergeCell ref="A84:A85"/>
    <mergeCell ref="B84:B85"/>
    <mergeCell ref="C84:C85"/>
    <mergeCell ref="D84:D85"/>
    <mergeCell ref="E84:G85"/>
    <mergeCell ref="H84:H85"/>
    <mergeCell ref="A82:A83"/>
    <mergeCell ref="B82:B83"/>
    <mergeCell ref="C82:C83"/>
    <mergeCell ref="D82:D83"/>
    <mergeCell ref="E82:G83"/>
    <mergeCell ref="H82:H83"/>
    <mergeCell ref="A88:A89"/>
    <mergeCell ref="B88:B89"/>
    <mergeCell ref="C88:C89"/>
    <mergeCell ref="D88:D89"/>
    <mergeCell ref="E88:G89"/>
    <mergeCell ref="H88:H89"/>
    <mergeCell ref="A86:A87"/>
    <mergeCell ref="B86:B87"/>
    <mergeCell ref="C86:C87"/>
    <mergeCell ref="D86:D87"/>
    <mergeCell ref="E86:G87"/>
    <mergeCell ref="H86:H87"/>
    <mergeCell ref="A92:A93"/>
    <mergeCell ref="B92:B93"/>
    <mergeCell ref="C92:C93"/>
    <mergeCell ref="D92:D93"/>
    <mergeCell ref="E92:G93"/>
    <mergeCell ref="H92:H93"/>
    <mergeCell ref="A90:A91"/>
    <mergeCell ref="B90:B91"/>
    <mergeCell ref="C90:C91"/>
    <mergeCell ref="D90:D91"/>
    <mergeCell ref="E90:G91"/>
    <mergeCell ref="H90:H91"/>
    <mergeCell ref="A97:A98"/>
    <mergeCell ref="B97:B98"/>
    <mergeCell ref="C97:C98"/>
    <mergeCell ref="D97:D98"/>
    <mergeCell ref="E97:G98"/>
    <mergeCell ref="H97:H98"/>
    <mergeCell ref="E94:G94"/>
    <mergeCell ref="A95:A96"/>
    <mergeCell ref="B95:B96"/>
    <mergeCell ref="C95:C96"/>
    <mergeCell ref="D95:D96"/>
    <mergeCell ref="E95:G96"/>
    <mergeCell ref="H95:H96"/>
    <mergeCell ref="A101:A102"/>
    <mergeCell ref="B101:B102"/>
    <mergeCell ref="C101:C102"/>
    <mergeCell ref="D101:D102"/>
    <mergeCell ref="E101:G102"/>
    <mergeCell ref="H101:H102"/>
    <mergeCell ref="A99:A100"/>
    <mergeCell ref="B99:B100"/>
    <mergeCell ref="C99:C100"/>
    <mergeCell ref="D99:D100"/>
    <mergeCell ref="E99:G100"/>
    <mergeCell ref="H99:H100"/>
    <mergeCell ref="A105:A106"/>
    <mergeCell ref="B105:B106"/>
    <mergeCell ref="C105:C106"/>
    <mergeCell ref="D105:D106"/>
    <mergeCell ref="E105:G106"/>
    <mergeCell ref="H105:H106"/>
    <mergeCell ref="A103:A104"/>
    <mergeCell ref="B103:B104"/>
    <mergeCell ref="C103:C104"/>
    <mergeCell ref="D103:D104"/>
    <mergeCell ref="E103:G104"/>
    <mergeCell ref="H103:H104"/>
    <mergeCell ref="A107:A108"/>
    <mergeCell ref="B107:H108"/>
    <mergeCell ref="A113:A114"/>
    <mergeCell ref="B113:B114"/>
    <mergeCell ref="C113:C114"/>
    <mergeCell ref="D113:D114"/>
    <mergeCell ref="E113:G114"/>
    <mergeCell ref="H113:H114"/>
    <mergeCell ref="A111:A112"/>
    <mergeCell ref="B111:B112"/>
    <mergeCell ref="C111:C112"/>
    <mergeCell ref="D111:D112"/>
    <mergeCell ref="E111:G112"/>
    <mergeCell ref="H111:H112"/>
    <mergeCell ref="A115:A116"/>
    <mergeCell ref="B115:B116"/>
    <mergeCell ref="C115:C116"/>
    <mergeCell ref="D115:D116"/>
    <mergeCell ref="E115:G116"/>
    <mergeCell ref="H115:H116"/>
    <mergeCell ref="A109:A110"/>
    <mergeCell ref="B109:B110"/>
    <mergeCell ref="C109:C110"/>
    <mergeCell ref="D109:D110"/>
    <mergeCell ref="E109:G110"/>
    <mergeCell ref="H109:H110"/>
    <mergeCell ref="A119:A120"/>
    <mergeCell ref="B119:B120"/>
    <mergeCell ref="C119:C120"/>
    <mergeCell ref="D119:D120"/>
    <mergeCell ref="E119:G120"/>
    <mergeCell ref="H119:H120"/>
    <mergeCell ref="A117:A118"/>
    <mergeCell ref="B117:B118"/>
    <mergeCell ref="C117:C118"/>
    <mergeCell ref="D117:D118"/>
    <mergeCell ref="E117:G118"/>
    <mergeCell ref="H117:H118"/>
    <mergeCell ref="A123:A124"/>
    <mergeCell ref="B123:B124"/>
    <mergeCell ref="C123:C124"/>
    <mergeCell ref="D123:D124"/>
    <mergeCell ref="E123:G124"/>
    <mergeCell ref="H123:H124"/>
    <mergeCell ref="A121:A122"/>
    <mergeCell ref="B121:B122"/>
    <mergeCell ref="C121:C122"/>
    <mergeCell ref="D121:D122"/>
    <mergeCell ref="E121:G122"/>
    <mergeCell ref="H121:H122"/>
    <mergeCell ref="A129:A130"/>
    <mergeCell ref="B129:B130"/>
    <mergeCell ref="C129:C130"/>
    <mergeCell ref="D129:D130"/>
    <mergeCell ref="E129:G130"/>
    <mergeCell ref="H129:H130"/>
    <mergeCell ref="A127:A128"/>
    <mergeCell ref="B127:H128"/>
    <mergeCell ref="A125:A126"/>
    <mergeCell ref="B125:B126"/>
    <mergeCell ref="C125:C126"/>
    <mergeCell ref="D125:D126"/>
    <mergeCell ref="E125:G126"/>
    <mergeCell ref="H125:H126"/>
    <mergeCell ref="A133:A134"/>
    <mergeCell ref="B133:B134"/>
    <mergeCell ref="C133:C134"/>
    <mergeCell ref="D133:D134"/>
    <mergeCell ref="E133:G134"/>
    <mergeCell ref="H133:H134"/>
    <mergeCell ref="A131:A132"/>
    <mergeCell ref="B131:B132"/>
    <mergeCell ref="C131:C132"/>
    <mergeCell ref="D131:D132"/>
    <mergeCell ref="E131:G132"/>
    <mergeCell ref="H131:H132"/>
    <mergeCell ref="A137:A138"/>
    <mergeCell ref="B137:B138"/>
    <mergeCell ref="C137:C138"/>
    <mergeCell ref="D137:D138"/>
    <mergeCell ref="E137:G138"/>
    <mergeCell ref="H137:H138"/>
    <mergeCell ref="A135:A136"/>
    <mergeCell ref="B135:B136"/>
    <mergeCell ref="C135:C136"/>
    <mergeCell ref="D135:D136"/>
    <mergeCell ref="E135:G136"/>
    <mergeCell ref="H135:H136"/>
    <mergeCell ref="A141:A142"/>
    <mergeCell ref="B141:B142"/>
    <mergeCell ref="C141:C142"/>
    <mergeCell ref="D141:D142"/>
    <mergeCell ref="E141:G142"/>
    <mergeCell ref="H141:H142"/>
    <mergeCell ref="A139:A140"/>
    <mergeCell ref="B139:B140"/>
    <mergeCell ref="C139:C140"/>
    <mergeCell ref="D139:D140"/>
    <mergeCell ref="E139:G140"/>
    <mergeCell ref="H139:H140"/>
    <mergeCell ref="A145:A146"/>
    <mergeCell ref="B145:B146"/>
    <mergeCell ref="C145:C146"/>
    <mergeCell ref="D145:D146"/>
    <mergeCell ref="E145:G146"/>
    <mergeCell ref="H145:H146"/>
    <mergeCell ref="A143:A144"/>
    <mergeCell ref="B143:B144"/>
    <mergeCell ref="C143:C144"/>
    <mergeCell ref="D143:D144"/>
    <mergeCell ref="E143:G144"/>
    <mergeCell ref="H143:H144"/>
    <mergeCell ref="A149:A150"/>
    <mergeCell ref="B149:B150"/>
    <mergeCell ref="C149:C150"/>
    <mergeCell ref="D149:D150"/>
    <mergeCell ref="E149:G150"/>
    <mergeCell ref="H149:H150"/>
    <mergeCell ref="A147:A148"/>
    <mergeCell ref="B147:B148"/>
    <mergeCell ref="C147:C148"/>
    <mergeCell ref="D147:D148"/>
    <mergeCell ref="E147:G148"/>
    <mergeCell ref="H147:H148"/>
    <mergeCell ref="A153:A154"/>
    <mergeCell ref="B153:B154"/>
    <mergeCell ref="C153:C154"/>
    <mergeCell ref="D153:D154"/>
    <mergeCell ref="E153:G154"/>
    <mergeCell ref="H153:H154"/>
    <mergeCell ref="A151:A152"/>
    <mergeCell ref="B151:B152"/>
    <mergeCell ref="C151:C152"/>
    <mergeCell ref="D151:D152"/>
    <mergeCell ref="E151:G152"/>
    <mergeCell ref="H151:H152"/>
    <mergeCell ref="A157:A158"/>
    <mergeCell ref="B157:B158"/>
    <mergeCell ref="C157:C158"/>
    <mergeCell ref="D157:D158"/>
    <mergeCell ref="E157:G158"/>
    <mergeCell ref="H157:H158"/>
    <mergeCell ref="A155:A156"/>
    <mergeCell ref="B155:B156"/>
    <mergeCell ref="C155:C156"/>
    <mergeCell ref="D155:D156"/>
    <mergeCell ref="E155:G156"/>
    <mergeCell ref="H155:H156"/>
    <mergeCell ref="A161:A162"/>
    <mergeCell ref="B161:B162"/>
    <mergeCell ref="C161:C162"/>
    <mergeCell ref="D161:D162"/>
    <mergeCell ref="E161:G162"/>
    <mergeCell ref="H161:H162"/>
    <mergeCell ref="A159:A160"/>
    <mergeCell ref="B159:B160"/>
    <mergeCell ref="C159:C160"/>
    <mergeCell ref="D159:D160"/>
    <mergeCell ref="E159:G160"/>
    <mergeCell ref="H159:H160"/>
    <mergeCell ref="A165:A166"/>
    <mergeCell ref="B165:B166"/>
    <mergeCell ref="C165:C166"/>
    <mergeCell ref="D165:D166"/>
    <mergeCell ref="E165:G166"/>
    <mergeCell ref="H165:H166"/>
    <mergeCell ref="A163:A164"/>
    <mergeCell ref="B163:B164"/>
    <mergeCell ref="C163:C164"/>
    <mergeCell ref="D163:D164"/>
    <mergeCell ref="E163:G164"/>
    <mergeCell ref="H163:H164"/>
    <mergeCell ref="A169:A170"/>
    <mergeCell ref="B169:B170"/>
    <mergeCell ref="C169:C170"/>
    <mergeCell ref="D169:D170"/>
    <mergeCell ref="E169:G170"/>
    <mergeCell ref="H169:H170"/>
    <mergeCell ref="A167:A168"/>
    <mergeCell ref="B167:B168"/>
    <mergeCell ref="C167:C168"/>
    <mergeCell ref="D167:D168"/>
    <mergeCell ref="E167:G168"/>
    <mergeCell ref="H167:H168"/>
    <mergeCell ref="A173:A174"/>
    <mergeCell ref="B173:B174"/>
    <mergeCell ref="C173:C174"/>
    <mergeCell ref="D173:D174"/>
    <mergeCell ref="E173:G174"/>
    <mergeCell ref="H173:H174"/>
    <mergeCell ref="A171:A172"/>
    <mergeCell ref="B171:B172"/>
    <mergeCell ref="C171:C172"/>
    <mergeCell ref="D171:D172"/>
    <mergeCell ref="E171:G172"/>
    <mergeCell ref="H171:H172"/>
    <mergeCell ref="A177:A178"/>
    <mergeCell ref="B177:B178"/>
    <mergeCell ref="C177:C178"/>
    <mergeCell ref="D177:D178"/>
    <mergeCell ref="E177:G178"/>
    <mergeCell ref="H177:H178"/>
    <mergeCell ref="A175:A176"/>
    <mergeCell ref="B175:B176"/>
    <mergeCell ref="C175:C176"/>
    <mergeCell ref="D175:D176"/>
    <mergeCell ref="E175:G176"/>
    <mergeCell ref="H175:H176"/>
    <mergeCell ref="A181:A182"/>
    <mergeCell ref="B181:B182"/>
    <mergeCell ref="C181:C182"/>
    <mergeCell ref="D181:D182"/>
    <mergeCell ref="E181:G182"/>
    <mergeCell ref="H181:H182"/>
    <mergeCell ref="A179:A180"/>
    <mergeCell ref="B179:B180"/>
    <mergeCell ref="C179:C180"/>
    <mergeCell ref="D179:D180"/>
    <mergeCell ref="E179:G180"/>
    <mergeCell ref="H179:H180"/>
    <mergeCell ref="A185:A186"/>
    <mergeCell ref="B185:B186"/>
    <mergeCell ref="C185:C186"/>
    <mergeCell ref="D185:D186"/>
    <mergeCell ref="E185:G186"/>
    <mergeCell ref="H185:H186"/>
    <mergeCell ref="A183:A184"/>
    <mergeCell ref="B183:B184"/>
    <mergeCell ref="C183:C184"/>
    <mergeCell ref="D183:D184"/>
    <mergeCell ref="E183:G184"/>
    <mergeCell ref="H183:H184"/>
    <mergeCell ref="A189:A190"/>
    <mergeCell ref="B189:B190"/>
    <mergeCell ref="C189:C190"/>
    <mergeCell ref="D189:D190"/>
    <mergeCell ref="E189:G190"/>
    <mergeCell ref="H189:H190"/>
    <mergeCell ref="A187:A188"/>
    <mergeCell ref="B187:B188"/>
    <mergeCell ref="C187:C188"/>
    <mergeCell ref="D187:D188"/>
    <mergeCell ref="E187:G188"/>
    <mergeCell ref="H187:H188"/>
    <mergeCell ref="A193:A194"/>
    <mergeCell ref="B193:B194"/>
    <mergeCell ref="C193:C194"/>
    <mergeCell ref="D193:D194"/>
    <mergeCell ref="E193:G194"/>
    <mergeCell ref="H193:H194"/>
    <mergeCell ref="A191:A192"/>
    <mergeCell ref="B191:B192"/>
    <mergeCell ref="C191:C192"/>
    <mergeCell ref="D191:D192"/>
    <mergeCell ref="E191:G192"/>
    <mergeCell ref="H191:H192"/>
    <mergeCell ref="A197:A198"/>
    <mergeCell ref="B197:B198"/>
    <mergeCell ref="C197:C198"/>
    <mergeCell ref="D197:D198"/>
    <mergeCell ref="E197:G198"/>
    <mergeCell ref="H197:H198"/>
    <mergeCell ref="A195:A196"/>
    <mergeCell ref="B195:B196"/>
    <mergeCell ref="C195:C196"/>
    <mergeCell ref="D195:D196"/>
    <mergeCell ref="E195:G196"/>
    <mergeCell ref="H195:H196"/>
    <mergeCell ref="A201:A202"/>
    <mergeCell ref="B201:B202"/>
    <mergeCell ref="C201:C202"/>
    <mergeCell ref="D201:D202"/>
    <mergeCell ref="E201:G202"/>
    <mergeCell ref="H201:H202"/>
    <mergeCell ref="A199:A200"/>
    <mergeCell ref="B199:B200"/>
    <mergeCell ref="C199:C200"/>
    <mergeCell ref="D199:D200"/>
    <mergeCell ref="E199:G200"/>
    <mergeCell ref="H199:H200"/>
    <mergeCell ref="A205:A206"/>
    <mergeCell ref="B205:B206"/>
    <mergeCell ref="C205:C206"/>
    <mergeCell ref="D205:D206"/>
    <mergeCell ref="E205:G206"/>
    <mergeCell ref="H205:H206"/>
    <mergeCell ref="A203:A204"/>
    <mergeCell ref="B203:B204"/>
    <mergeCell ref="C203:C204"/>
    <mergeCell ref="D203:D204"/>
    <mergeCell ref="E203:G204"/>
    <mergeCell ref="H203:H204"/>
    <mergeCell ref="A209:A210"/>
    <mergeCell ref="B209:B210"/>
    <mergeCell ref="C209:C210"/>
    <mergeCell ref="D209:D210"/>
    <mergeCell ref="E209:G210"/>
    <mergeCell ref="H209:H210"/>
    <mergeCell ref="A207:A208"/>
    <mergeCell ref="B207:B208"/>
    <mergeCell ref="C207:C208"/>
    <mergeCell ref="D207:D208"/>
    <mergeCell ref="E207:G208"/>
    <mergeCell ref="H207:H208"/>
    <mergeCell ref="A213:A214"/>
    <mergeCell ref="B213:B214"/>
    <mergeCell ref="C213:C214"/>
    <mergeCell ref="D213:D214"/>
    <mergeCell ref="E213:G214"/>
    <mergeCell ref="H213:H214"/>
    <mergeCell ref="A211:A212"/>
    <mergeCell ref="B211:B212"/>
    <mergeCell ref="C211:C212"/>
    <mergeCell ref="D211:D212"/>
    <mergeCell ref="E211:G212"/>
    <mergeCell ref="H211:H212"/>
    <mergeCell ref="A217:A218"/>
    <mergeCell ref="B217:B218"/>
    <mergeCell ref="C217:C218"/>
    <mergeCell ref="D217:D218"/>
    <mergeCell ref="E217:G218"/>
    <mergeCell ref="H217:H218"/>
    <mergeCell ref="A215:A216"/>
    <mergeCell ref="B215:B216"/>
    <mergeCell ref="C215:C216"/>
    <mergeCell ref="D215:D216"/>
    <mergeCell ref="E215:G216"/>
    <mergeCell ref="H215:H216"/>
    <mergeCell ref="A221:A222"/>
    <mergeCell ref="B221:B222"/>
    <mergeCell ref="C221:C222"/>
    <mergeCell ref="D221:D222"/>
    <mergeCell ref="E221:G222"/>
    <mergeCell ref="H221:H222"/>
    <mergeCell ref="A219:A220"/>
    <mergeCell ref="B219:B220"/>
    <mergeCell ref="C219:C220"/>
    <mergeCell ref="D219:D220"/>
    <mergeCell ref="E219:G220"/>
    <mergeCell ref="H219:H220"/>
    <mergeCell ref="A225:A226"/>
    <mergeCell ref="B225:B226"/>
    <mergeCell ref="C225:C226"/>
    <mergeCell ref="D225:D226"/>
    <mergeCell ref="E225:G226"/>
    <mergeCell ref="H225:H226"/>
    <mergeCell ref="A223:A224"/>
    <mergeCell ref="B223:B224"/>
    <mergeCell ref="C223:C224"/>
    <mergeCell ref="D223:D224"/>
    <mergeCell ref="E223:G224"/>
    <mergeCell ref="H223:H224"/>
    <mergeCell ref="A229:A230"/>
    <mergeCell ref="B229:B230"/>
    <mergeCell ref="C229:C230"/>
    <mergeCell ref="D229:D230"/>
    <mergeCell ref="E229:G230"/>
    <mergeCell ref="H229:H230"/>
    <mergeCell ref="A227:A228"/>
    <mergeCell ref="B227:B228"/>
    <mergeCell ref="C227:C228"/>
    <mergeCell ref="D227:D228"/>
    <mergeCell ref="E227:G228"/>
    <mergeCell ref="H227:H228"/>
    <mergeCell ref="A233:A234"/>
    <mergeCell ref="B233:B234"/>
    <mergeCell ref="C233:C234"/>
    <mergeCell ref="D233:D234"/>
    <mergeCell ref="E233:G234"/>
    <mergeCell ref="H233:H234"/>
    <mergeCell ref="A231:A232"/>
    <mergeCell ref="B231:B232"/>
    <mergeCell ref="C231:C232"/>
    <mergeCell ref="D231:D232"/>
    <mergeCell ref="E231:G232"/>
    <mergeCell ref="H231:H232"/>
    <mergeCell ref="A237:A238"/>
    <mergeCell ref="B237:B238"/>
    <mergeCell ref="C237:C238"/>
    <mergeCell ref="D237:D238"/>
    <mergeCell ref="E237:G238"/>
    <mergeCell ref="H237:H238"/>
    <mergeCell ref="A235:A236"/>
    <mergeCell ref="B235:B236"/>
    <mergeCell ref="C235:C236"/>
    <mergeCell ref="D235:D236"/>
    <mergeCell ref="E235:G236"/>
    <mergeCell ref="H235:H236"/>
    <mergeCell ref="A241:A242"/>
    <mergeCell ref="B241:B242"/>
    <mergeCell ref="C241:C242"/>
    <mergeCell ref="D241:D242"/>
    <mergeCell ref="E241:G242"/>
    <mergeCell ref="H241:H242"/>
    <mergeCell ref="A239:A240"/>
    <mergeCell ref="B239:B240"/>
    <mergeCell ref="C239:C240"/>
    <mergeCell ref="D239:D240"/>
    <mergeCell ref="E239:G240"/>
    <mergeCell ref="H239:H240"/>
  </mergeCells>
  <phoneticPr fontId="1" type="noConversion"/>
  <pageMargins left="0" right="0" top="0" bottom="0" header="0" footer="0"/>
  <pageSetup paperSize="9" scale="36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232"/>
  <sheetViews>
    <sheetView showGridLines="0" zoomScale="115" zoomScaleNormal="115" workbookViewId="0">
      <pane xSplit="8" ySplit="2" topLeftCell="I120" activePane="bottomRight" state="frozen"/>
      <selection pane="topRight" activeCell="I1" sqref="I1"/>
      <selection pane="bottomLeft" activeCell="A3" sqref="A3"/>
      <selection pane="bottomRight" activeCell="D4" sqref="D4:D5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9" max="9" width="9.5" bestFit="1" customWidth="1"/>
    <col min="10" max="10" width="13.12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</cols>
  <sheetData>
    <row r="1" spans="1:18" ht="35.25" customHeight="1" thickBot="1">
      <c r="A1" s="388" t="s">
        <v>2362</v>
      </c>
      <c r="B1" s="389"/>
      <c r="C1" s="402" t="s">
        <v>27</v>
      </c>
      <c r="D1" s="403"/>
      <c r="E1" s="21" t="s">
        <v>26</v>
      </c>
      <c r="F1" s="20">
        <f>H1/31</f>
        <v>781129.03225806449</v>
      </c>
      <c r="G1" s="21" t="s">
        <v>4</v>
      </c>
      <c r="H1" s="22">
        <f>SUM(D4:D232)</f>
        <v>24215000</v>
      </c>
      <c r="I1" s="392"/>
      <c r="J1" s="338"/>
      <c r="K1" s="394"/>
      <c r="L1" s="396"/>
      <c r="M1" s="377"/>
      <c r="N1" s="379"/>
      <c r="O1" s="381"/>
      <c r="P1" s="383"/>
      <c r="Q1" s="377"/>
      <c r="R1" s="376"/>
    </row>
    <row r="2" spans="1:18" ht="17.25" thickBot="1">
      <c r="A2" s="27" t="s">
        <v>0</v>
      </c>
      <c r="B2" s="28" t="s">
        <v>1</v>
      </c>
      <c r="C2" s="28" t="s">
        <v>2</v>
      </c>
      <c r="D2" s="29" t="s">
        <v>3</v>
      </c>
      <c r="E2" s="385" t="s">
        <v>25</v>
      </c>
      <c r="F2" s="386"/>
      <c r="G2" s="387"/>
      <c r="H2" s="25" t="s">
        <v>5</v>
      </c>
      <c r="I2" s="393"/>
      <c r="J2" s="333"/>
      <c r="K2" s="395"/>
      <c r="L2" s="397"/>
      <c r="M2" s="378"/>
      <c r="N2" s="380"/>
      <c r="O2" s="382"/>
      <c r="P2" s="384"/>
      <c r="Q2" s="378"/>
      <c r="R2" s="376"/>
    </row>
    <row r="3" spans="1:18" ht="36" customHeight="1">
      <c r="A3" s="441" t="s">
        <v>2223</v>
      </c>
      <c r="B3" s="442"/>
      <c r="C3" s="442"/>
      <c r="D3" s="442"/>
      <c r="E3" s="442"/>
      <c r="F3" s="442"/>
      <c r="G3" s="442"/>
      <c r="H3" s="443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322" t="s">
        <v>2214</v>
      </c>
      <c r="B4" s="444" t="s">
        <v>2188</v>
      </c>
      <c r="C4" s="325"/>
      <c r="D4" s="326">
        <v>180000</v>
      </c>
      <c r="E4" s="327" t="s">
        <v>2189</v>
      </c>
      <c r="F4" s="328"/>
      <c r="G4" s="329"/>
      <c r="H4" s="398" t="s">
        <v>149</v>
      </c>
      <c r="J4" s="42"/>
    </row>
    <row r="5" spans="1:18" ht="16.5" customHeight="1">
      <c r="A5" s="323"/>
      <c r="B5" s="445"/>
      <c r="C5" s="325"/>
      <c r="D5" s="326"/>
      <c r="E5" s="330"/>
      <c r="F5" s="331"/>
      <c r="G5" s="332"/>
      <c r="H5" s="399"/>
      <c r="J5" s="43"/>
    </row>
    <row r="6" spans="1:18" ht="16.5" customHeight="1">
      <c r="A6" s="322" t="s">
        <v>2187</v>
      </c>
      <c r="B6" s="439" t="s">
        <v>2190</v>
      </c>
      <c r="C6" s="341"/>
      <c r="D6" s="326">
        <v>170000</v>
      </c>
      <c r="E6" s="327" t="s">
        <v>2203</v>
      </c>
      <c r="F6" s="345"/>
      <c r="G6" s="346"/>
      <c r="H6" s="398" t="s">
        <v>2193</v>
      </c>
      <c r="J6" s="43"/>
    </row>
    <row r="7" spans="1:18" ht="16.5" customHeight="1">
      <c r="A7" s="323"/>
      <c r="B7" s="440"/>
      <c r="C7" s="352"/>
      <c r="D7" s="326"/>
      <c r="E7" s="347"/>
      <c r="F7" s="348"/>
      <c r="G7" s="349"/>
      <c r="H7" s="399"/>
      <c r="J7" s="43"/>
    </row>
    <row r="8" spans="1:18" ht="16.5" customHeight="1">
      <c r="A8" s="322" t="s">
        <v>2191</v>
      </c>
      <c r="B8" s="439" t="s">
        <v>2197</v>
      </c>
      <c r="C8" s="353"/>
      <c r="D8" s="343">
        <v>800000</v>
      </c>
      <c r="E8" s="327" t="s">
        <v>2202</v>
      </c>
      <c r="F8" s="345"/>
      <c r="G8" s="346"/>
      <c r="H8" s="398" t="s">
        <v>2193</v>
      </c>
      <c r="J8" s="43"/>
    </row>
    <row r="9" spans="1:18" ht="24" customHeight="1">
      <c r="A9" s="323"/>
      <c r="B9" s="440"/>
      <c r="C9" s="352"/>
      <c r="D9" s="344"/>
      <c r="E9" s="347"/>
      <c r="F9" s="348"/>
      <c r="G9" s="349"/>
      <c r="H9" s="399"/>
    </row>
    <row r="10" spans="1:18" ht="16.5" customHeight="1">
      <c r="A10" s="322" t="s">
        <v>2192</v>
      </c>
      <c r="B10" s="444" t="s">
        <v>2198</v>
      </c>
      <c r="C10" s="324"/>
      <c r="D10" s="343">
        <v>200000</v>
      </c>
      <c r="E10" s="327" t="s">
        <v>2199</v>
      </c>
      <c r="F10" s="328"/>
      <c r="G10" s="329"/>
      <c r="H10" s="398" t="s">
        <v>2194</v>
      </c>
    </row>
    <row r="11" spans="1:18" ht="30.75" customHeight="1">
      <c r="A11" s="323"/>
      <c r="B11" s="445"/>
      <c r="C11" s="325"/>
      <c r="D11" s="344"/>
      <c r="E11" s="330"/>
      <c r="F11" s="331"/>
      <c r="G11" s="332"/>
      <c r="H11" s="399"/>
    </row>
    <row r="12" spans="1:18" ht="16.5" customHeight="1">
      <c r="A12" s="322" t="s">
        <v>2195</v>
      </c>
      <c r="B12" s="439" t="s">
        <v>2200</v>
      </c>
      <c r="C12" s="341"/>
      <c r="D12" s="326">
        <v>280000</v>
      </c>
      <c r="E12" s="327" t="s">
        <v>2201</v>
      </c>
      <c r="F12" s="328"/>
      <c r="G12" s="329"/>
      <c r="H12" s="398" t="s">
        <v>2210</v>
      </c>
    </row>
    <row r="13" spans="1:18" ht="16.5" customHeight="1">
      <c r="A13" s="323"/>
      <c r="B13" s="440"/>
      <c r="C13" s="342"/>
      <c r="D13" s="326"/>
      <c r="E13" s="330"/>
      <c r="F13" s="331"/>
      <c r="G13" s="332"/>
      <c r="H13" s="399"/>
    </row>
    <row r="14" spans="1:18" ht="16.5" customHeight="1">
      <c r="A14" s="322" t="s">
        <v>2196</v>
      </c>
      <c r="B14" s="439"/>
      <c r="C14" s="341"/>
      <c r="D14" s="343">
        <v>160000</v>
      </c>
      <c r="E14" s="327" t="s">
        <v>2204</v>
      </c>
      <c r="F14" s="345"/>
      <c r="G14" s="346"/>
      <c r="H14" s="398" t="s">
        <v>2209</v>
      </c>
    </row>
    <row r="15" spans="1:18" ht="16.5" customHeight="1">
      <c r="A15" s="323"/>
      <c r="B15" s="440"/>
      <c r="C15" s="342"/>
      <c r="D15" s="344"/>
      <c r="E15" s="347"/>
      <c r="F15" s="348"/>
      <c r="G15" s="349"/>
      <c r="H15" s="399"/>
    </row>
    <row r="16" spans="1:18" ht="16.5" customHeight="1">
      <c r="A16" s="322" t="s">
        <v>2205</v>
      </c>
      <c r="B16" s="439" t="s">
        <v>2206</v>
      </c>
      <c r="C16" s="341" t="s">
        <v>2207</v>
      </c>
      <c r="D16" s="343">
        <v>1000000</v>
      </c>
      <c r="E16" s="562" t="s">
        <v>2208</v>
      </c>
      <c r="F16" s="563"/>
      <c r="G16" s="564"/>
      <c r="H16" s="398" t="s">
        <v>145</v>
      </c>
    </row>
    <row r="17" spans="1:11" ht="16.5" customHeight="1">
      <c r="A17" s="323"/>
      <c r="B17" s="440"/>
      <c r="C17" s="352"/>
      <c r="D17" s="344"/>
      <c r="E17" s="565"/>
      <c r="F17" s="566"/>
      <c r="G17" s="567"/>
      <c r="H17" s="399"/>
    </row>
    <row r="18" spans="1:11" ht="16.5" customHeight="1">
      <c r="A18" s="322" t="s">
        <v>2205</v>
      </c>
      <c r="B18" s="444" t="s">
        <v>2211</v>
      </c>
      <c r="C18" s="325"/>
      <c r="D18" s="326">
        <v>270000</v>
      </c>
      <c r="E18" s="327"/>
      <c r="F18" s="328"/>
      <c r="G18" s="329"/>
      <c r="H18" s="398" t="s">
        <v>2210</v>
      </c>
    </row>
    <row r="19" spans="1:11" ht="16.5" customHeight="1">
      <c r="A19" s="323"/>
      <c r="B19" s="445"/>
      <c r="C19" s="325"/>
      <c r="D19" s="326"/>
      <c r="E19" s="330"/>
      <c r="F19" s="331"/>
      <c r="G19" s="332"/>
      <c r="H19" s="399"/>
    </row>
    <row r="20" spans="1:11" ht="16.5" customHeight="1">
      <c r="A20" s="322" t="s">
        <v>2212</v>
      </c>
      <c r="B20" s="439" t="s">
        <v>2259</v>
      </c>
      <c r="C20" s="324"/>
      <c r="D20" s="326">
        <v>460000</v>
      </c>
      <c r="E20" s="562" t="s">
        <v>1760</v>
      </c>
      <c r="F20" s="582"/>
      <c r="G20" s="583"/>
      <c r="H20" s="398" t="s">
        <v>2257</v>
      </c>
    </row>
    <row r="21" spans="1:11" ht="22.5" customHeight="1">
      <c r="A21" s="323"/>
      <c r="B21" s="440"/>
      <c r="C21" s="325"/>
      <c r="D21" s="326"/>
      <c r="E21" s="584"/>
      <c r="F21" s="585"/>
      <c r="G21" s="586"/>
      <c r="H21" s="399"/>
      <c r="K21" s="24"/>
    </row>
    <row r="22" spans="1:11" ht="16.5" customHeight="1">
      <c r="A22" s="322" t="s">
        <v>2213</v>
      </c>
      <c r="B22" s="444" t="s">
        <v>2260</v>
      </c>
      <c r="C22" s="341"/>
      <c r="D22" s="326">
        <v>200000</v>
      </c>
      <c r="E22" s="364"/>
      <c r="F22" s="365"/>
      <c r="G22" s="366"/>
      <c r="H22" s="360" t="s">
        <v>2258</v>
      </c>
    </row>
    <row r="23" spans="1:11" ht="16.5" customHeight="1">
      <c r="A23" s="323"/>
      <c r="B23" s="445"/>
      <c r="C23" s="342"/>
      <c r="D23" s="326"/>
      <c r="E23" s="347"/>
      <c r="F23" s="348"/>
      <c r="G23" s="349"/>
      <c r="H23" s="359"/>
    </row>
    <row r="24" spans="1:11" ht="16.5" customHeight="1">
      <c r="A24" s="322" t="s">
        <v>2215</v>
      </c>
      <c r="B24" s="439" t="s">
        <v>2216</v>
      </c>
      <c r="C24" s="341"/>
      <c r="D24" s="326">
        <v>880000</v>
      </c>
      <c r="E24" s="562" t="s">
        <v>2217</v>
      </c>
      <c r="F24" s="563"/>
      <c r="G24" s="564"/>
      <c r="H24" s="360" t="s">
        <v>2218</v>
      </c>
    </row>
    <row r="25" spans="1:11" ht="51" customHeight="1">
      <c r="A25" s="323"/>
      <c r="B25" s="440"/>
      <c r="C25" s="342"/>
      <c r="D25" s="326"/>
      <c r="E25" s="565"/>
      <c r="F25" s="566"/>
      <c r="G25" s="567"/>
      <c r="H25" s="359"/>
    </row>
    <row r="26" spans="1:11" ht="16.5" customHeight="1">
      <c r="A26" s="322"/>
      <c r="B26" s="658" t="s">
        <v>2256</v>
      </c>
      <c r="C26" s="659"/>
      <c r="D26" s="659"/>
      <c r="E26" s="659"/>
      <c r="F26" s="659"/>
      <c r="G26" s="659"/>
      <c r="H26" s="660"/>
      <c r="K26" s="24"/>
    </row>
    <row r="27" spans="1:11" ht="59.25" customHeight="1">
      <c r="A27" s="323"/>
      <c r="B27" s="661"/>
      <c r="C27" s="662"/>
      <c r="D27" s="662"/>
      <c r="E27" s="662"/>
      <c r="F27" s="662"/>
      <c r="G27" s="662"/>
      <c r="H27" s="663"/>
      <c r="K27" s="24"/>
    </row>
    <row r="28" spans="1:11" ht="16.5" customHeight="1">
      <c r="A28" s="335" t="s">
        <v>2219</v>
      </c>
      <c r="B28" s="444" t="s">
        <v>2220</v>
      </c>
      <c r="C28" s="341"/>
      <c r="D28" s="326">
        <v>300000</v>
      </c>
      <c r="E28" s="337"/>
      <c r="F28" s="326"/>
      <c r="G28" s="326"/>
      <c r="H28" s="360" t="s">
        <v>2227</v>
      </c>
      <c r="I28" s="4"/>
    </row>
    <row r="29" spans="1:11" ht="16.5" customHeight="1">
      <c r="A29" s="336"/>
      <c r="B29" s="445"/>
      <c r="C29" s="342"/>
      <c r="D29" s="326"/>
      <c r="E29" s="326"/>
      <c r="F29" s="326"/>
      <c r="G29" s="326"/>
      <c r="H29" s="359"/>
    </row>
    <row r="30" spans="1:11" ht="16.5" customHeight="1">
      <c r="A30" s="335" t="s">
        <v>2219</v>
      </c>
      <c r="B30" s="444" t="s">
        <v>2221</v>
      </c>
      <c r="C30" s="341" t="s">
        <v>2222</v>
      </c>
      <c r="D30" s="326">
        <v>210000</v>
      </c>
      <c r="E30" s="327" t="s">
        <v>2226</v>
      </c>
      <c r="F30" s="345"/>
      <c r="G30" s="346"/>
      <c r="H30" s="360" t="s">
        <v>2218</v>
      </c>
    </row>
    <row r="31" spans="1:11" ht="16.5" customHeight="1">
      <c r="A31" s="336"/>
      <c r="B31" s="445"/>
      <c r="C31" s="342"/>
      <c r="D31" s="326"/>
      <c r="E31" s="347"/>
      <c r="F31" s="348"/>
      <c r="G31" s="349"/>
      <c r="H31" s="359"/>
    </row>
    <row r="32" spans="1:11" ht="16.5" customHeight="1">
      <c r="A32" s="335" t="s">
        <v>2219</v>
      </c>
      <c r="B32" s="439" t="s">
        <v>2224</v>
      </c>
      <c r="C32" s="341"/>
      <c r="D32" s="326">
        <v>230000</v>
      </c>
      <c r="E32" s="327" t="s">
        <v>2225</v>
      </c>
      <c r="F32" s="328"/>
      <c r="G32" s="329"/>
      <c r="H32" s="360" t="s">
        <v>2218</v>
      </c>
    </row>
    <row r="33" spans="1:10" ht="16.5" customHeight="1">
      <c r="A33" s="336"/>
      <c r="B33" s="440"/>
      <c r="C33" s="342"/>
      <c r="D33" s="326"/>
      <c r="E33" s="330"/>
      <c r="F33" s="331"/>
      <c r="G33" s="332"/>
      <c r="H33" s="359"/>
    </row>
    <row r="34" spans="1:10" ht="16.5" customHeight="1">
      <c r="A34" s="322" t="s">
        <v>2228</v>
      </c>
      <c r="B34" s="444" t="s">
        <v>2229</v>
      </c>
      <c r="C34" s="324"/>
      <c r="D34" s="326">
        <v>157000</v>
      </c>
      <c r="E34" s="327" t="s">
        <v>2232</v>
      </c>
      <c r="F34" s="328"/>
      <c r="G34" s="329"/>
      <c r="H34" s="360" t="s">
        <v>2231</v>
      </c>
    </row>
    <row r="35" spans="1:10" ht="16.5" customHeight="1">
      <c r="A35" s="323"/>
      <c r="B35" s="445"/>
      <c r="C35" s="325"/>
      <c r="D35" s="326"/>
      <c r="E35" s="330"/>
      <c r="F35" s="331"/>
      <c r="G35" s="332"/>
      <c r="H35" s="359"/>
    </row>
    <row r="36" spans="1:10" ht="16.5" customHeight="1">
      <c r="A36" s="322" t="s">
        <v>2228</v>
      </c>
      <c r="B36" s="444" t="s">
        <v>2233</v>
      </c>
      <c r="C36" s="341"/>
      <c r="D36" s="326">
        <v>210000</v>
      </c>
      <c r="E36" s="327" t="s">
        <v>2230</v>
      </c>
      <c r="F36" s="328"/>
      <c r="G36" s="329"/>
      <c r="H36" s="360" t="s">
        <v>2231</v>
      </c>
    </row>
    <row r="37" spans="1:10" ht="16.5" customHeight="1">
      <c r="A37" s="323"/>
      <c r="B37" s="445"/>
      <c r="C37" s="342"/>
      <c r="D37" s="326"/>
      <c r="E37" s="330"/>
      <c r="F37" s="331"/>
      <c r="G37" s="332"/>
      <c r="H37" s="359"/>
    </row>
    <row r="38" spans="1:10" ht="16.5" customHeight="1">
      <c r="A38" s="322" t="s">
        <v>2234</v>
      </c>
      <c r="B38" s="496" t="s">
        <v>2248</v>
      </c>
      <c r="C38" s="324" t="s">
        <v>2254</v>
      </c>
      <c r="D38" s="326">
        <v>350000</v>
      </c>
      <c r="E38" s="327" t="s">
        <v>2247</v>
      </c>
      <c r="F38" s="328"/>
      <c r="G38" s="329"/>
      <c r="H38" s="360" t="s">
        <v>2277</v>
      </c>
    </row>
    <row r="39" spans="1:10" ht="26.25" customHeight="1">
      <c r="A39" s="323"/>
      <c r="B39" s="497"/>
      <c r="C39" s="325"/>
      <c r="D39" s="326"/>
      <c r="E39" s="330"/>
      <c r="F39" s="331"/>
      <c r="G39" s="332"/>
      <c r="H39" s="359"/>
    </row>
    <row r="40" spans="1:10" ht="16.5" customHeight="1">
      <c r="A40" s="322" t="s">
        <v>2235</v>
      </c>
      <c r="B40" s="496" t="s">
        <v>2239</v>
      </c>
      <c r="C40" s="341" t="s">
        <v>2241</v>
      </c>
      <c r="D40" s="326">
        <v>525000</v>
      </c>
      <c r="E40" s="327" t="s">
        <v>2240</v>
      </c>
      <c r="F40" s="345"/>
      <c r="G40" s="346"/>
      <c r="H40" s="360" t="s">
        <v>2237</v>
      </c>
    </row>
    <row r="41" spans="1:10" ht="16.5" customHeight="1">
      <c r="A41" s="322"/>
      <c r="B41" s="496"/>
      <c r="C41" s="361"/>
      <c r="D41" s="326"/>
      <c r="E41" s="364"/>
      <c r="F41" s="365"/>
      <c r="G41" s="366"/>
      <c r="H41" s="360"/>
    </row>
    <row r="42" spans="1:10" ht="3.75" customHeight="1">
      <c r="A42" s="323"/>
      <c r="B42" s="497"/>
      <c r="C42" s="352"/>
      <c r="D42" s="326"/>
      <c r="E42" s="347"/>
      <c r="F42" s="348"/>
      <c r="G42" s="349"/>
      <c r="H42" s="359"/>
    </row>
    <row r="43" spans="1:10" ht="16.5" customHeight="1">
      <c r="A43" s="322" t="s">
        <v>2236</v>
      </c>
      <c r="B43" s="496" t="s">
        <v>2250</v>
      </c>
      <c r="C43" s="324"/>
      <c r="D43" s="326">
        <v>750000</v>
      </c>
      <c r="E43" s="327" t="s">
        <v>2251</v>
      </c>
      <c r="F43" s="328"/>
      <c r="G43" s="329"/>
      <c r="H43" s="360" t="s">
        <v>2255</v>
      </c>
      <c r="J43" s="57"/>
    </row>
    <row r="44" spans="1:10" ht="16.5" customHeight="1">
      <c r="A44" s="323"/>
      <c r="B44" s="497"/>
      <c r="C44" s="325"/>
      <c r="D44" s="326"/>
      <c r="E44" s="330"/>
      <c r="F44" s="331"/>
      <c r="G44" s="332"/>
      <c r="H44" s="359"/>
      <c r="J44" s="57"/>
    </row>
    <row r="45" spans="1:10" ht="16.5" customHeight="1">
      <c r="A45" s="322" t="s">
        <v>2236</v>
      </c>
      <c r="B45" s="596" t="s">
        <v>2253</v>
      </c>
      <c r="C45" s="341" t="s">
        <v>2252</v>
      </c>
      <c r="D45" s="343">
        <v>1500000</v>
      </c>
      <c r="E45" s="562" t="s">
        <v>2249</v>
      </c>
      <c r="F45" s="563"/>
      <c r="G45" s="564"/>
      <c r="H45" s="400" t="s">
        <v>2238</v>
      </c>
    </row>
    <row r="46" spans="1:10" ht="16.5" customHeight="1">
      <c r="A46" s="323"/>
      <c r="B46" s="597"/>
      <c r="C46" s="342"/>
      <c r="D46" s="344"/>
      <c r="E46" s="565"/>
      <c r="F46" s="566"/>
      <c r="G46" s="567"/>
      <c r="H46" s="401"/>
    </row>
    <row r="47" spans="1:10" ht="16.5" customHeight="1">
      <c r="A47" s="322" t="s">
        <v>2236</v>
      </c>
      <c r="B47" s="596" t="s">
        <v>2242</v>
      </c>
      <c r="C47" s="341" t="s">
        <v>2244</v>
      </c>
      <c r="D47" s="343">
        <v>470000</v>
      </c>
      <c r="E47" s="327" t="s">
        <v>2243</v>
      </c>
      <c r="F47" s="345"/>
      <c r="G47" s="346"/>
      <c r="H47" s="400" t="s">
        <v>2237</v>
      </c>
    </row>
    <row r="48" spans="1:10" ht="41.25" customHeight="1">
      <c r="A48" s="323"/>
      <c r="B48" s="597"/>
      <c r="C48" s="342"/>
      <c r="D48" s="344"/>
      <c r="E48" s="347"/>
      <c r="F48" s="348"/>
      <c r="G48" s="349"/>
      <c r="H48" s="401"/>
    </row>
    <row r="49" spans="1:12" ht="16.5" customHeight="1">
      <c r="A49" s="322" t="s">
        <v>2236</v>
      </c>
      <c r="B49" s="496" t="s">
        <v>2245</v>
      </c>
      <c r="C49" s="341"/>
      <c r="D49" s="343">
        <v>780000</v>
      </c>
      <c r="E49" s="327" t="s">
        <v>2246</v>
      </c>
      <c r="F49" s="328"/>
      <c r="G49" s="329"/>
      <c r="H49" s="400" t="s">
        <v>2238</v>
      </c>
    </row>
    <row r="50" spans="1:12" ht="16.5" customHeight="1">
      <c r="A50" s="323"/>
      <c r="B50" s="497"/>
      <c r="C50" s="342"/>
      <c r="D50" s="344"/>
      <c r="E50" s="330"/>
      <c r="F50" s="331"/>
      <c r="G50" s="332"/>
      <c r="H50" s="401"/>
    </row>
    <row r="51" spans="1:12" ht="16.5" customHeight="1">
      <c r="A51" s="335" t="s">
        <v>2261</v>
      </c>
      <c r="B51" s="496" t="s">
        <v>2262</v>
      </c>
      <c r="C51" s="325"/>
      <c r="D51" s="326">
        <v>165000</v>
      </c>
      <c r="E51" s="327" t="s">
        <v>2263</v>
      </c>
      <c r="F51" s="328"/>
      <c r="G51" s="329"/>
      <c r="H51" s="359" t="s">
        <v>2272</v>
      </c>
    </row>
    <row r="52" spans="1:12" ht="18.75" customHeight="1">
      <c r="A52" s="336"/>
      <c r="B52" s="497"/>
      <c r="C52" s="325"/>
      <c r="D52" s="326"/>
      <c r="E52" s="330"/>
      <c r="F52" s="331"/>
      <c r="G52" s="332"/>
      <c r="H52" s="359"/>
    </row>
    <row r="53" spans="1:12" ht="16.5" customHeight="1">
      <c r="A53" s="322"/>
      <c r="B53" s="664" t="s">
        <v>2316</v>
      </c>
      <c r="C53" s="665"/>
      <c r="D53" s="665"/>
      <c r="E53" s="665"/>
      <c r="F53" s="665"/>
      <c r="G53" s="665"/>
      <c r="H53" s="666"/>
      <c r="L53" s="23"/>
    </row>
    <row r="54" spans="1:12" ht="45.75" customHeight="1">
      <c r="A54" s="323"/>
      <c r="B54" s="667"/>
      <c r="C54" s="668"/>
      <c r="D54" s="668"/>
      <c r="E54" s="668"/>
      <c r="F54" s="668"/>
      <c r="G54" s="668"/>
      <c r="H54" s="669"/>
    </row>
    <row r="55" spans="1:12" ht="16.5" customHeight="1">
      <c r="A55" s="322" t="s">
        <v>2264</v>
      </c>
      <c r="B55" s="496" t="s">
        <v>2265</v>
      </c>
      <c r="C55" s="325"/>
      <c r="D55" s="326">
        <v>265000</v>
      </c>
      <c r="E55" s="327" t="s">
        <v>2280</v>
      </c>
      <c r="F55" s="328"/>
      <c r="G55" s="329"/>
      <c r="H55" s="359" t="s">
        <v>2266</v>
      </c>
    </row>
    <row r="56" spans="1:12" ht="24.75" customHeight="1">
      <c r="A56" s="323"/>
      <c r="B56" s="497"/>
      <c r="C56" s="325"/>
      <c r="D56" s="326"/>
      <c r="E56" s="330"/>
      <c r="F56" s="331"/>
      <c r="G56" s="332"/>
      <c r="H56" s="359"/>
    </row>
    <row r="57" spans="1:12" ht="16.5" customHeight="1">
      <c r="A57" s="322" t="s">
        <v>2264</v>
      </c>
      <c r="B57" s="496" t="s">
        <v>2267</v>
      </c>
      <c r="C57" s="325" t="s">
        <v>2315</v>
      </c>
      <c r="D57" s="326">
        <v>1200000</v>
      </c>
      <c r="E57" s="327"/>
      <c r="F57" s="328"/>
      <c r="G57" s="329"/>
      <c r="H57" s="360" t="s">
        <v>2271</v>
      </c>
    </row>
    <row r="58" spans="1:12" ht="16.5" customHeight="1">
      <c r="A58" s="323"/>
      <c r="B58" s="497"/>
      <c r="C58" s="325"/>
      <c r="D58" s="326"/>
      <c r="E58" s="330"/>
      <c r="F58" s="331"/>
      <c r="G58" s="332"/>
      <c r="H58" s="359"/>
    </row>
    <row r="59" spans="1:12" ht="16.5" customHeight="1">
      <c r="A59" s="322" t="s">
        <v>2268</v>
      </c>
      <c r="B59" s="496" t="s">
        <v>2269</v>
      </c>
      <c r="C59" s="341"/>
      <c r="D59" s="343">
        <v>90000</v>
      </c>
      <c r="E59" s="327" t="s">
        <v>2279</v>
      </c>
      <c r="F59" s="345"/>
      <c r="G59" s="346"/>
      <c r="H59" s="360" t="s">
        <v>2270</v>
      </c>
    </row>
    <row r="60" spans="1:12" ht="16.5" customHeight="1">
      <c r="A60" s="323"/>
      <c r="B60" s="497"/>
      <c r="C60" s="352"/>
      <c r="D60" s="344"/>
      <c r="E60" s="347"/>
      <c r="F60" s="348"/>
      <c r="G60" s="349"/>
      <c r="H60" s="359"/>
    </row>
    <row r="61" spans="1:12" ht="16.5" customHeight="1">
      <c r="A61" s="322" t="s">
        <v>2273</v>
      </c>
      <c r="B61" s="496" t="s">
        <v>2274</v>
      </c>
      <c r="C61" s="324"/>
      <c r="D61" s="326">
        <v>315000</v>
      </c>
      <c r="E61" s="327" t="s">
        <v>2276</v>
      </c>
      <c r="F61" s="328"/>
      <c r="G61" s="329"/>
      <c r="H61" s="360" t="s">
        <v>2275</v>
      </c>
    </row>
    <row r="62" spans="1:12" ht="16.5" customHeight="1">
      <c r="A62" s="323"/>
      <c r="B62" s="497"/>
      <c r="C62" s="325"/>
      <c r="D62" s="326"/>
      <c r="E62" s="330"/>
      <c r="F62" s="331"/>
      <c r="G62" s="332"/>
      <c r="H62" s="359"/>
    </row>
    <row r="63" spans="1:12" ht="16.5" customHeight="1">
      <c r="A63" s="322" t="s">
        <v>2278</v>
      </c>
      <c r="B63" s="496" t="s">
        <v>2291</v>
      </c>
      <c r="C63" s="324"/>
      <c r="D63" s="343">
        <v>30000</v>
      </c>
      <c r="E63" s="327" t="s">
        <v>2292</v>
      </c>
      <c r="F63" s="328"/>
      <c r="G63" s="329"/>
      <c r="H63" s="359" t="s">
        <v>2290</v>
      </c>
    </row>
    <row r="64" spans="1:12" ht="36.75" customHeight="1">
      <c r="A64" s="323"/>
      <c r="B64" s="497"/>
      <c r="C64" s="325"/>
      <c r="D64" s="344"/>
      <c r="E64" s="330"/>
      <c r="F64" s="331"/>
      <c r="G64" s="332"/>
      <c r="H64" s="359"/>
    </row>
    <row r="65" spans="1:10">
      <c r="A65" s="322" t="s">
        <v>2281</v>
      </c>
      <c r="B65" s="498" t="s">
        <v>2287</v>
      </c>
      <c r="C65" s="325" t="s">
        <v>2311</v>
      </c>
      <c r="D65" s="343">
        <v>710000</v>
      </c>
      <c r="E65" s="337" t="s">
        <v>2310</v>
      </c>
      <c r="F65" s="326"/>
      <c r="G65" s="326"/>
      <c r="H65" s="359" t="s">
        <v>2282</v>
      </c>
    </row>
    <row r="66" spans="1:10" ht="32.25" customHeight="1">
      <c r="A66" s="323"/>
      <c r="B66" s="499"/>
      <c r="C66" s="325"/>
      <c r="D66" s="344"/>
      <c r="E66" s="326"/>
      <c r="F66" s="326"/>
      <c r="G66" s="326"/>
      <c r="H66" s="359"/>
    </row>
    <row r="67" spans="1:10">
      <c r="A67" s="322" t="s">
        <v>2283</v>
      </c>
      <c r="B67" s="498" t="s">
        <v>2312</v>
      </c>
      <c r="C67" s="324" t="s">
        <v>2313</v>
      </c>
      <c r="D67" s="343">
        <v>220000</v>
      </c>
      <c r="E67" s="337" t="s">
        <v>2286</v>
      </c>
      <c r="F67" s="326"/>
      <c r="G67" s="326"/>
      <c r="H67" s="359" t="s">
        <v>2285</v>
      </c>
    </row>
    <row r="68" spans="1:10">
      <c r="A68" s="323"/>
      <c r="B68" s="499"/>
      <c r="C68" s="325"/>
      <c r="D68" s="344"/>
      <c r="E68" s="326"/>
      <c r="F68" s="326"/>
      <c r="G68" s="326"/>
      <c r="H68" s="359"/>
    </row>
    <row r="69" spans="1:10">
      <c r="A69" s="322" t="s">
        <v>2284</v>
      </c>
      <c r="B69" s="498" t="s">
        <v>2312</v>
      </c>
      <c r="C69" s="324" t="s">
        <v>2313</v>
      </c>
      <c r="D69" s="343">
        <v>120000</v>
      </c>
      <c r="E69" s="337" t="s">
        <v>2314</v>
      </c>
      <c r="F69" s="326"/>
      <c r="G69" s="326"/>
      <c r="H69" s="359" t="s">
        <v>2290</v>
      </c>
    </row>
    <row r="70" spans="1:10">
      <c r="A70" s="323"/>
      <c r="B70" s="499"/>
      <c r="C70" s="325"/>
      <c r="D70" s="344"/>
      <c r="E70" s="326"/>
      <c r="F70" s="326"/>
      <c r="G70" s="326"/>
      <c r="H70" s="359"/>
    </row>
    <row r="71" spans="1:10" ht="16.5" customHeight="1">
      <c r="A71" s="322" t="s">
        <v>2284</v>
      </c>
      <c r="B71" s="500" t="s">
        <v>2288</v>
      </c>
      <c r="C71" s="353" t="s">
        <v>2309</v>
      </c>
      <c r="D71" s="343">
        <v>420000</v>
      </c>
      <c r="E71" s="327" t="s">
        <v>2308</v>
      </c>
      <c r="F71" s="345"/>
      <c r="G71" s="346"/>
      <c r="H71" s="359" t="s">
        <v>2290</v>
      </c>
    </row>
    <row r="72" spans="1:10">
      <c r="A72" s="323"/>
      <c r="B72" s="501"/>
      <c r="C72" s="352"/>
      <c r="D72" s="344"/>
      <c r="E72" s="347"/>
      <c r="F72" s="348"/>
      <c r="G72" s="349"/>
      <c r="H72" s="359"/>
    </row>
    <row r="73" spans="1:10">
      <c r="A73" s="322" t="s">
        <v>2284</v>
      </c>
      <c r="B73" s="500" t="s">
        <v>2289</v>
      </c>
      <c r="C73" s="341"/>
      <c r="D73" s="343">
        <v>220000</v>
      </c>
      <c r="E73" s="337"/>
      <c r="F73" s="326"/>
      <c r="G73" s="326"/>
      <c r="H73" s="359" t="s">
        <v>2290</v>
      </c>
    </row>
    <row r="74" spans="1:10">
      <c r="A74" s="323"/>
      <c r="B74" s="501"/>
      <c r="C74" s="342"/>
      <c r="D74" s="344"/>
      <c r="E74" s="326"/>
      <c r="F74" s="326"/>
      <c r="G74" s="326"/>
      <c r="H74" s="359"/>
    </row>
    <row r="75" spans="1:10" ht="52.5" customHeight="1">
      <c r="A75" s="61"/>
      <c r="B75" s="677" t="s">
        <v>2364</v>
      </c>
      <c r="C75" s="678"/>
      <c r="D75" s="678"/>
      <c r="E75" s="678"/>
      <c r="F75" s="678"/>
      <c r="G75" s="678"/>
      <c r="H75" s="679"/>
    </row>
    <row r="76" spans="1:10">
      <c r="A76" s="322" t="s">
        <v>2294</v>
      </c>
      <c r="B76" s="498" t="s">
        <v>2295</v>
      </c>
      <c r="C76" s="341" t="s">
        <v>2306</v>
      </c>
      <c r="D76" s="343">
        <v>590000</v>
      </c>
      <c r="E76" s="327" t="s">
        <v>2307</v>
      </c>
      <c r="F76" s="328"/>
      <c r="G76" s="329"/>
      <c r="H76" s="359" t="s">
        <v>2293</v>
      </c>
    </row>
    <row r="77" spans="1:10">
      <c r="A77" s="323"/>
      <c r="B77" s="499"/>
      <c r="C77" s="342"/>
      <c r="D77" s="344"/>
      <c r="E77" s="330"/>
      <c r="F77" s="331"/>
      <c r="G77" s="332"/>
      <c r="H77" s="359"/>
    </row>
    <row r="78" spans="1:10">
      <c r="A78" s="322" t="s">
        <v>2296</v>
      </c>
      <c r="B78" s="498" t="s">
        <v>2304</v>
      </c>
      <c r="C78" s="325" t="s">
        <v>2305</v>
      </c>
      <c r="D78" s="326">
        <v>680000</v>
      </c>
      <c r="E78" s="574" t="s">
        <v>2297</v>
      </c>
      <c r="F78" s="575"/>
      <c r="G78" s="575"/>
      <c r="H78" s="359" t="s">
        <v>2298</v>
      </c>
    </row>
    <row r="79" spans="1:10">
      <c r="A79" s="323"/>
      <c r="B79" s="499"/>
      <c r="C79" s="325"/>
      <c r="D79" s="326"/>
      <c r="E79" s="575"/>
      <c r="F79" s="575"/>
      <c r="G79" s="575"/>
      <c r="H79" s="359"/>
    </row>
    <row r="80" spans="1:10">
      <c r="A80" s="322" t="s">
        <v>2299</v>
      </c>
      <c r="B80" s="498" t="s">
        <v>2301</v>
      </c>
      <c r="C80" s="325" t="s">
        <v>2302</v>
      </c>
      <c r="D80" s="326">
        <v>330000</v>
      </c>
      <c r="E80" s="337" t="s">
        <v>2303</v>
      </c>
      <c r="F80" s="326"/>
      <c r="G80" s="326"/>
      <c r="H80" s="360" t="s">
        <v>2300</v>
      </c>
      <c r="J80">
        <v>335000</v>
      </c>
    </row>
    <row r="81" spans="1:10" ht="25.5" customHeight="1">
      <c r="A81" s="323"/>
      <c r="B81" s="499"/>
      <c r="C81" s="325"/>
      <c r="D81" s="326"/>
      <c r="E81" s="326"/>
      <c r="F81" s="326"/>
      <c r="G81" s="326"/>
      <c r="H81" s="359"/>
      <c r="J81">
        <v>275000</v>
      </c>
    </row>
    <row r="82" spans="1:10">
      <c r="A82" s="322" t="s">
        <v>2317</v>
      </c>
      <c r="B82" s="498" t="s">
        <v>2319</v>
      </c>
      <c r="C82" s="324" t="s">
        <v>2320</v>
      </c>
      <c r="D82" s="326">
        <v>200000</v>
      </c>
      <c r="E82" s="327" t="s">
        <v>2321</v>
      </c>
      <c r="F82" s="328"/>
      <c r="G82" s="329"/>
      <c r="H82" s="359" t="s">
        <v>2333</v>
      </c>
    </row>
    <row r="83" spans="1:10">
      <c r="A83" s="323"/>
      <c r="B83" s="499"/>
      <c r="C83" s="325"/>
      <c r="D83" s="326"/>
      <c r="E83" s="330"/>
      <c r="F83" s="331"/>
      <c r="G83" s="332"/>
      <c r="H83" s="359"/>
    </row>
    <row r="84" spans="1:10">
      <c r="A84" s="322" t="s">
        <v>2318</v>
      </c>
      <c r="B84" s="498" t="s">
        <v>2322</v>
      </c>
      <c r="C84" s="324"/>
      <c r="D84" s="326">
        <v>120000</v>
      </c>
      <c r="E84" s="337" t="s">
        <v>2323</v>
      </c>
      <c r="F84" s="326"/>
      <c r="G84" s="326"/>
      <c r="H84" s="359" t="s">
        <v>2334</v>
      </c>
    </row>
    <row r="85" spans="1:10" ht="15.75" customHeight="1">
      <c r="A85" s="323"/>
      <c r="B85" s="499"/>
      <c r="C85" s="325"/>
      <c r="D85" s="326"/>
      <c r="E85" s="326"/>
      <c r="F85" s="326"/>
      <c r="G85" s="326"/>
      <c r="H85" s="359"/>
    </row>
    <row r="86" spans="1:10" ht="35.25" customHeight="1">
      <c r="A86" s="54" t="s">
        <v>2317</v>
      </c>
      <c r="B86" s="51" t="s">
        <v>2352</v>
      </c>
      <c r="C86" s="59" t="s">
        <v>2353</v>
      </c>
      <c r="D86" s="60">
        <v>305000</v>
      </c>
      <c r="E86" s="650" t="s">
        <v>2326</v>
      </c>
      <c r="F86" s="628"/>
      <c r="G86" s="629"/>
      <c r="H86" s="52" t="s">
        <v>2327</v>
      </c>
      <c r="J86" t="s">
        <v>1981</v>
      </c>
    </row>
    <row r="87" spans="1:10">
      <c r="A87" s="322" t="s">
        <v>2324</v>
      </c>
      <c r="B87" s="478" t="s">
        <v>2330</v>
      </c>
      <c r="C87" s="325" t="s">
        <v>2331</v>
      </c>
      <c r="D87" s="326">
        <v>3000000</v>
      </c>
      <c r="E87" s="337" t="s">
        <v>2328</v>
      </c>
      <c r="F87" s="326"/>
      <c r="G87" s="326"/>
      <c r="H87" s="359" t="s">
        <v>2329</v>
      </c>
    </row>
    <row r="88" spans="1:10">
      <c r="A88" s="323"/>
      <c r="B88" s="479"/>
      <c r="C88" s="325"/>
      <c r="D88" s="326"/>
      <c r="E88" s="326"/>
      <c r="F88" s="326"/>
      <c r="G88" s="326"/>
      <c r="H88" s="359"/>
    </row>
    <row r="89" spans="1:10" ht="16.5" customHeight="1">
      <c r="A89" s="322" t="s">
        <v>2325</v>
      </c>
      <c r="B89" s="324" t="s">
        <v>2332</v>
      </c>
      <c r="C89" s="324"/>
      <c r="D89" s="326">
        <v>290000</v>
      </c>
      <c r="E89" s="574" t="s">
        <v>2339</v>
      </c>
      <c r="F89" s="575"/>
      <c r="G89" s="575"/>
      <c r="H89" s="360" t="s">
        <v>2334</v>
      </c>
    </row>
    <row r="90" spans="1:10">
      <c r="A90" s="323"/>
      <c r="B90" s="325"/>
      <c r="C90" s="325"/>
      <c r="D90" s="326"/>
      <c r="E90" s="575"/>
      <c r="F90" s="575"/>
      <c r="G90" s="575"/>
      <c r="H90" s="359"/>
    </row>
    <row r="91" spans="1:10">
      <c r="A91" s="322" t="s">
        <v>2335</v>
      </c>
      <c r="B91" s="324" t="s">
        <v>2336</v>
      </c>
      <c r="C91" s="325"/>
      <c r="D91" s="326">
        <v>50000</v>
      </c>
      <c r="E91" s="337" t="s">
        <v>2341</v>
      </c>
      <c r="F91" s="326"/>
      <c r="G91" s="326"/>
      <c r="H91" s="359" t="s">
        <v>2338</v>
      </c>
    </row>
    <row r="92" spans="1:10">
      <c r="A92" s="323"/>
      <c r="B92" s="325"/>
      <c r="C92" s="325"/>
      <c r="D92" s="326"/>
      <c r="E92" s="326"/>
      <c r="F92" s="326"/>
      <c r="G92" s="326"/>
      <c r="H92" s="359"/>
    </row>
    <row r="93" spans="1:10">
      <c r="A93" s="322" t="s">
        <v>2335</v>
      </c>
      <c r="B93" s="324" t="s">
        <v>2337</v>
      </c>
      <c r="C93" s="324"/>
      <c r="D93" s="326">
        <v>70000</v>
      </c>
      <c r="E93" s="337" t="s">
        <v>2342</v>
      </c>
      <c r="F93" s="326"/>
      <c r="G93" s="326"/>
      <c r="H93" s="360" t="s">
        <v>2343</v>
      </c>
    </row>
    <row r="94" spans="1:10">
      <c r="A94" s="323"/>
      <c r="B94" s="325"/>
      <c r="C94" s="325"/>
      <c r="D94" s="326"/>
      <c r="E94" s="326"/>
      <c r="F94" s="326"/>
      <c r="G94" s="326"/>
      <c r="H94" s="359"/>
    </row>
    <row r="95" spans="1:10">
      <c r="A95" s="322" t="s">
        <v>2340</v>
      </c>
      <c r="B95" s="324" t="s">
        <v>2344</v>
      </c>
      <c r="C95" s="325" t="s">
        <v>2345</v>
      </c>
      <c r="D95" s="326">
        <v>240000</v>
      </c>
      <c r="E95" s="337" t="s">
        <v>2346</v>
      </c>
      <c r="F95" s="326"/>
      <c r="G95" s="326"/>
      <c r="H95" s="360" t="s">
        <v>2347</v>
      </c>
    </row>
    <row r="96" spans="1:10">
      <c r="A96" s="323"/>
      <c r="B96" s="325"/>
      <c r="C96" s="325"/>
      <c r="D96" s="326"/>
      <c r="E96" s="326"/>
      <c r="F96" s="326"/>
      <c r="G96" s="326"/>
      <c r="H96" s="359"/>
    </row>
    <row r="97" spans="1:9">
      <c r="A97" s="323" t="s">
        <v>2340</v>
      </c>
      <c r="B97" s="324" t="s">
        <v>2348</v>
      </c>
      <c r="C97" s="325" t="s">
        <v>2349</v>
      </c>
      <c r="D97" s="326">
        <v>210000</v>
      </c>
      <c r="E97" s="337" t="s">
        <v>2350</v>
      </c>
      <c r="F97" s="326"/>
      <c r="G97" s="326"/>
      <c r="H97" s="359" t="s">
        <v>2351</v>
      </c>
    </row>
    <row r="98" spans="1:9">
      <c r="A98" s="323"/>
      <c r="B98" s="325"/>
      <c r="C98" s="325"/>
      <c r="D98" s="326"/>
      <c r="E98" s="326"/>
      <c r="F98" s="326"/>
      <c r="G98" s="326"/>
      <c r="H98" s="359"/>
    </row>
    <row r="99" spans="1:9" ht="16.5" customHeight="1">
      <c r="A99" s="322" t="s">
        <v>2355</v>
      </c>
      <c r="B99" s="324" t="s">
        <v>2356</v>
      </c>
      <c r="C99" s="325" t="s">
        <v>2357</v>
      </c>
      <c r="D99" s="326">
        <v>160000</v>
      </c>
      <c r="E99" s="337" t="s">
        <v>2354</v>
      </c>
      <c r="F99" s="326"/>
      <c r="G99" s="326"/>
      <c r="H99" s="359" t="s">
        <v>2361</v>
      </c>
    </row>
    <row r="100" spans="1:9">
      <c r="A100" s="323"/>
      <c r="B100" s="325"/>
      <c r="C100" s="325"/>
      <c r="D100" s="326"/>
      <c r="E100" s="326"/>
      <c r="F100" s="326"/>
      <c r="G100" s="326"/>
      <c r="H100" s="359"/>
    </row>
    <row r="101" spans="1:9">
      <c r="A101" s="322" t="s">
        <v>2358</v>
      </c>
      <c r="B101" s="324"/>
      <c r="C101" s="325"/>
      <c r="D101" s="326">
        <v>340000</v>
      </c>
      <c r="E101" s="337"/>
      <c r="F101" s="326"/>
      <c r="G101" s="326"/>
      <c r="H101" s="359" t="s">
        <v>2361</v>
      </c>
    </row>
    <row r="102" spans="1:9">
      <c r="A102" s="323"/>
      <c r="B102" s="325"/>
      <c r="C102" s="325"/>
      <c r="D102" s="326"/>
      <c r="E102" s="326"/>
      <c r="F102" s="326"/>
      <c r="G102" s="326"/>
      <c r="H102" s="359"/>
    </row>
    <row r="103" spans="1:9">
      <c r="A103" s="322" t="s">
        <v>2359</v>
      </c>
      <c r="B103" s="325" t="s">
        <v>2365</v>
      </c>
      <c r="C103" s="325"/>
      <c r="D103" s="326">
        <v>270000</v>
      </c>
      <c r="E103" s="337"/>
      <c r="F103" s="326"/>
      <c r="G103" s="326"/>
      <c r="H103" s="359" t="s">
        <v>2360</v>
      </c>
    </row>
    <row r="104" spans="1:9">
      <c r="A104" s="323"/>
      <c r="B104" s="325"/>
      <c r="C104" s="325"/>
      <c r="D104" s="326"/>
      <c r="E104" s="326"/>
      <c r="F104" s="326"/>
      <c r="G104" s="326"/>
      <c r="H104" s="359"/>
    </row>
    <row r="105" spans="1:9">
      <c r="A105" s="322"/>
      <c r="B105" s="670" t="s">
        <v>2399</v>
      </c>
      <c r="C105" s="671"/>
      <c r="D105" s="671"/>
      <c r="E105" s="671"/>
      <c r="F105" s="671"/>
      <c r="G105" s="671"/>
      <c r="H105" s="672"/>
    </row>
    <row r="106" spans="1:9" ht="33" customHeight="1">
      <c r="A106" s="323"/>
      <c r="B106" s="673"/>
      <c r="C106" s="674"/>
      <c r="D106" s="674"/>
      <c r="E106" s="674"/>
      <c r="F106" s="674"/>
      <c r="G106" s="674"/>
      <c r="H106" s="675"/>
    </row>
    <row r="107" spans="1:9">
      <c r="A107" s="322" t="s">
        <v>2363</v>
      </c>
      <c r="B107" s="325" t="s">
        <v>2369</v>
      </c>
      <c r="C107" s="325" t="s">
        <v>2370</v>
      </c>
      <c r="D107" s="326">
        <v>1280000</v>
      </c>
      <c r="E107" s="574" t="s">
        <v>2371</v>
      </c>
      <c r="F107" s="575"/>
      <c r="G107" s="575"/>
      <c r="H107" s="359" t="s">
        <v>2367</v>
      </c>
    </row>
    <row r="108" spans="1:9">
      <c r="A108" s="323"/>
      <c r="B108" s="325"/>
      <c r="C108" s="325"/>
      <c r="D108" s="326"/>
      <c r="E108" s="575"/>
      <c r="F108" s="575"/>
      <c r="G108" s="575"/>
      <c r="H108" s="359"/>
    </row>
    <row r="109" spans="1:9">
      <c r="A109" s="322" t="s">
        <v>2363</v>
      </c>
      <c r="B109" s="324" t="s">
        <v>2375</v>
      </c>
      <c r="C109" s="325"/>
      <c r="D109" s="326">
        <v>1180000</v>
      </c>
      <c r="E109" s="574" t="s">
        <v>2372</v>
      </c>
      <c r="F109" s="575"/>
      <c r="G109" s="575"/>
      <c r="H109" s="359" t="s">
        <v>2368</v>
      </c>
    </row>
    <row r="110" spans="1:9">
      <c r="A110" s="323"/>
      <c r="B110" s="325"/>
      <c r="C110" s="325"/>
      <c r="D110" s="326"/>
      <c r="E110" s="575"/>
      <c r="F110" s="575"/>
      <c r="G110" s="575"/>
      <c r="H110" s="359"/>
      <c r="I110">
        <v>24215000</v>
      </c>
    </row>
    <row r="111" spans="1:9">
      <c r="A111" s="322" t="s">
        <v>2366</v>
      </c>
      <c r="B111" s="324" t="s">
        <v>2374</v>
      </c>
      <c r="C111" s="325"/>
      <c r="D111" s="326">
        <v>125000</v>
      </c>
      <c r="E111" s="337" t="s">
        <v>2373</v>
      </c>
      <c r="F111" s="326"/>
      <c r="G111" s="326"/>
      <c r="H111" s="360" t="s">
        <v>2367</v>
      </c>
    </row>
    <row r="112" spans="1:9" s="30" customFormat="1">
      <c r="A112" s="323"/>
      <c r="B112" s="325"/>
      <c r="C112" s="325"/>
      <c r="D112" s="326"/>
      <c r="E112" s="326"/>
      <c r="F112" s="326"/>
      <c r="G112" s="326"/>
      <c r="H112" s="359"/>
    </row>
    <row r="113" spans="1:8">
      <c r="A113" s="322" t="s">
        <v>2376</v>
      </c>
      <c r="B113" s="325" t="s">
        <v>2378</v>
      </c>
      <c r="C113" s="325"/>
      <c r="D113" s="326">
        <v>258000</v>
      </c>
      <c r="E113" s="337" t="s">
        <v>2381</v>
      </c>
      <c r="F113" s="326"/>
      <c r="G113" s="326"/>
      <c r="H113" s="359" t="s">
        <v>2367</v>
      </c>
    </row>
    <row r="114" spans="1:8" ht="30.75" customHeight="1">
      <c r="A114" s="323"/>
      <c r="B114" s="325"/>
      <c r="C114" s="325"/>
      <c r="D114" s="326"/>
      <c r="E114" s="326"/>
      <c r="F114" s="326"/>
      <c r="G114" s="326"/>
      <c r="H114" s="359"/>
    </row>
    <row r="115" spans="1:8">
      <c r="A115" s="322" t="s">
        <v>2377</v>
      </c>
      <c r="B115" s="324" t="s">
        <v>2379</v>
      </c>
      <c r="C115" s="325"/>
      <c r="D115" s="326">
        <v>255000</v>
      </c>
      <c r="E115" s="337" t="s">
        <v>2382</v>
      </c>
      <c r="F115" s="326"/>
      <c r="G115" s="326"/>
      <c r="H115" s="359" t="s">
        <v>2368</v>
      </c>
    </row>
    <row r="116" spans="1:8">
      <c r="A116" s="323"/>
      <c r="B116" s="325"/>
      <c r="C116" s="325"/>
      <c r="D116" s="326"/>
      <c r="E116" s="326"/>
      <c r="F116" s="326"/>
      <c r="G116" s="326"/>
      <c r="H116" s="359"/>
    </row>
    <row r="117" spans="1:8">
      <c r="A117" s="323" t="s">
        <v>2380</v>
      </c>
      <c r="B117" s="324" t="s">
        <v>2390</v>
      </c>
      <c r="C117" s="325"/>
      <c r="D117" s="326">
        <v>55000</v>
      </c>
      <c r="E117" s="337" t="s">
        <v>3331</v>
      </c>
      <c r="F117" s="326"/>
      <c r="G117" s="326"/>
      <c r="H117" s="360" t="s">
        <v>2368</v>
      </c>
    </row>
    <row r="118" spans="1:8" s="30" customFormat="1">
      <c r="A118" s="323"/>
      <c r="B118" s="325"/>
      <c r="C118" s="325"/>
      <c r="D118" s="326"/>
      <c r="E118" s="326"/>
      <c r="F118" s="326"/>
      <c r="G118" s="326"/>
      <c r="H118" s="359"/>
    </row>
    <row r="119" spans="1:8">
      <c r="A119" s="323" t="s">
        <v>2384</v>
      </c>
      <c r="B119" s="324" t="s">
        <v>2385</v>
      </c>
      <c r="C119" s="325"/>
      <c r="D119" s="326">
        <v>200000</v>
      </c>
      <c r="E119" s="337" t="s">
        <v>2386</v>
      </c>
      <c r="F119" s="326"/>
      <c r="G119" s="326"/>
      <c r="H119" s="360" t="s">
        <v>2383</v>
      </c>
    </row>
    <row r="120" spans="1:8">
      <c r="A120" s="323"/>
      <c r="B120" s="325"/>
      <c r="C120" s="325"/>
      <c r="D120" s="326"/>
      <c r="E120" s="326"/>
      <c r="F120" s="326"/>
      <c r="G120" s="326"/>
      <c r="H120" s="359"/>
    </row>
    <row r="121" spans="1:8">
      <c r="A121" s="322" t="s">
        <v>2387</v>
      </c>
      <c r="B121" s="324" t="s">
        <v>2388</v>
      </c>
      <c r="C121" s="325"/>
      <c r="D121" s="326">
        <v>55000</v>
      </c>
      <c r="E121" s="337"/>
      <c r="F121" s="326"/>
      <c r="G121" s="326"/>
      <c r="H121" s="359" t="s">
        <v>2389</v>
      </c>
    </row>
    <row r="122" spans="1:8">
      <c r="A122" s="323"/>
      <c r="B122" s="325"/>
      <c r="C122" s="325"/>
      <c r="D122" s="326"/>
      <c r="E122" s="326"/>
      <c r="F122" s="326"/>
      <c r="G122" s="326"/>
      <c r="H122" s="359"/>
    </row>
    <row r="123" spans="1:8">
      <c r="A123" s="322" t="s">
        <v>2376</v>
      </c>
      <c r="B123" s="324" t="s">
        <v>2391</v>
      </c>
      <c r="C123" s="325"/>
      <c r="D123" s="326">
        <v>115000</v>
      </c>
      <c r="E123" s="337"/>
      <c r="F123" s="326"/>
      <c r="G123" s="326"/>
      <c r="H123" s="359" t="s">
        <v>2392</v>
      </c>
    </row>
    <row r="124" spans="1:8">
      <c r="A124" s="323"/>
      <c r="B124" s="325"/>
      <c r="C124" s="325"/>
      <c r="D124" s="326"/>
      <c r="E124" s="326"/>
      <c r="F124" s="326"/>
      <c r="G124" s="326"/>
      <c r="H124" s="359"/>
    </row>
    <row r="125" spans="1:8">
      <c r="A125" s="322"/>
      <c r="B125" s="324"/>
      <c r="C125" s="325"/>
      <c r="D125" s="326"/>
      <c r="E125" s="326"/>
      <c r="F125" s="326"/>
      <c r="G125" s="326"/>
      <c r="H125" s="333"/>
    </row>
    <row r="126" spans="1:8">
      <c r="A126" s="323"/>
      <c r="B126" s="325"/>
      <c r="C126" s="325"/>
      <c r="D126" s="326"/>
      <c r="E126" s="326"/>
      <c r="F126" s="326"/>
      <c r="G126" s="326"/>
      <c r="H126" s="333"/>
    </row>
    <row r="127" spans="1:8">
      <c r="A127" s="322"/>
      <c r="B127" s="676" t="s">
        <v>2753</v>
      </c>
      <c r="C127" s="645"/>
      <c r="D127" s="645"/>
      <c r="E127" s="645"/>
      <c r="F127" s="645"/>
      <c r="G127" s="645"/>
      <c r="H127" s="646"/>
    </row>
    <row r="128" spans="1:8" s="30" customFormat="1" ht="53.25" customHeight="1">
      <c r="A128" s="323"/>
      <c r="B128" s="647"/>
      <c r="C128" s="648"/>
      <c r="D128" s="648"/>
      <c r="E128" s="648"/>
      <c r="F128" s="648"/>
      <c r="G128" s="648"/>
      <c r="H128" s="649"/>
    </row>
    <row r="129" spans="1:8">
      <c r="A129" s="323"/>
      <c r="B129" s="325"/>
      <c r="C129" s="325"/>
      <c r="D129" s="326"/>
      <c r="E129" s="337"/>
      <c r="F129" s="326"/>
      <c r="G129" s="326"/>
      <c r="H129" s="338"/>
    </row>
    <row r="130" spans="1:8">
      <c r="A130" s="323"/>
      <c r="B130" s="325"/>
      <c r="C130" s="325"/>
      <c r="D130" s="326"/>
      <c r="E130" s="326"/>
      <c r="F130" s="326"/>
      <c r="G130" s="326"/>
      <c r="H130" s="333"/>
    </row>
    <row r="131" spans="1:8">
      <c r="A131" s="322"/>
      <c r="B131" s="324"/>
      <c r="C131" s="325"/>
      <c r="D131" s="326"/>
      <c r="E131" s="337"/>
      <c r="F131" s="326"/>
      <c r="G131" s="326"/>
      <c r="H131" s="333"/>
    </row>
    <row r="132" spans="1:8">
      <c r="A132" s="323"/>
      <c r="B132" s="325"/>
      <c r="C132" s="325"/>
      <c r="D132" s="326"/>
      <c r="E132" s="326"/>
      <c r="F132" s="326"/>
      <c r="G132" s="326"/>
      <c r="H132" s="333"/>
    </row>
    <row r="133" spans="1:8">
      <c r="A133" s="322"/>
      <c r="B133" s="324"/>
      <c r="C133" s="325"/>
      <c r="D133" s="326"/>
      <c r="E133" s="337"/>
      <c r="F133" s="326"/>
      <c r="G133" s="326"/>
      <c r="H133" s="338"/>
    </row>
    <row r="134" spans="1:8" s="30" customFormat="1">
      <c r="A134" s="323"/>
      <c r="B134" s="325"/>
      <c r="C134" s="325"/>
      <c r="D134" s="326"/>
      <c r="E134" s="326"/>
      <c r="F134" s="326"/>
      <c r="G134" s="326"/>
      <c r="H134" s="333"/>
    </row>
    <row r="135" spans="1:8">
      <c r="A135" s="323"/>
      <c r="B135" s="324"/>
      <c r="C135" s="325"/>
      <c r="D135" s="326"/>
      <c r="E135" s="337"/>
      <c r="F135" s="326"/>
      <c r="G135" s="326"/>
      <c r="H135" s="338"/>
    </row>
    <row r="136" spans="1:8">
      <c r="A136" s="323"/>
      <c r="B136" s="325"/>
      <c r="C136" s="325"/>
      <c r="D136" s="326"/>
      <c r="E136" s="326"/>
      <c r="F136" s="326"/>
      <c r="G136" s="326"/>
      <c r="H136" s="333"/>
    </row>
    <row r="137" spans="1:8">
      <c r="A137" s="323"/>
      <c r="B137" s="325"/>
      <c r="C137" s="325"/>
      <c r="D137" s="326"/>
      <c r="E137" s="326"/>
      <c r="F137" s="326"/>
      <c r="G137" s="326"/>
      <c r="H137" s="338"/>
    </row>
    <row r="138" spans="1:8">
      <c r="A138" s="323"/>
      <c r="B138" s="325"/>
      <c r="C138" s="325"/>
      <c r="D138" s="326"/>
      <c r="E138" s="326"/>
      <c r="F138" s="326"/>
      <c r="G138" s="326"/>
      <c r="H138" s="333"/>
    </row>
    <row r="139" spans="1:8">
      <c r="A139" s="322"/>
      <c r="B139" s="325"/>
      <c r="C139" s="325"/>
      <c r="D139" s="326"/>
      <c r="E139" s="337"/>
      <c r="F139" s="326"/>
      <c r="G139" s="326"/>
      <c r="H139" s="338"/>
    </row>
    <row r="140" spans="1:8" s="30" customFormat="1">
      <c r="A140" s="323"/>
      <c r="B140" s="325"/>
      <c r="C140" s="325"/>
      <c r="D140" s="326"/>
      <c r="E140" s="326"/>
      <c r="F140" s="326"/>
      <c r="G140" s="326"/>
      <c r="H140" s="333"/>
    </row>
    <row r="141" spans="1:8">
      <c r="A141" s="322"/>
      <c r="B141" s="325"/>
      <c r="C141" s="325"/>
      <c r="D141" s="326"/>
      <c r="E141" s="337"/>
      <c r="F141" s="326"/>
      <c r="G141" s="326"/>
      <c r="H141" s="338"/>
    </row>
    <row r="142" spans="1:8">
      <c r="A142" s="323"/>
      <c r="B142" s="325"/>
      <c r="C142" s="325"/>
      <c r="D142" s="326"/>
      <c r="E142" s="326"/>
      <c r="F142" s="326"/>
      <c r="G142" s="326"/>
      <c r="H142" s="333"/>
    </row>
    <row r="143" spans="1:8">
      <c r="A143" s="323"/>
      <c r="B143" s="324"/>
      <c r="C143" s="325"/>
      <c r="D143" s="326"/>
      <c r="E143" s="337"/>
      <c r="F143" s="326"/>
      <c r="G143" s="326"/>
      <c r="H143" s="338"/>
    </row>
    <row r="144" spans="1:8">
      <c r="A144" s="323"/>
      <c r="B144" s="325"/>
      <c r="C144" s="325"/>
      <c r="D144" s="326"/>
      <c r="E144" s="326"/>
      <c r="F144" s="326"/>
      <c r="G144" s="326"/>
      <c r="H144" s="333"/>
    </row>
    <row r="145" spans="1:8" ht="16.5" customHeight="1">
      <c r="A145" s="322"/>
      <c r="B145" s="324"/>
      <c r="C145" s="324"/>
      <c r="D145" s="326"/>
      <c r="E145" s="327"/>
      <c r="F145" s="328"/>
      <c r="G145" s="329"/>
      <c r="H145" s="338"/>
    </row>
    <row r="146" spans="1:8" ht="16.5" customHeight="1">
      <c r="A146" s="323"/>
      <c r="B146" s="325"/>
      <c r="C146" s="325"/>
      <c r="D146" s="326"/>
      <c r="E146" s="330"/>
      <c r="F146" s="331"/>
      <c r="G146" s="332"/>
      <c r="H146" s="333"/>
    </row>
    <row r="147" spans="1:8" ht="16.5" customHeight="1">
      <c r="A147" s="322"/>
      <c r="B147" s="324"/>
      <c r="C147" s="325"/>
      <c r="D147" s="326"/>
      <c r="E147" s="326"/>
      <c r="F147" s="326"/>
      <c r="G147" s="326"/>
      <c r="H147" s="338"/>
    </row>
    <row r="148" spans="1:8" ht="16.5" customHeight="1">
      <c r="A148" s="323"/>
      <c r="B148" s="325"/>
      <c r="C148" s="325"/>
      <c r="D148" s="326"/>
      <c r="E148" s="326"/>
      <c r="F148" s="326"/>
      <c r="G148" s="326"/>
      <c r="H148" s="333"/>
    </row>
    <row r="149" spans="1:8" ht="16.5" customHeight="1">
      <c r="A149" s="336"/>
      <c r="B149" s="324"/>
      <c r="C149" s="324"/>
      <c r="D149" s="326"/>
      <c r="E149" s="327"/>
      <c r="F149" s="328"/>
      <c r="G149" s="329"/>
      <c r="H149" s="350"/>
    </row>
    <row r="150" spans="1:8" ht="16.5" customHeight="1">
      <c r="A150" s="323"/>
      <c r="B150" s="325"/>
      <c r="C150" s="325"/>
      <c r="D150" s="326"/>
      <c r="E150" s="330"/>
      <c r="F150" s="331"/>
      <c r="G150" s="332"/>
      <c r="H150" s="351"/>
    </row>
    <row r="151" spans="1:8" ht="16.5" customHeight="1">
      <c r="A151" s="322"/>
      <c r="B151" s="324"/>
      <c r="C151" s="325"/>
      <c r="D151" s="326"/>
      <c r="E151" s="337"/>
      <c r="F151" s="326"/>
      <c r="G151" s="326"/>
      <c r="H151" s="338"/>
    </row>
    <row r="152" spans="1:8" ht="16.5" customHeight="1">
      <c r="A152" s="323"/>
      <c r="B152" s="325"/>
      <c r="C152" s="325"/>
      <c r="D152" s="326"/>
      <c r="E152" s="326"/>
      <c r="F152" s="326"/>
      <c r="G152" s="326"/>
      <c r="H152" s="333"/>
    </row>
    <row r="153" spans="1:8" ht="16.5" customHeight="1">
      <c r="A153" s="335"/>
      <c r="B153" s="324"/>
      <c r="C153" s="341"/>
      <c r="D153" s="343"/>
      <c r="E153" s="327"/>
      <c r="F153" s="345"/>
      <c r="G153" s="346"/>
      <c r="H153" s="333"/>
    </row>
    <row r="154" spans="1:8" ht="16.5" customHeight="1">
      <c r="A154" s="336"/>
      <c r="B154" s="325"/>
      <c r="C154" s="342"/>
      <c r="D154" s="344"/>
      <c r="E154" s="347"/>
      <c r="F154" s="348"/>
      <c r="G154" s="349"/>
      <c r="H154" s="333"/>
    </row>
    <row r="155" spans="1:8" ht="16.5" customHeight="1">
      <c r="A155" s="322"/>
      <c r="B155" s="324"/>
      <c r="C155" s="325"/>
      <c r="D155" s="326"/>
      <c r="E155" s="327"/>
      <c r="F155" s="328"/>
      <c r="G155" s="329"/>
      <c r="H155" s="333"/>
    </row>
    <row r="156" spans="1:8" ht="16.5" customHeight="1">
      <c r="A156" s="323"/>
      <c r="B156" s="325"/>
      <c r="C156" s="325"/>
      <c r="D156" s="326"/>
      <c r="E156" s="330"/>
      <c r="F156" s="331"/>
      <c r="G156" s="332"/>
      <c r="H156" s="333"/>
    </row>
    <row r="157" spans="1:8" ht="16.5" customHeight="1">
      <c r="A157" s="322"/>
      <c r="B157" s="324"/>
      <c r="C157" s="324"/>
      <c r="D157" s="326"/>
      <c r="E157" s="327"/>
      <c r="F157" s="328"/>
      <c r="G157" s="329"/>
      <c r="H157" s="333"/>
    </row>
    <row r="158" spans="1:8" ht="16.5" customHeight="1">
      <c r="A158" s="323"/>
      <c r="B158" s="325"/>
      <c r="C158" s="325"/>
      <c r="D158" s="326"/>
      <c r="E158" s="330"/>
      <c r="F158" s="331"/>
      <c r="G158" s="332"/>
      <c r="H158" s="333"/>
    </row>
    <row r="159" spans="1:8" ht="16.5" customHeight="1">
      <c r="A159" s="322"/>
      <c r="B159" s="324"/>
      <c r="C159" s="325"/>
      <c r="D159" s="326"/>
      <c r="E159" s="327"/>
      <c r="F159" s="328"/>
      <c r="G159" s="329"/>
      <c r="H159" s="333"/>
    </row>
    <row r="160" spans="1:8" ht="16.5" customHeight="1">
      <c r="A160" s="323"/>
      <c r="B160" s="325"/>
      <c r="C160" s="325"/>
      <c r="D160" s="326"/>
      <c r="E160" s="330"/>
      <c r="F160" s="331"/>
      <c r="G160" s="332"/>
      <c r="H160" s="333"/>
    </row>
    <row r="161" spans="1:11" ht="16.5" customHeight="1">
      <c r="A161" s="322"/>
      <c r="B161" s="324"/>
      <c r="C161" s="325"/>
      <c r="D161" s="326"/>
      <c r="E161" s="327"/>
      <c r="F161" s="328"/>
      <c r="G161" s="329"/>
      <c r="H161" s="333"/>
    </row>
    <row r="162" spans="1:11" ht="17.25" customHeight="1">
      <c r="A162" s="323"/>
      <c r="B162" s="325"/>
      <c r="C162" s="325"/>
      <c r="D162" s="326"/>
      <c r="E162" s="330"/>
      <c r="F162" s="331"/>
      <c r="G162" s="332"/>
      <c r="H162" s="333"/>
    </row>
    <row r="163" spans="1:11" ht="16.5" customHeight="1">
      <c r="A163" s="322"/>
      <c r="B163" s="324"/>
      <c r="C163" s="325"/>
      <c r="D163" s="326"/>
      <c r="E163" s="327"/>
      <c r="F163" s="328"/>
      <c r="G163" s="329"/>
      <c r="H163" s="333"/>
    </row>
    <row r="164" spans="1:11" ht="16.5" customHeight="1">
      <c r="A164" s="323"/>
      <c r="B164" s="325"/>
      <c r="C164" s="325"/>
      <c r="D164" s="326"/>
      <c r="E164" s="330"/>
      <c r="F164" s="331"/>
      <c r="G164" s="332"/>
      <c r="H164" s="333"/>
    </row>
    <row r="165" spans="1:11" ht="16.5" customHeight="1">
      <c r="A165" s="322"/>
      <c r="B165" s="324"/>
      <c r="C165" s="324"/>
      <c r="D165" s="326"/>
      <c r="E165" s="327"/>
      <c r="F165" s="328"/>
      <c r="G165" s="329"/>
      <c r="H165" s="333"/>
    </row>
    <row r="166" spans="1:11" ht="16.5" customHeight="1">
      <c r="A166" s="323"/>
      <c r="B166" s="325"/>
      <c r="C166" s="325"/>
      <c r="D166" s="326"/>
      <c r="E166" s="330"/>
      <c r="F166" s="331"/>
      <c r="G166" s="332"/>
      <c r="H166" s="333"/>
    </row>
    <row r="167" spans="1:11" ht="16.5" customHeight="1">
      <c r="A167" s="322"/>
      <c r="B167" s="324"/>
      <c r="C167" s="324"/>
      <c r="D167" s="326"/>
      <c r="E167" s="327"/>
      <c r="F167" s="328"/>
      <c r="G167" s="329"/>
      <c r="H167" s="333"/>
    </row>
    <row r="168" spans="1:11" ht="16.5" customHeight="1">
      <c r="A168" s="323"/>
      <c r="B168" s="325"/>
      <c r="C168" s="325"/>
      <c r="D168" s="326"/>
      <c r="E168" s="330"/>
      <c r="F168" s="331"/>
      <c r="G168" s="332"/>
      <c r="H168" s="333"/>
    </row>
    <row r="169" spans="1:11" ht="16.5" customHeight="1">
      <c r="A169" s="322"/>
      <c r="B169" s="324"/>
      <c r="C169" s="325"/>
      <c r="D169" s="326"/>
      <c r="E169" s="337"/>
      <c r="F169" s="326"/>
      <c r="G169" s="326"/>
      <c r="H169" s="333"/>
    </row>
    <row r="170" spans="1:11" ht="16.5" customHeight="1">
      <c r="A170" s="323"/>
      <c r="B170" s="325"/>
      <c r="C170" s="325"/>
      <c r="D170" s="326"/>
      <c r="E170" s="326"/>
      <c r="F170" s="326"/>
      <c r="G170" s="326"/>
      <c r="H170" s="333"/>
    </row>
    <row r="171" spans="1:11" ht="16.5" customHeight="1">
      <c r="A171" s="322"/>
      <c r="B171" s="324"/>
      <c r="C171" s="324"/>
      <c r="D171" s="326"/>
      <c r="E171" s="337"/>
      <c r="F171" s="326"/>
      <c r="G171" s="326"/>
      <c r="H171" s="333"/>
    </row>
    <row r="172" spans="1:11" ht="16.5" customHeight="1">
      <c r="A172" s="323"/>
      <c r="B172" s="325"/>
      <c r="C172" s="325"/>
      <c r="D172" s="326"/>
      <c r="E172" s="326"/>
      <c r="F172" s="326"/>
      <c r="G172" s="326"/>
      <c r="H172" s="333"/>
    </row>
    <row r="173" spans="1:11" ht="16.5" customHeight="1">
      <c r="A173" s="339"/>
      <c r="B173" s="324"/>
      <c r="C173" s="324"/>
      <c r="D173" s="326"/>
      <c r="E173" s="327"/>
      <c r="F173" s="328"/>
      <c r="G173" s="329"/>
      <c r="H173" s="333"/>
    </row>
    <row r="174" spans="1:11" ht="16.5" customHeight="1">
      <c r="A174" s="340"/>
      <c r="B174" s="325"/>
      <c r="C174" s="325"/>
      <c r="D174" s="326"/>
      <c r="E174" s="330"/>
      <c r="F174" s="331"/>
      <c r="G174" s="332"/>
      <c r="H174" s="333"/>
    </row>
    <row r="175" spans="1:11" ht="16.5" customHeight="1">
      <c r="A175" s="322"/>
      <c r="B175" s="324"/>
      <c r="C175" s="324"/>
      <c r="D175" s="326"/>
      <c r="E175" s="327"/>
      <c r="F175" s="328"/>
      <c r="G175" s="329"/>
      <c r="H175" s="333"/>
    </row>
    <row r="176" spans="1:11" ht="16.5" customHeight="1">
      <c r="A176" s="323"/>
      <c r="B176" s="325"/>
      <c r="C176" s="325"/>
      <c r="D176" s="326"/>
      <c r="E176" s="330"/>
      <c r="F176" s="331"/>
      <c r="G176" s="332"/>
      <c r="H176" s="333"/>
      <c r="K176" s="24"/>
    </row>
    <row r="177" spans="1:11" ht="16.5" customHeight="1">
      <c r="A177" s="322"/>
      <c r="B177" s="324"/>
      <c r="C177" s="324"/>
      <c r="D177" s="326"/>
      <c r="E177" s="327"/>
      <c r="F177" s="328"/>
      <c r="G177" s="329"/>
      <c r="H177" s="338"/>
    </row>
    <row r="178" spans="1:11" ht="16.5" customHeight="1">
      <c r="A178" s="323"/>
      <c r="B178" s="325"/>
      <c r="C178" s="325"/>
      <c r="D178" s="326"/>
      <c r="E178" s="330"/>
      <c r="F178" s="331"/>
      <c r="G178" s="332"/>
      <c r="H178" s="333"/>
      <c r="K178" s="24"/>
    </row>
    <row r="179" spans="1:11" ht="16.5" customHeight="1">
      <c r="A179" s="322"/>
      <c r="B179" s="324"/>
      <c r="C179" s="324"/>
      <c r="D179" s="326"/>
      <c r="E179" s="327"/>
      <c r="F179" s="328"/>
      <c r="G179" s="329"/>
      <c r="H179" s="333"/>
      <c r="K179" s="24"/>
    </row>
    <row r="180" spans="1:11" ht="16.5" customHeight="1">
      <c r="A180" s="323"/>
      <c r="B180" s="325"/>
      <c r="C180" s="325"/>
      <c r="D180" s="326"/>
      <c r="E180" s="330"/>
      <c r="F180" s="331"/>
      <c r="G180" s="332"/>
      <c r="H180" s="333"/>
      <c r="K180" s="24"/>
    </row>
    <row r="181" spans="1:11" ht="16.5" customHeight="1">
      <c r="A181" s="322"/>
      <c r="B181" s="324"/>
      <c r="C181" s="325"/>
      <c r="D181" s="326"/>
      <c r="E181" s="337"/>
      <c r="F181" s="326"/>
      <c r="G181" s="326"/>
      <c r="H181" s="333"/>
      <c r="K181" s="24"/>
    </row>
    <row r="182" spans="1:11" ht="16.5" customHeight="1">
      <c r="A182" s="323"/>
      <c r="B182" s="325"/>
      <c r="C182" s="325"/>
      <c r="D182" s="326"/>
      <c r="E182" s="326"/>
      <c r="F182" s="326"/>
      <c r="G182" s="326"/>
      <c r="H182" s="333"/>
      <c r="K182" s="24"/>
    </row>
    <row r="183" spans="1:11" ht="16.5" customHeight="1">
      <c r="A183" s="322"/>
      <c r="B183" s="324"/>
      <c r="C183" s="325"/>
      <c r="D183" s="326"/>
      <c r="E183" s="327"/>
      <c r="F183" s="328"/>
      <c r="G183" s="329"/>
      <c r="H183" s="338"/>
      <c r="I183" s="4"/>
    </row>
    <row r="184" spans="1:11" ht="16.5" customHeight="1">
      <c r="A184" s="323"/>
      <c r="B184" s="325"/>
      <c r="C184" s="325"/>
      <c r="D184" s="326"/>
      <c r="E184" s="330"/>
      <c r="F184" s="331"/>
      <c r="G184" s="332"/>
      <c r="H184" s="333"/>
    </row>
    <row r="185" spans="1:11" ht="16.5" customHeight="1">
      <c r="A185" s="322"/>
      <c r="B185" s="324"/>
      <c r="C185" s="325"/>
      <c r="D185" s="326"/>
      <c r="E185" s="327"/>
      <c r="F185" s="328"/>
      <c r="G185" s="329"/>
      <c r="H185" s="333"/>
    </row>
    <row r="186" spans="1:11" ht="16.5" customHeight="1">
      <c r="A186" s="323"/>
      <c r="B186" s="325"/>
      <c r="C186" s="325"/>
      <c r="D186" s="326"/>
      <c r="E186" s="330"/>
      <c r="F186" s="331"/>
      <c r="G186" s="332"/>
      <c r="H186" s="333"/>
    </row>
    <row r="187" spans="1:11" ht="16.5" customHeight="1">
      <c r="A187" s="322"/>
      <c r="B187" s="324"/>
      <c r="C187" s="325"/>
      <c r="D187" s="326"/>
      <c r="E187" s="327"/>
      <c r="F187" s="328"/>
      <c r="G187" s="329"/>
      <c r="H187" s="333"/>
    </row>
    <row r="188" spans="1:11" ht="16.5" customHeight="1">
      <c r="A188" s="323"/>
      <c r="B188" s="325"/>
      <c r="C188" s="325"/>
      <c r="D188" s="326"/>
      <c r="E188" s="330"/>
      <c r="F188" s="331"/>
      <c r="G188" s="332"/>
      <c r="H188" s="333"/>
    </row>
    <row r="189" spans="1:11" ht="16.5" customHeight="1">
      <c r="A189" s="322"/>
      <c r="B189" s="324"/>
      <c r="C189" s="325"/>
      <c r="D189" s="326"/>
      <c r="E189" s="327"/>
      <c r="F189" s="328"/>
      <c r="G189" s="329"/>
      <c r="H189" s="333"/>
    </row>
    <row r="190" spans="1:11" ht="16.5" customHeight="1">
      <c r="A190" s="323"/>
      <c r="B190" s="325"/>
      <c r="C190" s="325"/>
      <c r="D190" s="326"/>
      <c r="E190" s="330"/>
      <c r="F190" s="331"/>
      <c r="G190" s="332"/>
      <c r="H190" s="333"/>
    </row>
    <row r="191" spans="1:11" ht="16.5" customHeight="1">
      <c r="A191" s="322"/>
      <c r="B191" s="324"/>
      <c r="C191" s="325"/>
      <c r="D191" s="326"/>
      <c r="E191" s="327"/>
      <c r="F191" s="328"/>
      <c r="G191" s="329"/>
      <c r="H191" s="333"/>
    </row>
    <row r="192" spans="1:11" ht="16.5" customHeight="1">
      <c r="A192" s="323"/>
      <c r="B192" s="325"/>
      <c r="C192" s="325"/>
      <c r="D192" s="326"/>
      <c r="E192" s="330"/>
      <c r="F192" s="331"/>
      <c r="G192" s="332"/>
      <c r="H192" s="333"/>
    </row>
    <row r="193" spans="1:11" ht="16.5" customHeight="1">
      <c r="A193" s="322"/>
      <c r="B193" s="324"/>
      <c r="C193" s="326"/>
      <c r="D193" s="326"/>
      <c r="E193" s="327"/>
      <c r="F193" s="328"/>
      <c r="G193" s="329"/>
      <c r="H193" s="333"/>
    </row>
    <row r="194" spans="1:11" ht="16.5" customHeight="1">
      <c r="A194" s="323"/>
      <c r="B194" s="325"/>
      <c r="C194" s="326"/>
      <c r="D194" s="326"/>
      <c r="E194" s="330"/>
      <c r="F194" s="331"/>
      <c r="G194" s="332"/>
      <c r="H194" s="333"/>
    </row>
    <row r="195" spans="1:11" ht="16.5" customHeight="1">
      <c r="A195" s="322"/>
      <c r="B195" s="324"/>
      <c r="C195" s="325"/>
      <c r="D195" s="326"/>
      <c r="E195" s="337"/>
      <c r="F195" s="326"/>
      <c r="G195" s="326"/>
      <c r="H195" s="333"/>
      <c r="I195" s="3"/>
      <c r="K195" s="23"/>
    </row>
    <row r="196" spans="1:11" ht="16.5" customHeight="1">
      <c r="A196" s="323"/>
      <c r="B196" s="325"/>
      <c r="C196" s="325"/>
      <c r="D196" s="326"/>
      <c r="E196" s="326"/>
      <c r="F196" s="326"/>
      <c r="G196" s="326"/>
      <c r="H196" s="333"/>
    </row>
    <row r="197" spans="1:11" ht="16.5" customHeight="1">
      <c r="A197" s="322"/>
      <c r="B197" s="324"/>
      <c r="C197" s="325"/>
      <c r="D197" s="326"/>
      <c r="E197" s="327"/>
      <c r="F197" s="328"/>
      <c r="G197" s="329"/>
      <c r="H197" s="333"/>
    </row>
    <row r="198" spans="1:11" ht="16.5" customHeight="1">
      <c r="A198" s="323"/>
      <c r="B198" s="325"/>
      <c r="C198" s="325"/>
      <c r="D198" s="326"/>
      <c r="E198" s="330"/>
      <c r="F198" s="331"/>
      <c r="G198" s="332"/>
      <c r="H198" s="333"/>
    </row>
    <row r="199" spans="1:11" ht="16.5" customHeight="1">
      <c r="A199" s="322"/>
      <c r="B199" s="324"/>
      <c r="C199" s="324"/>
      <c r="D199" s="326"/>
      <c r="E199" s="327"/>
      <c r="F199" s="328"/>
      <c r="G199" s="329"/>
      <c r="H199" s="333"/>
    </row>
    <row r="200" spans="1:11" ht="16.5" customHeight="1">
      <c r="A200" s="323"/>
      <c r="B200" s="325"/>
      <c r="C200" s="325"/>
      <c r="D200" s="326"/>
      <c r="E200" s="330"/>
      <c r="F200" s="331"/>
      <c r="G200" s="332"/>
      <c r="H200" s="333"/>
    </row>
    <row r="201" spans="1:11" ht="16.5" customHeight="1">
      <c r="A201" s="335"/>
      <c r="B201" s="324"/>
      <c r="C201" s="325"/>
      <c r="D201" s="326"/>
      <c r="E201" s="327"/>
      <c r="F201" s="328"/>
      <c r="G201" s="329"/>
      <c r="H201" s="333"/>
    </row>
    <row r="202" spans="1:11" ht="16.5" customHeight="1">
      <c r="A202" s="336"/>
      <c r="B202" s="325"/>
      <c r="C202" s="325"/>
      <c r="D202" s="326"/>
      <c r="E202" s="330"/>
      <c r="F202" s="331"/>
      <c r="G202" s="332"/>
      <c r="H202" s="333"/>
    </row>
    <row r="203" spans="1:11" ht="16.5" customHeight="1">
      <c r="A203" s="334"/>
      <c r="B203" s="324"/>
      <c r="C203" s="324"/>
      <c r="D203" s="326"/>
      <c r="E203" s="327"/>
      <c r="F203" s="328"/>
      <c r="G203" s="329"/>
      <c r="H203" s="333"/>
    </row>
    <row r="204" spans="1:11" ht="16.5" customHeight="1">
      <c r="A204" s="323"/>
      <c r="B204" s="325"/>
      <c r="C204" s="325"/>
      <c r="D204" s="326"/>
      <c r="E204" s="330"/>
      <c r="F204" s="331"/>
      <c r="G204" s="332"/>
      <c r="H204" s="333"/>
    </row>
    <row r="205" spans="1:11" ht="16.5" customHeight="1">
      <c r="A205" s="322"/>
      <c r="B205" s="324"/>
      <c r="C205" s="325"/>
      <c r="D205" s="326"/>
      <c r="E205" s="327"/>
      <c r="F205" s="328"/>
      <c r="G205" s="329"/>
      <c r="H205" s="333"/>
    </row>
    <row r="206" spans="1:11" ht="16.5" customHeight="1">
      <c r="A206" s="323"/>
      <c r="B206" s="325"/>
      <c r="C206" s="325"/>
      <c r="D206" s="326"/>
      <c r="E206" s="330"/>
      <c r="F206" s="331"/>
      <c r="G206" s="332"/>
      <c r="H206" s="333"/>
    </row>
    <row r="207" spans="1:11" ht="16.5" customHeight="1">
      <c r="A207" s="313"/>
      <c r="B207" s="314"/>
      <c r="C207" s="307"/>
      <c r="D207" s="309"/>
      <c r="E207" s="315"/>
      <c r="F207" s="316"/>
      <c r="G207" s="317"/>
      <c r="H207" s="321"/>
    </row>
    <row r="208" spans="1:11" ht="16.5" customHeight="1">
      <c r="A208" s="305"/>
      <c r="B208" s="307"/>
      <c r="C208" s="307"/>
      <c r="D208" s="309"/>
      <c r="E208" s="318"/>
      <c r="F208" s="319"/>
      <c r="G208" s="320"/>
      <c r="H208" s="311"/>
    </row>
    <row r="209" spans="1:8" ht="16.5" customHeight="1">
      <c r="A209" s="313"/>
      <c r="B209" s="314"/>
      <c r="C209" s="307"/>
      <c r="D209" s="309"/>
      <c r="E209" s="315"/>
      <c r="F209" s="316"/>
      <c r="G209" s="317"/>
      <c r="H209" s="321"/>
    </row>
    <row r="210" spans="1:8" ht="16.5" customHeight="1">
      <c r="A210" s="305"/>
      <c r="B210" s="307"/>
      <c r="C210" s="307"/>
      <c r="D210" s="309"/>
      <c r="E210" s="318"/>
      <c r="F210" s="319"/>
      <c r="G210" s="320"/>
      <c r="H210" s="311"/>
    </row>
    <row r="211" spans="1:8">
      <c r="A211" s="305"/>
      <c r="B211" s="307"/>
      <c r="C211" s="307"/>
      <c r="D211" s="309"/>
      <c r="E211" s="309"/>
      <c r="F211" s="309"/>
      <c r="G211" s="309"/>
      <c r="H211" s="311"/>
    </row>
    <row r="212" spans="1:8">
      <c r="A212" s="305"/>
      <c r="B212" s="307"/>
      <c r="C212" s="307"/>
      <c r="D212" s="309"/>
      <c r="E212" s="309"/>
      <c r="F212" s="309"/>
      <c r="G212" s="309"/>
      <c r="H212" s="311"/>
    </row>
    <row r="213" spans="1:8" ht="16.5" customHeight="1">
      <c r="A213" s="313"/>
      <c r="B213" s="314"/>
      <c r="C213" s="307"/>
      <c r="D213" s="309"/>
      <c r="E213" s="315"/>
      <c r="F213" s="316"/>
      <c r="G213" s="317"/>
      <c r="H213" s="311"/>
    </row>
    <row r="214" spans="1:8" ht="16.5" customHeight="1">
      <c r="A214" s="305"/>
      <c r="B214" s="307"/>
      <c r="C214" s="307"/>
      <c r="D214" s="309"/>
      <c r="E214" s="318"/>
      <c r="F214" s="319"/>
      <c r="G214" s="320"/>
      <c r="H214" s="311"/>
    </row>
    <row r="215" spans="1:8" ht="16.5" customHeight="1">
      <c r="A215" s="313"/>
      <c r="B215" s="314"/>
      <c r="C215" s="307"/>
      <c r="D215" s="309"/>
      <c r="E215" s="315"/>
      <c r="F215" s="316"/>
      <c r="G215" s="317"/>
      <c r="H215" s="311"/>
    </row>
    <row r="216" spans="1:8" ht="16.5" customHeight="1">
      <c r="A216" s="305"/>
      <c r="B216" s="307"/>
      <c r="C216" s="307"/>
      <c r="D216" s="309"/>
      <c r="E216" s="318"/>
      <c r="F216" s="319"/>
      <c r="G216" s="320"/>
      <c r="H216" s="311"/>
    </row>
    <row r="217" spans="1:8" ht="16.5" customHeight="1">
      <c r="A217" s="313"/>
      <c r="B217" s="314"/>
      <c r="C217" s="307"/>
      <c r="D217" s="309"/>
      <c r="E217" s="315"/>
      <c r="F217" s="316"/>
      <c r="G217" s="317"/>
      <c r="H217" s="321"/>
    </row>
    <row r="218" spans="1:8" ht="16.5" customHeight="1">
      <c r="A218" s="305"/>
      <c r="B218" s="307"/>
      <c r="C218" s="307"/>
      <c r="D218" s="309"/>
      <c r="E218" s="318"/>
      <c r="F218" s="319"/>
      <c r="G218" s="320"/>
      <c r="H218" s="311"/>
    </row>
    <row r="219" spans="1:8" ht="16.5" customHeight="1">
      <c r="A219" s="313"/>
      <c r="B219" s="314"/>
      <c r="C219" s="307"/>
      <c r="D219" s="309"/>
      <c r="E219" s="315"/>
      <c r="F219" s="316"/>
      <c r="G219" s="317"/>
      <c r="H219" s="321"/>
    </row>
    <row r="220" spans="1:8" ht="16.5" customHeight="1">
      <c r="A220" s="305"/>
      <c r="B220" s="307"/>
      <c r="C220" s="307"/>
      <c r="D220" s="309"/>
      <c r="E220" s="318"/>
      <c r="F220" s="319"/>
      <c r="G220" s="320"/>
      <c r="H220" s="311"/>
    </row>
    <row r="221" spans="1:8">
      <c r="A221" s="305"/>
      <c r="B221" s="307"/>
      <c r="C221" s="307"/>
      <c r="D221" s="309"/>
      <c r="E221" s="309"/>
      <c r="F221" s="309"/>
      <c r="G221" s="309"/>
      <c r="H221" s="311"/>
    </row>
    <row r="222" spans="1:8">
      <c r="A222" s="305"/>
      <c r="B222" s="307"/>
      <c r="C222" s="307"/>
      <c r="D222" s="309"/>
      <c r="E222" s="309"/>
      <c r="F222" s="309"/>
      <c r="G222" s="309"/>
      <c r="H222" s="311"/>
    </row>
    <row r="223" spans="1:8" ht="16.5" customHeight="1">
      <c r="A223" s="313"/>
      <c r="B223" s="314"/>
      <c r="C223" s="307"/>
      <c r="D223" s="309"/>
      <c r="E223" s="315"/>
      <c r="F223" s="316"/>
      <c r="G223" s="317"/>
      <c r="H223" s="311"/>
    </row>
    <row r="224" spans="1:8" ht="16.5" customHeight="1">
      <c r="A224" s="305"/>
      <c r="B224" s="307"/>
      <c r="C224" s="307"/>
      <c r="D224" s="309"/>
      <c r="E224" s="318"/>
      <c r="F224" s="319"/>
      <c r="G224" s="320"/>
      <c r="H224" s="311"/>
    </row>
    <row r="225" spans="1:8" ht="16.5" customHeight="1">
      <c r="A225" s="313"/>
      <c r="B225" s="314"/>
      <c r="C225" s="307"/>
      <c r="D225" s="309"/>
      <c r="E225" s="315"/>
      <c r="F225" s="316"/>
      <c r="G225" s="317"/>
      <c r="H225" s="321"/>
    </row>
    <row r="226" spans="1:8" ht="16.5" customHeight="1">
      <c r="A226" s="305"/>
      <c r="B226" s="307"/>
      <c r="C226" s="307"/>
      <c r="D226" s="309"/>
      <c r="E226" s="318"/>
      <c r="F226" s="319"/>
      <c r="G226" s="320"/>
      <c r="H226" s="311"/>
    </row>
    <row r="227" spans="1:8" ht="16.5" customHeight="1">
      <c r="A227" s="313"/>
      <c r="B227" s="314"/>
      <c r="C227" s="307"/>
      <c r="D227" s="309"/>
      <c r="E227" s="315"/>
      <c r="F227" s="316"/>
      <c r="G227" s="317"/>
      <c r="H227" s="321"/>
    </row>
    <row r="228" spans="1:8" ht="16.5" customHeight="1">
      <c r="A228" s="305"/>
      <c r="B228" s="307"/>
      <c r="C228" s="307"/>
      <c r="D228" s="309"/>
      <c r="E228" s="318"/>
      <c r="F228" s="319"/>
      <c r="G228" s="320"/>
      <c r="H228" s="311"/>
    </row>
    <row r="229" spans="1:8">
      <c r="A229" s="305"/>
      <c r="B229" s="307"/>
      <c r="C229" s="307"/>
      <c r="D229" s="309"/>
      <c r="E229" s="309"/>
      <c r="F229" s="309"/>
      <c r="G229" s="309"/>
      <c r="H229" s="311"/>
    </row>
    <row r="230" spans="1:8">
      <c r="A230" s="305"/>
      <c r="B230" s="307"/>
      <c r="C230" s="307"/>
      <c r="D230" s="309"/>
      <c r="E230" s="309"/>
      <c r="F230" s="309"/>
      <c r="G230" s="309"/>
      <c r="H230" s="311"/>
    </row>
    <row r="231" spans="1:8">
      <c r="A231" s="305"/>
      <c r="B231" s="307"/>
      <c r="C231" s="307"/>
      <c r="D231" s="309"/>
      <c r="E231" s="309"/>
      <c r="F231" s="309"/>
      <c r="G231" s="309"/>
      <c r="H231" s="311"/>
    </row>
    <row r="232" spans="1:8" ht="17.25" thickBot="1">
      <c r="A232" s="306"/>
      <c r="B232" s="308"/>
      <c r="C232" s="308"/>
      <c r="D232" s="310"/>
      <c r="E232" s="310"/>
      <c r="F232" s="310"/>
      <c r="G232" s="310"/>
      <c r="H232" s="312"/>
    </row>
  </sheetData>
  <mergeCells count="678">
    <mergeCell ref="B75:H75"/>
    <mergeCell ref="A231:A232"/>
    <mergeCell ref="B231:B232"/>
    <mergeCell ref="C231:C232"/>
    <mergeCell ref="D231:D232"/>
    <mergeCell ref="E231:G232"/>
    <mergeCell ref="H231:H232"/>
    <mergeCell ref="A229:A230"/>
    <mergeCell ref="B229:B230"/>
    <mergeCell ref="C229:C230"/>
    <mergeCell ref="D229:D230"/>
    <mergeCell ref="E229:G230"/>
    <mergeCell ref="H229:H230"/>
    <mergeCell ref="A227:A228"/>
    <mergeCell ref="B227:B228"/>
    <mergeCell ref="C227:C228"/>
    <mergeCell ref="D227:D228"/>
    <mergeCell ref="E227:G228"/>
    <mergeCell ref="H227:H228"/>
    <mergeCell ref="A225:A226"/>
    <mergeCell ref="B225:B226"/>
    <mergeCell ref="C225:C226"/>
    <mergeCell ref="D225:D226"/>
    <mergeCell ref="E225:G226"/>
    <mergeCell ref="H225:H226"/>
    <mergeCell ref="A223:A224"/>
    <mergeCell ref="B223:B224"/>
    <mergeCell ref="C223:C224"/>
    <mergeCell ref="D223:D224"/>
    <mergeCell ref="E223:G224"/>
    <mergeCell ref="H223:H224"/>
    <mergeCell ref="A221:A222"/>
    <mergeCell ref="B221:B222"/>
    <mergeCell ref="C221:C222"/>
    <mergeCell ref="D221:D222"/>
    <mergeCell ref="E221:G222"/>
    <mergeCell ref="H221:H222"/>
    <mergeCell ref="A219:A220"/>
    <mergeCell ref="B219:B220"/>
    <mergeCell ref="C219:C220"/>
    <mergeCell ref="D219:D220"/>
    <mergeCell ref="E219:G220"/>
    <mergeCell ref="H219:H220"/>
    <mergeCell ref="A217:A218"/>
    <mergeCell ref="B217:B218"/>
    <mergeCell ref="C217:C218"/>
    <mergeCell ref="D217:D218"/>
    <mergeCell ref="E217:G218"/>
    <mergeCell ref="H217:H218"/>
    <mergeCell ref="A215:A216"/>
    <mergeCell ref="B215:B216"/>
    <mergeCell ref="C215:C216"/>
    <mergeCell ref="D215:D216"/>
    <mergeCell ref="E215:G216"/>
    <mergeCell ref="H215:H216"/>
    <mergeCell ref="A213:A214"/>
    <mergeCell ref="B213:B214"/>
    <mergeCell ref="C213:C214"/>
    <mergeCell ref="D213:D214"/>
    <mergeCell ref="E213:G214"/>
    <mergeCell ref="H213:H214"/>
    <mergeCell ref="A211:A212"/>
    <mergeCell ref="B211:B212"/>
    <mergeCell ref="C211:C212"/>
    <mergeCell ref="D211:D212"/>
    <mergeCell ref="E211:G212"/>
    <mergeCell ref="H211:H212"/>
    <mergeCell ref="A209:A210"/>
    <mergeCell ref="B209:B210"/>
    <mergeCell ref="C209:C210"/>
    <mergeCell ref="D209:D210"/>
    <mergeCell ref="E209:G210"/>
    <mergeCell ref="H209:H210"/>
    <mergeCell ref="A207:A208"/>
    <mergeCell ref="B207:B208"/>
    <mergeCell ref="C207:C208"/>
    <mergeCell ref="D207:D208"/>
    <mergeCell ref="E207:G208"/>
    <mergeCell ref="H207:H208"/>
    <mergeCell ref="A205:A206"/>
    <mergeCell ref="B205:B206"/>
    <mergeCell ref="C205:C206"/>
    <mergeCell ref="D205:D206"/>
    <mergeCell ref="E205:G206"/>
    <mergeCell ref="H205:H206"/>
    <mergeCell ref="A203:A204"/>
    <mergeCell ref="B203:B204"/>
    <mergeCell ref="C203:C204"/>
    <mergeCell ref="D203:D204"/>
    <mergeCell ref="E203:G204"/>
    <mergeCell ref="H203:H204"/>
    <mergeCell ref="A201:A202"/>
    <mergeCell ref="B201:B202"/>
    <mergeCell ref="C201:C202"/>
    <mergeCell ref="D201:D202"/>
    <mergeCell ref="E201:G202"/>
    <mergeCell ref="H201:H202"/>
    <mergeCell ref="A199:A200"/>
    <mergeCell ref="B199:B200"/>
    <mergeCell ref="C199:C200"/>
    <mergeCell ref="D199:D200"/>
    <mergeCell ref="E199:G200"/>
    <mergeCell ref="H199:H200"/>
    <mergeCell ref="A197:A198"/>
    <mergeCell ref="B197:B198"/>
    <mergeCell ref="C197:C198"/>
    <mergeCell ref="D197:D198"/>
    <mergeCell ref="E197:G198"/>
    <mergeCell ref="H197:H198"/>
    <mergeCell ref="A195:A196"/>
    <mergeCell ref="B195:B196"/>
    <mergeCell ref="C195:C196"/>
    <mergeCell ref="D195:D196"/>
    <mergeCell ref="E195:G196"/>
    <mergeCell ref="H195:H196"/>
    <mergeCell ref="A193:A194"/>
    <mergeCell ref="B193:B194"/>
    <mergeCell ref="C193:C194"/>
    <mergeCell ref="D193:D194"/>
    <mergeCell ref="E193:G194"/>
    <mergeCell ref="H193:H194"/>
    <mergeCell ref="A191:A192"/>
    <mergeCell ref="B191:B192"/>
    <mergeCell ref="C191:C192"/>
    <mergeCell ref="D191:D192"/>
    <mergeCell ref="E191:G192"/>
    <mergeCell ref="H191:H192"/>
    <mergeCell ref="A189:A190"/>
    <mergeCell ref="B189:B190"/>
    <mergeCell ref="C189:C190"/>
    <mergeCell ref="D189:D190"/>
    <mergeCell ref="E189:G190"/>
    <mergeCell ref="H189:H190"/>
    <mergeCell ref="A187:A188"/>
    <mergeCell ref="B187:B188"/>
    <mergeCell ref="C187:C188"/>
    <mergeCell ref="D187:D188"/>
    <mergeCell ref="E187:G188"/>
    <mergeCell ref="H187:H188"/>
    <mergeCell ref="A185:A186"/>
    <mergeCell ref="B185:B186"/>
    <mergeCell ref="C185:C186"/>
    <mergeCell ref="D185:D186"/>
    <mergeCell ref="E185:G186"/>
    <mergeCell ref="H185:H186"/>
    <mergeCell ref="A183:A184"/>
    <mergeCell ref="B183:B184"/>
    <mergeCell ref="C183:C184"/>
    <mergeCell ref="D183:D184"/>
    <mergeCell ref="E183:G184"/>
    <mergeCell ref="H183:H184"/>
    <mergeCell ref="A181:A182"/>
    <mergeCell ref="B181:B182"/>
    <mergeCell ref="C181:C182"/>
    <mergeCell ref="D181:D182"/>
    <mergeCell ref="E181:G182"/>
    <mergeCell ref="H181:H182"/>
    <mergeCell ref="A179:A180"/>
    <mergeCell ref="B179:B180"/>
    <mergeCell ref="C179:C180"/>
    <mergeCell ref="D179:D180"/>
    <mergeCell ref="E179:G180"/>
    <mergeCell ref="H179:H180"/>
    <mergeCell ref="A177:A178"/>
    <mergeCell ref="B177:B178"/>
    <mergeCell ref="C177:C178"/>
    <mergeCell ref="D177:D178"/>
    <mergeCell ref="E177:G178"/>
    <mergeCell ref="H177:H178"/>
    <mergeCell ref="A175:A176"/>
    <mergeCell ref="B175:B176"/>
    <mergeCell ref="C175:C176"/>
    <mergeCell ref="D175:D176"/>
    <mergeCell ref="E175:G176"/>
    <mergeCell ref="H175:H176"/>
    <mergeCell ref="A173:A174"/>
    <mergeCell ref="B173:B174"/>
    <mergeCell ref="C173:C174"/>
    <mergeCell ref="D173:D174"/>
    <mergeCell ref="E173:G174"/>
    <mergeCell ref="H173:H174"/>
    <mergeCell ref="A171:A172"/>
    <mergeCell ref="B171:B172"/>
    <mergeCell ref="C171:C172"/>
    <mergeCell ref="D171:D172"/>
    <mergeCell ref="E171:G172"/>
    <mergeCell ref="H171:H172"/>
    <mergeCell ref="A169:A170"/>
    <mergeCell ref="B169:B170"/>
    <mergeCell ref="C169:C170"/>
    <mergeCell ref="D169:D170"/>
    <mergeCell ref="E169:G170"/>
    <mergeCell ref="H169:H170"/>
    <mergeCell ref="A167:A168"/>
    <mergeCell ref="B167:B168"/>
    <mergeCell ref="C167:C168"/>
    <mergeCell ref="D167:D168"/>
    <mergeCell ref="E167:G168"/>
    <mergeCell ref="H167:H168"/>
    <mergeCell ref="A165:A166"/>
    <mergeCell ref="B165:B166"/>
    <mergeCell ref="C165:C166"/>
    <mergeCell ref="D165:D166"/>
    <mergeCell ref="E165:G166"/>
    <mergeCell ref="H165:H166"/>
    <mergeCell ref="A163:A164"/>
    <mergeCell ref="B163:B164"/>
    <mergeCell ref="C163:C164"/>
    <mergeCell ref="D163:D164"/>
    <mergeCell ref="E163:G164"/>
    <mergeCell ref="H163:H164"/>
    <mergeCell ref="A161:A162"/>
    <mergeCell ref="B161:B162"/>
    <mergeCell ref="C161:C162"/>
    <mergeCell ref="D161:D162"/>
    <mergeCell ref="E161:G162"/>
    <mergeCell ref="H161:H162"/>
    <mergeCell ref="A159:A160"/>
    <mergeCell ref="B159:B160"/>
    <mergeCell ref="C159:C160"/>
    <mergeCell ref="D159:D160"/>
    <mergeCell ref="E159:G160"/>
    <mergeCell ref="H159:H160"/>
    <mergeCell ref="A157:A158"/>
    <mergeCell ref="B157:B158"/>
    <mergeCell ref="C157:C158"/>
    <mergeCell ref="D157:D158"/>
    <mergeCell ref="E157:G158"/>
    <mergeCell ref="H157:H158"/>
    <mergeCell ref="A155:A156"/>
    <mergeCell ref="B155:B156"/>
    <mergeCell ref="C155:C156"/>
    <mergeCell ref="D155:D156"/>
    <mergeCell ref="E155:G156"/>
    <mergeCell ref="H155:H156"/>
    <mergeCell ref="A153:A154"/>
    <mergeCell ref="B153:B154"/>
    <mergeCell ref="C153:C154"/>
    <mergeCell ref="D153:D154"/>
    <mergeCell ref="E153:G154"/>
    <mergeCell ref="H153:H154"/>
    <mergeCell ref="A151:A152"/>
    <mergeCell ref="B151:B152"/>
    <mergeCell ref="C151:C152"/>
    <mergeCell ref="D151:D152"/>
    <mergeCell ref="E151:G152"/>
    <mergeCell ref="H151:H152"/>
    <mergeCell ref="A149:A150"/>
    <mergeCell ref="B149:B150"/>
    <mergeCell ref="C149:C150"/>
    <mergeCell ref="D149:D150"/>
    <mergeCell ref="E149:G150"/>
    <mergeCell ref="H149:H150"/>
    <mergeCell ref="A147:A148"/>
    <mergeCell ref="B147:B148"/>
    <mergeCell ref="C147:C148"/>
    <mergeCell ref="D147:D148"/>
    <mergeCell ref="E147:G148"/>
    <mergeCell ref="H147:H148"/>
    <mergeCell ref="A145:A146"/>
    <mergeCell ref="B145:B146"/>
    <mergeCell ref="C145:C146"/>
    <mergeCell ref="D145:D146"/>
    <mergeCell ref="E145:G146"/>
    <mergeCell ref="H145:H146"/>
    <mergeCell ref="A143:A144"/>
    <mergeCell ref="B143:B144"/>
    <mergeCell ref="C143:C144"/>
    <mergeCell ref="D143:D144"/>
    <mergeCell ref="E143:G144"/>
    <mergeCell ref="H143:H144"/>
    <mergeCell ref="A141:A142"/>
    <mergeCell ref="B141:B142"/>
    <mergeCell ref="C141:C142"/>
    <mergeCell ref="D141:D142"/>
    <mergeCell ref="E141:G142"/>
    <mergeCell ref="H141:H142"/>
    <mergeCell ref="A139:A140"/>
    <mergeCell ref="B139:B140"/>
    <mergeCell ref="C139:C140"/>
    <mergeCell ref="D139:D140"/>
    <mergeCell ref="E139:G140"/>
    <mergeCell ref="H139:H140"/>
    <mergeCell ref="A137:A138"/>
    <mergeCell ref="B137:B138"/>
    <mergeCell ref="C137:C138"/>
    <mergeCell ref="D137:D138"/>
    <mergeCell ref="E137:G138"/>
    <mergeCell ref="H137:H138"/>
    <mergeCell ref="A135:A136"/>
    <mergeCell ref="B135:B136"/>
    <mergeCell ref="C135:C136"/>
    <mergeCell ref="D135:D136"/>
    <mergeCell ref="E135:G136"/>
    <mergeCell ref="H135:H136"/>
    <mergeCell ref="A133:A134"/>
    <mergeCell ref="B133:B134"/>
    <mergeCell ref="C133:C134"/>
    <mergeCell ref="D133:D134"/>
    <mergeCell ref="E133:G134"/>
    <mergeCell ref="H133:H134"/>
    <mergeCell ref="A131:A132"/>
    <mergeCell ref="B131:B132"/>
    <mergeCell ref="C131:C132"/>
    <mergeCell ref="D131:D132"/>
    <mergeCell ref="E131:G132"/>
    <mergeCell ref="H131:H132"/>
    <mergeCell ref="A129:A130"/>
    <mergeCell ref="B129:B130"/>
    <mergeCell ref="C129:C130"/>
    <mergeCell ref="D129:D130"/>
    <mergeCell ref="E129:G130"/>
    <mergeCell ref="H129:H130"/>
    <mergeCell ref="A127:A128"/>
    <mergeCell ref="A125:A126"/>
    <mergeCell ref="B125:B126"/>
    <mergeCell ref="C125:C126"/>
    <mergeCell ref="D125:D126"/>
    <mergeCell ref="E125:G126"/>
    <mergeCell ref="H125:H126"/>
    <mergeCell ref="B127:H128"/>
    <mergeCell ref="A123:A124"/>
    <mergeCell ref="B123:B124"/>
    <mergeCell ref="C123:C124"/>
    <mergeCell ref="D123:D124"/>
    <mergeCell ref="E123:G124"/>
    <mergeCell ref="H123:H124"/>
    <mergeCell ref="A121:A122"/>
    <mergeCell ref="B121:B122"/>
    <mergeCell ref="C121:C122"/>
    <mergeCell ref="D121:D122"/>
    <mergeCell ref="E121:G122"/>
    <mergeCell ref="H121:H122"/>
    <mergeCell ref="A119:A120"/>
    <mergeCell ref="B119:B120"/>
    <mergeCell ref="C119:C120"/>
    <mergeCell ref="D119:D120"/>
    <mergeCell ref="E119:G120"/>
    <mergeCell ref="H119:H120"/>
    <mergeCell ref="A117:A118"/>
    <mergeCell ref="B117:B118"/>
    <mergeCell ref="C117:C118"/>
    <mergeCell ref="D117:D118"/>
    <mergeCell ref="E117:G118"/>
    <mergeCell ref="H117:H118"/>
    <mergeCell ref="A115:A116"/>
    <mergeCell ref="B115:B116"/>
    <mergeCell ref="C115:C116"/>
    <mergeCell ref="D115:D116"/>
    <mergeCell ref="E115:G116"/>
    <mergeCell ref="H115:H116"/>
    <mergeCell ref="A113:A114"/>
    <mergeCell ref="B113:B114"/>
    <mergeCell ref="C113:C114"/>
    <mergeCell ref="D113:D114"/>
    <mergeCell ref="E113:G114"/>
    <mergeCell ref="H113:H114"/>
    <mergeCell ref="A107:A108"/>
    <mergeCell ref="B107:B108"/>
    <mergeCell ref="C107:C108"/>
    <mergeCell ref="D107:D108"/>
    <mergeCell ref="E107:G108"/>
    <mergeCell ref="H107:H108"/>
    <mergeCell ref="A105:A106"/>
    <mergeCell ref="B105:H106"/>
    <mergeCell ref="A111:A112"/>
    <mergeCell ref="B111:B112"/>
    <mergeCell ref="C111:C112"/>
    <mergeCell ref="D111:D112"/>
    <mergeCell ref="E111:G112"/>
    <mergeCell ref="H111:H112"/>
    <mergeCell ref="A109:A110"/>
    <mergeCell ref="B109:B110"/>
    <mergeCell ref="C109:C110"/>
    <mergeCell ref="D109:D110"/>
    <mergeCell ref="E109:G110"/>
    <mergeCell ref="H109:H110"/>
    <mergeCell ref="A103:A104"/>
    <mergeCell ref="B103:B104"/>
    <mergeCell ref="C103:C104"/>
    <mergeCell ref="D103:D104"/>
    <mergeCell ref="E103:G104"/>
    <mergeCell ref="H103:H104"/>
    <mergeCell ref="A101:A102"/>
    <mergeCell ref="B101:B102"/>
    <mergeCell ref="C101:C102"/>
    <mergeCell ref="D101:D102"/>
    <mergeCell ref="E101:G102"/>
    <mergeCell ref="H101:H102"/>
    <mergeCell ref="A99:A100"/>
    <mergeCell ref="B99:B100"/>
    <mergeCell ref="C99:C100"/>
    <mergeCell ref="D99:D100"/>
    <mergeCell ref="E99:G100"/>
    <mergeCell ref="H99:H100"/>
    <mergeCell ref="A97:A98"/>
    <mergeCell ref="B97:B98"/>
    <mergeCell ref="C97:C98"/>
    <mergeCell ref="D97:D98"/>
    <mergeCell ref="E97:G98"/>
    <mergeCell ref="H97:H98"/>
    <mergeCell ref="A95:A96"/>
    <mergeCell ref="B95:B96"/>
    <mergeCell ref="C95:C96"/>
    <mergeCell ref="D95:D96"/>
    <mergeCell ref="E95:G96"/>
    <mergeCell ref="H95:H96"/>
    <mergeCell ref="A93:A94"/>
    <mergeCell ref="B93:B94"/>
    <mergeCell ref="C93:C94"/>
    <mergeCell ref="D93:D94"/>
    <mergeCell ref="E93:G94"/>
    <mergeCell ref="H93:H94"/>
    <mergeCell ref="A91:A92"/>
    <mergeCell ref="B91:B92"/>
    <mergeCell ref="C91:C92"/>
    <mergeCell ref="D91:D92"/>
    <mergeCell ref="E91:G92"/>
    <mergeCell ref="H91:H92"/>
    <mergeCell ref="H87:H88"/>
    <mergeCell ref="A89:A90"/>
    <mergeCell ref="B89:B90"/>
    <mergeCell ref="C89:C90"/>
    <mergeCell ref="D89:D90"/>
    <mergeCell ref="E89:G90"/>
    <mergeCell ref="H89:H90"/>
    <mergeCell ref="E86:G86"/>
    <mergeCell ref="A87:A88"/>
    <mergeCell ref="B87:B88"/>
    <mergeCell ref="C87:C88"/>
    <mergeCell ref="D87:D88"/>
    <mergeCell ref="E87:G88"/>
    <mergeCell ref="A84:A85"/>
    <mergeCell ref="B84:B85"/>
    <mergeCell ref="C84:C85"/>
    <mergeCell ref="D84:D85"/>
    <mergeCell ref="E84:G85"/>
    <mergeCell ref="H84:H85"/>
    <mergeCell ref="A82:A83"/>
    <mergeCell ref="B82:B83"/>
    <mergeCell ref="C82:C83"/>
    <mergeCell ref="D82:D83"/>
    <mergeCell ref="E82:G83"/>
    <mergeCell ref="H82:H83"/>
    <mergeCell ref="A80:A81"/>
    <mergeCell ref="B80:B81"/>
    <mergeCell ref="C80:C81"/>
    <mergeCell ref="D80:D81"/>
    <mergeCell ref="E80:G81"/>
    <mergeCell ref="H80:H81"/>
    <mergeCell ref="A78:A79"/>
    <mergeCell ref="B78:B79"/>
    <mergeCell ref="C78:C79"/>
    <mergeCell ref="D78:D79"/>
    <mergeCell ref="E78:G79"/>
    <mergeCell ref="H78:H79"/>
    <mergeCell ref="A76:A77"/>
    <mergeCell ref="B76:B77"/>
    <mergeCell ref="C76:C77"/>
    <mergeCell ref="D76:D77"/>
    <mergeCell ref="E76:G77"/>
    <mergeCell ref="H76:H77"/>
    <mergeCell ref="A73:A74"/>
    <mergeCell ref="B73:B74"/>
    <mergeCell ref="C73:C74"/>
    <mergeCell ref="D73:D74"/>
    <mergeCell ref="E73:G74"/>
    <mergeCell ref="H73:H74"/>
    <mergeCell ref="A71:A72"/>
    <mergeCell ref="B71:B72"/>
    <mergeCell ref="C71:C72"/>
    <mergeCell ref="D71:D72"/>
    <mergeCell ref="E71:G72"/>
    <mergeCell ref="H71:H72"/>
    <mergeCell ref="A69:A70"/>
    <mergeCell ref="B69:B70"/>
    <mergeCell ref="C69:C70"/>
    <mergeCell ref="D69:D70"/>
    <mergeCell ref="E69:G70"/>
    <mergeCell ref="H69:H70"/>
    <mergeCell ref="A67:A68"/>
    <mergeCell ref="B67:B68"/>
    <mergeCell ref="C67:C68"/>
    <mergeCell ref="D67:D68"/>
    <mergeCell ref="E67:G68"/>
    <mergeCell ref="H67:H68"/>
    <mergeCell ref="A65:A66"/>
    <mergeCell ref="B65:B66"/>
    <mergeCell ref="C65:C66"/>
    <mergeCell ref="D65:D66"/>
    <mergeCell ref="E65:G66"/>
    <mergeCell ref="H65:H66"/>
    <mergeCell ref="A63:A64"/>
    <mergeCell ref="B63:B64"/>
    <mergeCell ref="C63:C64"/>
    <mergeCell ref="D63:D64"/>
    <mergeCell ref="E63:G64"/>
    <mergeCell ref="H63:H64"/>
    <mergeCell ref="A61:A62"/>
    <mergeCell ref="B61:B62"/>
    <mergeCell ref="C61:C62"/>
    <mergeCell ref="D61:D62"/>
    <mergeCell ref="E61:G62"/>
    <mergeCell ref="H61:H62"/>
    <mergeCell ref="A59:A60"/>
    <mergeCell ref="B59:B60"/>
    <mergeCell ref="C59:C60"/>
    <mergeCell ref="D59:D60"/>
    <mergeCell ref="E59:G60"/>
    <mergeCell ref="H59:H60"/>
    <mergeCell ref="A57:A58"/>
    <mergeCell ref="B57:B58"/>
    <mergeCell ref="C57:C58"/>
    <mergeCell ref="D57:D58"/>
    <mergeCell ref="E57:G58"/>
    <mergeCell ref="H57:H58"/>
    <mergeCell ref="A55:A56"/>
    <mergeCell ref="B55:B56"/>
    <mergeCell ref="C55:C56"/>
    <mergeCell ref="D55:D56"/>
    <mergeCell ref="E55:G56"/>
    <mergeCell ref="H55:H56"/>
    <mergeCell ref="A49:A50"/>
    <mergeCell ref="B49:B50"/>
    <mergeCell ref="C49:C50"/>
    <mergeCell ref="D49:D50"/>
    <mergeCell ref="E49:G50"/>
    <mergeCell ref="H49:H50"/>
    <mergeCell ref="A53:A54"/>
    <mergeCell ref="A51:A52"/>
    <mergeCell ref="B51:B52"/>
    <mergeCell ref="C51:C52"/>
    <mergeCell ref="D51:D52"/>
    <mergeCell ref="E51:G52"/>
    <mergeCell ref="H51:H52"/>
    <mergeCell ref="B53:H54"/>
    <mergeCell ref="A47:A48"/>
    <mergeCell ref="B47:B48"/>
    <mergeCell ref="C47:C48"/>
    <mergeCell ref="D47:D48"/>
    <mergeCell ref="E47:G48"/>
    <mergeCell ref="H47:H48"/>
    <mergeCell ref="A45:A46"/>
    <mergeCell ref="B45:B46"/>
    <mergeCell ref="C45:C46"/>
    <mergeCell ref="D45:D46"/>
    <mergeCell ref="E45:G46"/>
    <mergeCell ref="H45:H46"/>
    <mergeCell ref="A43:A44"/>
    <mergeCell ref="B43:B44"/>
    <mergeCell ref="C43:C44"/>
    <mergeCell ref="D43:D44"/>
    <mergeCell ref="E43:G44"/>
    <mergeCell ref="H43:H44"/>
    <mergeCell ref="A40:A42"/>
    <mergeCell ref="B40:B42"/>
    <mergeCell ref="C40:C42"/>
    <mergeCell ref="D40:D42"/>
    <mergeCell ref="E40:G42"/>
    <mergeCell ref="H40:H42"/>
    <mergeCell ref="A38:A39"/>
    <mergeCell ref="B38:B39"/>
    <mergeCell ref="C38:C39"/>
    <mergeCell ref="D38:D39"/>
    <mergeCell ref="E38:G39"/>
    <mergeCell ref="H38:H39"/>
    <mergeCell ref="A36:A37"/>
    <mergeCell ref="B36:B37"/>
    <mergeCell ref="C36:C37"/>
    <mergeCell ref="D36:D37"/>
    <mergeCell ref="E36:G37"/>
    <mergeCell ref="H36:H37"/>
    <mergeCell ref="A34:A35"/>
    <mergeCell ref="B34:B35"/>
    <mergeCell ref="C34:C35"/>
    <mergeCell ref="D34:D35"/>
    <mergeCell ref="E34:G35"/>
    <mergeCell ref="H34:H35"/>
    <mergeCell ref="A32:A33"/>
    <mergeCell ref="B32:B33"/>
    <mergeCell ref="C32:C33"/>
    <mergeCell ref="D32:D33"/>
    <mergeCell ref="E32:G33"/>
    <mergeCell ref="H32:H33"/>
    <mergeCell ref="A26:A27"/>
    <mergeCell ref="A24:A25"/>
    <mergeCell ref="B24:B25"/>
    <mergeCell ref="C24:C25"/>
    <mergeCell ref="D24:D25"/>
    <mergeCell ref="E24:G25"/>
    <mergeCell ref="H24:H25"/>
    <mergeCell ref="B26:H27"/>
    <mergeCell ref="A30:A31"/>
    <mergeCell ref="B30:B31"/>
    <mergeCell ref="C30:C31"/>
    <mergeCell ref="D30:D31"/>
    <mergeCell ref="E30:G31"/>
    <mergeCell ref="H30:H31"/>
    <mergeCell ref="A28:A29"/>
    <mergeCell ref="B28:B29"/>
    <mergeCell ref="C28:C29"/>
    <mergeCell ref="D28:D29"/>
    <mergeCell ref="E28:G29"/>
    <mergeCell ref="H28:H29"/>
    <mergeCell ref="A22:A23"/>
    <mergeCell ref="B22:B23"/>
    <mergeCell ref="C22:C23"/>
    <mergeCell ref="D22:D23"/>
    <mergeCell ref="E22:G23"/>
    <mergeCell ref="H22:H23"/>
    <mergeCell ref="A20:A21"/>
    <mergeCell ref="B20:B21"/>
    <mergeCell ref="C20:C21"/>
    <mergeCell ref="D20:D21"/>
    <mergeCell ref="E20:G21"/>
    <mergeCell ref="H20:H21"/>
    <mergeCell ref="A18:A19"/>
    <mergeCell ref="B18:B19"/>
    <mergeCell ref="C18:C19"/>
    <mergeCell ref="D18:D19"/>
    <mergeCell ref="E18:G19"/>
    <mergeCell ref="H18:H19"/>
    <mergeCell ref="A16:A17"/>
    <mergeCell ref="B16:B17"/>
    <mergeCell ref="C16:C17"/>
    <mergeCell ref="D16:D17"/>
    <mergeCell ref="E16:G17"/>
    <mergeCell ref="H16:H17"/>
    <mergeCell ref="A14:A15"/>
    <mergeCell ref="B14:B15"/>
    <mergeCell ref="C14:C15"/>
    <mergeCell ref="D14:D15"/>
    <mergeCell ref="E14:G15"/>
    <mergeCell ref="H14:H15"/>
    <mergeCell ref="A12:A13"/>
    <mergeCell ref="B12:B13"/>
    <mergeCell ref="C12:C13"/>
    <mergeCell ref="D12:D13"/>
    <mergeCell ref="E12:G13"/>
    <mergeCell ref="H12:H13"/>
    <mergeCell ref="A10:A11"/>
    <mergeCell ref="B10:B11"/>
    <mergeCell ref="C10:C11"/>
    <mergeCell ref="D10:D11"/>
    <mergeCell ref="E10:G11"/>
    <mergeCell ref="H10:H11"/>
    <mergeCell ref="A8:A9"/>
    <mergeCell ref="B8:B9"/>
    <mergeCell ref="C8:C9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A3:H3"/>
    <mergeCell ref="A4:A5"/>
    <mergeCell ref="B4:B5"/>
    <mergeCell ref="C4:C5"/>
    <mergeCell ref="D4:D5"/>
    <mergeCell ref="E4:G5"/>
    <mergeCell ref="H4:H5"/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</mergeCells>
  <phoneticPr fontId="1" type="noConversion"/>
  <pageMargins left="0" right="0" top="0" bottom="0" header="0" footer="0"/>
  <pageSetup paperSize="9" scale="36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221"/>
  <sheetViews>
    <sheetView showGridLines="0" zoomScale="115" zoomScaleNormal="115" workbookViewId="0">
      <pane xSplit="8" ySplit="2" topLeftCell="I153" activePane="bottomRight" state="frozen"/>
      <selection pane="topRight" activeCell="I1" sqref="I1"/>
      <selection pane="bottomLeft" activeCell="A3" sqref="A3"/>
      <selection pane="bottomRight" activeCell="D8" sqref="D8:D9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0" max="10" width="13.12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</cols>
  <sheetData>
    <row r="1" spans="1:18" ht="35.25" customHeight="1" thickBot="1">
      <c r="A1" s="388" t="s">
        <v>3313</v>
      </c>
      <c r="B1" s="389"/>
      <c r="C1" s="402" t="s">
        <v>27</v>
      </c>
      <c r="D1" s="403"/>
      <c r="E1" s="21" t="s">
        <v>26</v>
      </c>
      <c r="F1" s="20">
        <f>H1/31</f>
        <v>904290.32258064521</v>
      </c>
      <c r="G1" s="21" t="s">
        <v>4</v>
      </c>
      <c r="H1" s="22">
        <f>SUM(D4:D221)</f>
        <v>28033000</v>
      </c>
      <c r="I1" s="392"/>
      <c r="J1" s="338"/>
      <c r="K1" s="394"/>
      <c r="L1" s="396"/>
      <c r="M1" s="377"/>
      <c r="N1" s="379"/>
      <c r="O1" s="381"/>
      <c r="P1" s="383"/>
      <c r="Q1" s="377"/>
      <c r="R1" s="376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385" t="s">
        <v>25</v>
      </c>
      <c r="F2" s="386"/>
      <c r="G2" s="387"/>
      <c r="H2" s="25" t="s">
        <v>5</v>
      </c>
      <c r="I2" s="393"/>
      <c r="J2" s="333"/>
      <c r="K2" s="395"/>
      <c r="L2" s="397"/>
      <c r="M2" s="378"/>
      <c r="N2" s="380"/>
      <c r="O2" s="382"/>
      <c r="P2" s="384"/>
      <c r="Q2" s="378"/>
      <c r="R2" s="376"/>
    </row>
    <row r="3" spans="1:18" ht="36" customHeight="1">
      <c r="A3" s="441" t="s">
        <v>2442</v>
      </c>
      <c r="B3" s="442"/>
      <c r="C3" s="442"/>
      <c r="D3" s="442"/>
      <c r="E3" s="442"/>
      <c r="F3" s="442"/>
      <c r="G3" s="442"/>
      <c r="H3" s="443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322" t="s">
        <v>2397</v>
      </c>
      <c r="B4" s="444" t="s">
        <v>2744</v>
      </c>
      <c r="C4" s="341"/>
      <c r="D4" s="326">
        <v>720000</v>
      </c>
      <c r="E4" s="687" t="s">
        <v>2402</v>
      </c>
      <c r="F4" s="688"/>
      <c r="G4" s="689"/>
      <c r="H4" s="398" t="s">
        <v>2400</v>
      </c>
      <c r="J4" s="42">
        <v>720000</v>
      </c>
    </row>
    <row r="5" spans="1:18" ht="16.5" customHeight="1">
      <c r="A5" s="323"/>
      <c r="B5" s="445"/>
      <c r="C5" s="342"/>
      <c r="D5" s="326"/>
      <c r="E5" s="690"/>
      <c r="F5" s="691"/>
      <c r="G5" s="692"/>
      <c r="H5" s="399"/>
      <c r="J5" s="43">
        <v>270000</v>
      </c>
    </row>
    <row r="6" spans="1:18" ht="16.5" customHeight="1">
      <c r="A6" s="322" t="s">
        <v>2393</v>
      </c>
      <c r="B6" s="439" t="s">
        <v>2394</v>
      </c>
      <c r="C6" s="341"/>
      <c r="D6" s="326">
        <v>270000</v>
      </c>
      <c r="E6" s="687" t="s">
        <v>2395</v>
      </c>
      <c r="F6" s="701"/>
      <c r="G6" s="702"/>
      <c r="H6" s="398" t="s">
        <v>2396</v>
      </c>
      <c r="J6" s="43">
        <v>1030000</v>
      </c>
    </row>
    <row r="7" spans="1:18" ht="16.5" customHeight="1">
      <c r="A7" s="323"/>
      <c r="B7" s="440"/>
      <c r="C7" s="352"/>
      <c r="D7" s="326"/>
      <c r="E7" s="703"/>
      <c r="F7" s="704"/>
      <c r="G7" s="705"/>
      <c r="H7" s="399"/>
      <c r="J7" s="43">
        <v>480000</v>
      </c>
    </row>
    <row r="8" spans="1:18" ht="16.5" customHeight="1">
      <c r="A8" s="322" t="s">
        <v>2401</v>
      </c>
      <c r="B8" s="439" t="s">
        <v>2403</v>
      </c>
      <c r="C8" s="353" t="s">
        <v>2404</v>
      </c>
      <c r="D8" s="343">
        <v>1030000</v>
      </c>
      <c r="E8" s="327" t="s">
        <v>2445</v>
      </c>
      <c r="F8" s="345"/>
      <c r="G8" s="346"/>
      <c r="H8" s="398" t="s">
        <v>2410</v>
      </c>
      <c r="J8" s="43">
        <v>2195000</v>
      </c>
    </row>
    <row r="9" spans="1:18" ht="24" customHeight="1">
      <c r="A9" s="323"/>
      <c r="B9" s="440"/>
      <c r="C9" s="352"/>
      <c r="D9" s="344"/>
      <c r="E9" s="347"/>
      <c r="F9" s="348"/>
      <c r="G9" s="349"/>
      <c r="H9" s="399"/>
      <c r="J9" s="43">
        <v>290000</v>
      </c>
    </row>
    <row r="10" spans="1:18" ht="16.5" customHeight="1">
      <c r="A10" s="322" t="s">
        <v>2405</v>
      </c>
      <c r="B10" s="444" t="s">
        <v>2407</v>
      </c>
      <c r="C10" s="324"/>
      <c r="D10" s="343">
        <v>480000</v>
      </c>
      <c r="E10" s="687" t="s">
        <v>2408</v>
      </c>
      <c r="F10" s="688"/>
      <c r="G10" s="689"/>
      <c r="H10" s="398" t="s">
        <v>2409</v>
      </c>
      <c r="J10" s="43">
        <v>942000</v>
      </c>
    </row>
    <row r="11" spans="1:18" ht="30.75" customHeight="1">
      <c r="A11" s="323"/>
      <c r="B11" s="445"/>
      <c r="C11" s="325"/>
      <c r="D11" s="344"/>
      <c r="E11" s="690"/>
      <c r="F11" s="691"/>
      <c r="G11" s="692"/>
      <c r="H11" s="399"/>
      <c r="J11" s="43">
        <v>990000</v>
      </c>
    </row>
    <row r="12" spans="1:18" ht="16.5" customHeight="1">
      <c r="A12" s="322" t="s">
        <v>2406</v>
      </c>
      <c r="B12" s="439" t="s">
        <v>2411</v>
      </c>
      <c r="C12" s="341"/>
      <c r="D12" s="326">
        <v>70000</v>
      </c>
      <c r="E12" s="327" t="s">
        <v>2412</v>
      </c>
      <c r="F12" s="328"/>
      <c r="G12" s="329"/>
      <c r="H12" s="398" t="s">
        <v>2410</v>
      </c>
      <c r="J12" s="43">
        <v>580000</v>
      </c>
    </row>
    <row r="13" spans="1:18" ht="16.5" customHeight="1">
      <c r="A13" s="323"/>
      <c r="B13" s="440"/>
      <c r="C13" s="342"/>
      <c r="D13" s="326"/>
      <c r="E13" s="330"/>
      <c r="F13" s="331"/>
      <c r="G13" s="332"/>
      <c r="H13" s="399"/>
      <c r="J13" s="43">
        <v>865000</v>
      </c>
    </row>
    <row r="14" spans="1:18" ht="16.5" customHeight="1">
      <c r="A14" s="322" t="s">
        <v>2413</v>
      </c>
      <c r="B14" s="439" t="s">
        <v>2416</v>
      </c>
      <c r="C14" s="341"/>
      <c r="D14" s="343">
        <v>50000</v>
      </c>
      <c r="E14" s="327" t="s">
        <v>2417</v>
      </c>
      <c r="F14" s="345"/>
      <c r="G14" s="346"/>
      <c r="H14" s="398" t="s">
        <v>2426</v>
      </c>
    </row>
    <row r="15" spans="1:18" ht="16.5" customHeight="1">
      <c r="A15" s="323"/>
      <c r="B15" s="440"/>
      <c r="C15" s="342"/>
      <c r="D15" s="344"/>
      <c r="E15" s="347"/>
      <c r="F15" s="348"/>
      <c r="G15" s="349"/>
      <c r="H15" s="399"/>
    </row>
    <row r="16" spans="1:18" ht="16.5" customHeight="1">
      <c r="A16" s="322" t="s">
        <v>2414</v>
      </c>
      <c r="B16" s="444" t="s">
        <v>2418</v>
      </c>
      <c r="C16" s="325" t="s">
        <v>2419</v>
      </c>
      <c r="D16" s="326">
        <v>2195000</v>
      </c>
      <c r="E16" s="327" t="s">
        <v>2436</v>
      </c>
      <c r="F16" s="328"/>
      <c r="G16" s="329"/>
      <c r="H16" s="398" t="s">
        <v>2426</v>
      </c>
    </row>
    <row r="17" spans="1:11" ht="16.5" customHeight="1">
      <c r="A17" s="323"/>
      <c r="B17" s="445"/>
      <c r="C17" s="325"/>
      <c r="D17" s="326"/>
      <c r="E17" s="330"/>
      <c r="F17" s="331"/>
      <c r="G17" s="332"/>
      <c r="H17" s="399"/>
    </row>
    <row r="18" spans="1:11" ht="16.5" customHeight="1">
      <c r="A18" s="322" t="s">
        <v>2415</v>
      </c>
      <c r="B18" s="439" t="s">
        <v>2420</v>
      </c>
      <c r="C18" s="324"/>
      <c r="D18" s="326">
        <v>140000</v>
      </c>
      <c r="E18" s="709" t="s">
        <v>2437</v>
      </c>
      <c r="F18" s="328"/>
      <c r="G18" s="329"/>
      <c r="H18" s="398"/>
    </row>
    <row r="19" spans="1:11" ht="22.5" customHeight="1">
      <c r="A19" s="323"/>
      <c r="B19" s="440"/>
      <c r="C19" s="325"/>
      <c r="D19" s="326"/>
      <c r="E19" s="330"/>
      <c r="F19" s="331"/>
      <c r="G19" s="332"/>
      <c r="H19" s="399"/>
      <c r="K19" s="24"/>
    </row>
    <row r="20" spans="1:11" ht="16.5" customHeight="1">
      <c r="A20" s="322" t="s">
        <v>2415</v>
      </c>
      <c r="B20" s="444" t="s">
        <v>2398</v>
      </c>
      <c r="C20" s="341" t="s">
        <v>2427</v>
      </c>
      <c r="D20" s="326">
        <v>290000</v>
      </c>
      <c r="E20" s="706" t="s">
        <v>2425</v>
      </c>
      <c r="F20" s="707"/>
      <c r="G20" s="708"/>
      <c r="H20" s="360" t="s">
        <v>2426</v>
      </c>
    </row>
    <row r="21" spans="1:11" ht="16.5" customHeight="1">
      <c r="A21" s="323"/>
      <c r="B21" s="445"/>
      <c r="C21" s="342"/>
      <c r="D21" s="326"/>
      <c r="E21" s="703"/>
      <c r="F21" s="704"/>
      <c r="G21" s="705"/>
      <c r="H21" s="359"/>
    </row>
    <row r="22" spans="1:11" ht="16.5" customHeight="1">
      <c r="A22" s="322" t="s">
        <v>2421</v>
      </c>
      <c r="B22" s="439" t="s">
        <v>2428</v>
      </c>
      <c r="C22" s="341" t="s">
        <v>2429</v>
      </c>
      <c r="D22" s="326">
        <v>350000</v>
      </c>
      <c r="E22" s="327" t="s">
        <v>2430</v>
      </c>
      <c r="F22" s="345"/>
      <c r="G22" s="346"/>
      <c r="H22" s="360" t="s">
        <v>2431</v>
      </c>
    </row>
    <row r="23" spans="1:11" ht="51" customHeight="1">
      <c r="A23" s="323"/>
      <c r="B23" s="440"/>
      <c r="C23" s="342"/>
      <c r="D23" s="326"/>
      <c r="E23" s="347"/>
      <c r="F23" s="348"/>
      <c r="G23" s="349"/>
      <c r="H23" s="359"/>
    </row>
    <row r="24" spans="1:11" ht="16.5" customHeight="1">
      <c r="A24" s="335" t="s">
        <v>2422</v>
      </c>
      <c r="B24" s="444" t="s">
        <v>2433</v>
      </c>
      <c r="C24" s="341" t="s">
        <v>2434</v>
      </c>
      <c r="D24" s="326">
        <v>190000</v>
      </c>
      <c r="E24" s="685" t="s">
        <v>2435</v>
      </c>
      <c r="F24" s="686"/>
      <c r="G24" s="686"/>
      <c r="H24" s="360" t="s">
        <v>2431</v>
      </c>
      <c r="I24" s="4"/>
    </row>
    <row r="25" spans="1:11" ht="16.5" customHeight="1">
      <c r="A25" s="336"/>
      <c r="B25" s="445"/>
      <c r="C25" s="342"/>
      <c r="D25" s="326"/>
      <c r="E25" s="686"/>
      <c r="F25" s="686"/>
      <c r="G25" s="686"/>
      <c r="H25" s="359"/>
    </row>
    <row r="26" spans="1:11" ht="16.5" customHeight="1">
      <c r="A26" s="335" t="s">
        <v>2423</v>
      </c>
      <c r="B26" s="444" t="s">
        <v>2432</v>
      </c>
      <c r="C26" s="341"/>
      <c r="D26" s="326">
        <v>340000</v>
      </c>
      <c r="E26" s="327" t="s">
        <v>2444</v>
      </c>
      <c r="F26" s="345"/>
      <c r="G26" s="346"/>
      <c r="H26" s="360" t="s">
        <v>2438</v>
      </c>
    </row>
    <row r="27" spans="1:11" ht="16.5" customHeight="1">
      <c r="A27" s="336"/>
      <c r="B27" s="445"/>
      <c r="C27" s="342"/>
      <c r="D27" s="326"/>
      <c r="E27" s="347"/>
      <c r="F27" s="348"/>
      <c r="G27" s="349"/>
      <c r="H27" s="359"/>
    </row>
    <row r="28" spans="1:11" ht="16.5" customHeight="1">
      <c r="A28" s="335" t="s">
        <v>2424</v>
      </c>
      <c r="B28" s="439" t="s">
        <v>2441</v>
      </c>
      <c r="C28" s="341" t="s">
        <v>2440</v>
      </c>
      <c r="D28" s="326">
        <v>125000</v>
      </c>
      <c r="E28" s="327" t="s">
        <v>2439</v>
      </c>
      <c r="F28" s="328"/>
      <c r="G28" s="329"/>
      <c r="H28" s="360" t="s">
        <v>2438</v>
      </c>
    </row>
    <row r="29" spans="1:11" ht="16.5" customHeight="1">
      <c r="A29" s="336"/>
      <c r="B29" s="440"/>
      <c r="C29" s="342"/>
      <c r="D29" s="326"/>
      <c r="E29" s="330"/>
      <c r="F29" s="331"/>
      <c r="G29" s="332"/>
      <c r="H29" s="359"/>
    </row>
    <row r="30" spans="1:11" ht="16.5" customHeight="1">
      <c r="A30" s="322"/>
      <c r="B30" s="658" t="s">
        <v>2510</v>
      </c>
      <c r="C30" s="659"/>
      <c r="D30" s="659"/>
      <c r="E30" s="659"/>
      <c r="F30" s="659"/>
      <c r="G30" s="659"/>
      <c r="H30" s="660"/>
    </row>
    <row r="31" spans="1:11" ht="39" customHeight="1">
      <c r="A31" s="323"/>
      <c r="B31" s="661"/>
      <c r="C31" s="662"/>
      <c r="D31" s="662"/>
      <c r="E31" s="662"/>
      <c r="F31" s="662"/>
      <c r="G31" s="662"/>
      <c r="H31" s="663"/>
    </row>
    <row r="32" spans="1:11" ht="16.5" customHeight="1">
      <c r="A32" s="322" t="s">
        <v>2443</v>
      </c>
      <c r="B32" s="444" t="s">
        <v>2447</v>
      </c>
      <c r="C32" s="341"/>
      <c r="D32" s="326">
        <v>90000</v>
      </c>
      <c r="E32" s="327" t="s">
        <v>2460</v>
      </c>
      <c r="F32" s="328"/>
      <c r="G32" s="329"/>
      <c r="H32" s="360" t="s">
        <v>2448</v>
      </c>
    </row>
    <row r="33" spans="1:10" ht="16.5" customHeight="1">
      <c r="A33" s="323"/>
      <c r="B33" s="445"/>
      <c r="C33" s="342"/>
      <c r="D33" s="326"/>
      <c r="E33" s="330"/>
      <c r="F33" s="331"/>
      <c r="G33" s="332"/>
      <c r="H33" s="359"/>
    </row>
    <row r="34" spans="1:10" ht="16.5" customHeight="1">
      <c r="A34" s="322" t="s">
        <v>2446</v>
      </c>
      <c r="B34" s="496" t="s">
        <v>2447</v>
      </c>
      <c r="C34" s="324"/>
      <c r="D34" s="326">
        <v>55000</v>
      </c>
      <c r="E34" s="327" t="s">
        <v>2461</v>
      </c>
      <c r="F34" s="328"/>
      <c r="G34" s="329"/>
      <c r="H34" s="360" t="s">
        <v>2448</v>
      </c>
    </row>
    <row r="35" spans="1:10" ht="26.25" customHeight="1">
      <c r="A35" s="323"/>
      <c r="B35" s="497"/>
      <c r="C35" s="325"/>
      <c r="D35" s="326"/>
      <c r="E35" s="330"/>
      <c r="F35" s="331"/>
      <c r="G35" s="332"/>
      <c r="H35" s="359"/>
    </row>
    <row r="36" spans="1:10" ht="16.5" customHeight="1">
      <c r="A36" s="322" t="s">
        <v>2449</v>
      </c>
      <c r="B36" s="496" t="s">
        <v>2450</v>
      </c>
      <c r="C36" s="341"/>
      <c r="D36" s="326">
        <v>30000</v>
      </c>
      <c r="E36" s="327" t="s">
        <v>2462</v>
      </c>
      <c r="F36" s="345"/>
      <c r="G36" s="346"/>
      <c r="H36" s="360" t="s">
        <v>2459</v>
      </c>
    </row>
    <row r="37" spans="1:10" ht="16.5" customHeight="1">
      <c r="A37" s="322"/>
      <c r="B37" s="496"/>
      <c r="C37" s="361"/>
      <c r="D37" s="326"/>
      <c r="E37" s="364"/>
      <c r="F37" s="365"/>
      <c r="G37" s="366"/>
      <c r="H37" s="360"/>
    </row>
    <row r="38" spans="1:10" ht="3.75" customHeight="1">
      <c r="A38" s="323"/>
      <c r="B38" s="497"/>
      <c r="C38" s="352"/>
      <c r="D38" s="326"/>
      <c r="E38" s="347"/>
      <c r="F38" s="348"/>
      <c r="G38" s="349"/>
      <c r="H38" s="359"/>
    </row>
    <row r="39" spans="1:10" ht="16.5" customHeight="1">
      <c r="A39" s="322" t="s">
        <v>2456</v>
      </c>
      <c r="B39" s="496" t="s">
        <v>2455</v>
      </c>
      <c r="C39" s="324"/>
      <c r="D39" s="326">
        <v>40000</v>
      </c>
      <c r="E39" s="327" t="s">
        <v>2463</v>
      </c>
      <c r="F39" s="328"/>
      <c r="G39" s="329"/>
      <c r="H39" s="360" t="s">
        <v>2457</v>
      </c>
      <c r="J39" s="57"/>
    </row>
    <row r="40" spans="1:10" ht="16.5" customHeight="1">
      <c r="A40" s="323"/>
      <c r="B40" s="497"/>
      <c r="C40" s="325"/>
      <c r="D40" s="326"/>
      <c r="E40" s="330"/>
      <c r="F40" s="331"/>
      <c r="G40" s="332"/>
      <c r="H40" s="359"/>
      <c r="J40" s="57"/>
    </row>
    <row r="41" spans="1:10" ht="16.5" customHeight="1">
      <c r="A41" s="322" t="s">
        <v>2451</v>
      </c>
      <c r="B41" s="596" t="s">
        <v>2452</v>
      </c>
      <c r="C41" s="341"/>
      <c r="D41" s="343">
        <v>154000</v>
      </c>
      <c r="E41" s="327" t="s">
        <v>2464</v>
      </c>
      <c r="F41" s="345"/>
      <c r="G41" s="346"/>
      <c r="H41" s="400" t="s">
        <v>1455</v>
      </c>
    </row>
    <row r="42" spans="1:10" ht="16.5" customHeight="1">
      <c r="A42" s="323"/>
      <c r="B42" s="597"/>
      <c r="C42" s="342"/>
      <c r="D42" s="344"/>
      <c r="E42" s="347"/>
      <c r="F42" s="348"/>
      <c r="G42" s="349"/>
      <c r="H42" s="401"/>
    </row>
    <row r="43" spans="1:10" ht="16.5" customHeight="1">
      <c r="A43" s="322" t="s">
        <v>2453</v>
      </c>
      <c r="B43" s="596" t="s">
        <v>2465</v>
      </c>
      <c r="C43" s="341"/>
      <c r="D43" s="343">
        <v>95000</v>
      </c>
      <c r="E43" s="327"/>
      <c r="F43" s="345"/>
      <c r="G43" s="346"/>
      <c r="H43" s="400" t="s">
        <v>2489</v>
      </c>
    </row>
    <row r="44" spans="1:10" ht="41.25" customHeight="1">
      <c r="A44" s="323"/>
      <c r="B44" s="597"/>
      <c r="C44" s="342"/>
      <c r="D44" s="344"/>
      <c r="E44" s="347"/>
      <c r="F44" s="348"/>
      <c r="G44" s="349"/>
      <c r="H44" s="401"/>
    </row>
    <row r="45" spans="1:10" ht="16.5" customHeight="1">
      <c r="A45" s="322" t="s">
        <v>2454</v>
      </c>
      <c r="B45" s="496" t="s">
        <v>2466</v>
      </c>
      <c r="C45" s="341"/>
      <c r="D45" s="343">
        <v>4000</v>
      </c>
      <c r="E45" s="327" t="s">
        <v>2467</v>
      </c>
      <c r="F45" s="328"/>
      <c r="G45" s="329"/>
      <c r="H45" s="400" t="s">
        <v>2458</v>
      </c>
    </row>
    <row r="46" spans="1:10" ht="16.5" customHeight="1">
      <c r="A46" s="323"/>
      <c r="B46" s="497"/>
      <c r="C46" s="342"/>
      <c r="D46" s="344"/>
      <c r="E46" s="330"/>
      <c r="F46" s="331"/>
      <c r="G46" s="332"/>
      <c r="H46" s="401"/>
    </row>
    <row r="47" spans="1:10" ht="16.5" customHeight="1">
      <c r="A47" s="335" t="s">
        <v>2468</v>
      </c>
      <c r="B47" s="496" t="s">
        <v>2469</v>
      </c>
      <c r="C47" s="325"/>
      <c r="D47" s="326">
        <v>100000</v>
      </c>
      <c r="E47" s="327" t="s">
        <v>2474</v>
      </c>
      <c r="F47" s="328"/>
      <c r="G47" s="329"/>
      <c r="H47" s="359" t="s">
        <v>2470</v>
      </c>
    </row>
    <row r="48" spans="1:10" ht="18.75" customHeight="1">
      <c r="A48" s="336"/>
      <c r="B48" s="497"/>
      <c r="C48" s="325"/>
      <c r="D48" s="326"/>
      <c r="E48" s="330"/>
      <c r="F48" s="331"/>
      <c r="G48" s="332"/>
      <c r="H48" s="359"/>
    </row>
    <row r="49" spans="1:8" ht="16.5" customHeight="1">
      <c r="A49" s="322" t="s">
        <v>2468</v>
      </c>
      <c r="B49" s="496" t="s">
        <v>2472</v>
      </c>
      <c r="C49" s="325"/>
      <c r="D49" s="326">
        <v>17000</v>
      </c>
      <c r="E49" s="327" t="s">
        <v>2473</v>
      </c>
      <c r="F49" s="328"/>
      <c r="G49" s="329"/>
      <c r="H49" s="359" t="s">
        <v>2471</v>
      </c>
    </row>
    <row r="50" spans="1:8" ht="24.75" customHeight="1">
      <c r="A50" s="323"/>
      <c r="B50" s="497"/>
      <c r="C50" s="325"/>
      <c r="D50" s="326"/>
      <c r="E50" s="330"/>
      <c r="F50" s="331"/>
      <c r="G50" s="332"/>
      <c r="H50" s="359"/>
    </row>
    <row r="51" spans="1:8" ht="16.5" customHeight="1">
      <c r="A51" s="322" t="s">
        <v>2475</v>
      </c>
      <c r="B51" s="496" t="s">
        <v>2480</v>
      </c>
      <c r="C51" s="325" t="s">
        <v>2525</v>
      </c>
      <c r="D51" s="326">
        <v>1265000</v>
      </c>
      <c r="E51" s="327" t="s">
        <v>2479</v>
      </c>
      <c r="F51" s="328"/>
      <c r="G51" s="329"/>
      <c r="H51" s="360" t="s">
        <v>2478</v>
      </c>
    </row>
    <row r="52" spans="1:8" ht="55.5" customHeight="1">
      <c r="A52" s="323"/>
      <c r="B52" s="497"/>
      <c r="C52" s="325"/>
      <c r="D52" s="326"/>
      <c r="E52" s="330"/>
      <c r="F52" s="331"/>
      <c r="G52" s="332"/>
      <c r="H52" s="359"/>
    </row>
    <row r="53" spans="1:8" ht="16.5" customHeight="1">
      <c r="A53" s="322" t="s">
        <v>2476</v>
      </c>
      <c r="B53" s="496" t="s">
        <v>2526</v>
      </c>
      <c r="C53" s="341" t="s">
        <v>2527</v>
      </c>
      <c r="D53" s="343">
        <v>942000</v>
      </c>
      <c r="E53" s="687" t="s">
        <v>2477</v>
      </c>
      <c r="F53" s="701"/>
      <c r="G53" s="702"/>
      <c r="H53" s="360" t="s">
        <v>2486</v>
      </c>
    </row>
    <row r="54" spans="1:8" ht="16.5" customHeight="1">
      <c r="A54" s="323"/>
      <c r="B54" s="497"/>
      <c r="C54" s="352"/>
      <c r="D54" s="344"/>
      <c r="E54" s="703"/>
      <c r="F54" s="704"/>
      <c r="G54" s="705"/>
      <c r="H54" s="359"/>
    </row>
    <row r="55" spans="1:8" ht="16.5" customHeight="1">
      <c r="A55" s="322" t="s">
        <v>2481</v>
      </c>
      <c r="B55" s="496" t="s">
        <v>2484</v>
      </c>
      <c r="C55" s="324"/>
      <c r="D55" s="326">
        <v>130000</v>
      </c>
      <c r="E55" s="327" t="s">
        <v>2503</v>
      </c>
      <c r="F55" s="328"/>
      <c r="G55" s="329"/>
      <c r="H55" s="360" t="s">
        <v>2486</v>
      </c>
    </row>
    <row r="56" spans="1:8" ht="16.5" customHeight="1">
      <c r="A56" s="323"/>
      <c r="B56" s="497"/>
      <c r="C56" s="325"/>
      <c r="D56" s="326"/>
      <c r="E56" s="330"/>
      <c r="F56" s="331"/>
      <c r="G56" s="332"/>
      <c r="H56" s="359"/>
    </row>
    <row r="57" spans="1:8" ht="16.5" customHeight="1">
      <c r="A57" s="322" t="s">
        <v>2482</v>
      </c>
      <c r="B57" s="496" t="s">
        <v>2485</v>
      </c>
      <c r="C57" s="324" t="s">
        <v>2487</v>
      </c>
      <c r="D57" s="343">
        <v>235000</v>
      </c>
      <c r="E57" s="327" t="s">
        <v>2488</v>
      </c>
      <c r="F57" s="328"/>
      <c r="G57" s="329"/>
      <c r="H57" s="359" t="s">
        <v>2493</v>
      </c>
    </row>
    <row r="58" spans="1:8" ht="36.75" customHeight="1">
      <c r="A58" s="323"/>
      <c r="B58" s="497"/>
      <c r="C58" s="325"/>
      <c r="D58" s="344"/>
      <c r="E58" s="330"/>
      <c r="F58" s="331"/>
      <c r="G58" s="332"/>
      <c r="H58" s="359"/>
    </row>
    <row r="59" spans="1:8">
      <c r="A59" s="322" t="s">
        <v>2481</v>
      </c>
      <c r="B59" s="498" t="s">
        <v>2483</v>
      </c>
      <c r="C59" s="324" t="s">
        <v>2524</v>
      </c>
      <c r="D59" s="343">
        <v>100000</v>
      </c>
      <c r="E59" s="337" t="s">
        <v>2499</v>
      </c>
      <c r="F59" s="326"/>
      <c r="G59" s="326"/>
      <c r="H59" s="359" t="s">
        <v>2494</v>
      </c>
    </row>
    <row r="60" spans="1:8" ht="32.25" customHeight="1">
      <c r="A60" s="323"/>
      <c r="B60" s="499"/>
      <c r="C60" s="325"/>
      <c r="D60" s="344"/>
      <c r="E60" s="326"/>
      <c r="F60" s="326"/>
      <c r="G60" s="326"/>
      <c r="H60" s="359"/>
    </row>
    <row r="61" spans="1:8">
      <c r="A61" s="322" t="s">
        <v>2481</v>
      </c>
      <c r="B61" s="498" t="s">
        <v>2483</v>
      </c>
      <c r="C61" s="324" t="s">
        <v>2524</v>
      </c>
      <c r="D61" s="343">
        <v>200000</v>
      </c>
      <c r="E61" s="337" t="s">
        <v>2500</v>
      </c>
      <c r="F61" s="326"/>
      <c r="G61" s="326"/>
      <c r="H61" s="359" t="s">
        <v>2493</v>
      </c>
    </row>
    <row r="62" spans="1:8">
      <c r="A62" s="323"/>
      <c r="B62" s="499"/>
      <c r="C62" s="325"/>
      <c r="D62" s="344"/>
      <c r="E62" s="326"/>
      <c r="F62" s="326"/>
      <c r="G62" s="326"/>
      <c r="H62" s="359"/>
    </row>
    <row r="63" spans="1:8">
      <c r="A63" s="322" t="s">
        <v>2490</v>
      </c>
      <c r="B63" s="498" t="s">
        <v>2491</v>
      </c>
      <c r="C63" s="324"/>
      <c r="D63" s="343">
        <v>990000</v>
      </c>
      <c r="E63" s="685" t="s">
        <v>2498</v>
      </c>
      <c r="F63" s="686"/>
      <c r="G63" s="686"/>
      <c r="H63" s="359" t="s">
        <v>2493</v>
      </c>
    </row>
    <row r="64" spans="1:8">
      <c r="A64" s="323"/>
      <c r="B64" s="499"/>
      <c r="C64" s="325"/>
      <c r="D64" s="344"/>
      <c r="E64" s="686"/>
      <c r="F64" s="686"/>
      <c r="G64" s="686"/>
      <c r="H64" s="359"/>
    </row>
    <row r="65" spans="1:10" ht="16.5" customHeight="1">
      <c r="A65" s="322" t="s">
        <v>2490</v>
      </c>
      <c r="B65" s="500" t="s">
        <v>2492</v>
      </c>
      <c r="C65" s="353" t="s">
        <v>2523</v>
      </c>
      <c r="D65" s="343">
        <v>340000</v>
      </c>
      <c r="E65" s="327" t="s">
        <v>2501</v>
      </c>
      <c r="F65" s="345"/>
      <c r="G65" s="346"/>
      <c r="H65" s="359" t="s">
        <v>2493</v>
      </c>
    </row>
    <row r="66" spans="1:10">
      <c r="A66" s="323"/>
      <c r="B66" s="501"/>
      <c r="C66" s="352"/>
      <c r="D66" s="344"/>
      <c r="E66" s="347"/>
      <c r="F66" s="348"/>
      <c r="G66" s="349"/>
      <c r="H66" s="359"/>
    </row>
    <row r="67" spans="1:10">
      <c r="A67" s="322" t="s">
        <v>2496</v>
      </c>
      <c r="B67" s="500" t="s">
        <v>2495</v>
      </c>
      <c r="C67" s="341"/>
      <c r="D67" s="343">
        <v>45000</v>
      </c>
      <c r="E67" s="337" t="s">
        <v>2502</v>
      </c>
      <c r="F67" s="326"/>
      <c r="G67" s="326"/>
      <c r="H67" s="359" t="s">
        <v>2494</v>
      </c>
    </row>
    <row r="68" spans="1:10">
      <c r="A68" s="323"/>
      <c r="B68" s="501"/>
      <c r="C68" s="342"/>
      <c r="D68" s="344"/>
      <c r="E68" s="326"/>
      <c r="F68" s="326"/>
      <c r="G68" s="326"/>
      <c r="H68" s="359"/>
    </row>
    <row r="69" spans="1:10">
      <c r="A69" s="322" t="s">
        <v>2490</v>
      </c>
      <c r="B69" s="498" t="s">
        <v>2497</v>
      </c>
      <c r="C69" s="341"/>
      <c r="D69" s="343">
        <v>92000</v>
      </c>
      <c r="E69" s="327" t="s">
        <v>2504</v>
      </c>
      <c r="F69" s="328"/>
      <c r="G69" s="329"/>
      <c r="H69" s="359" t="s">
        <v>2493</v>
      </c>
    </row>
    <row r="70" spans="1:10">
      <c r="A70" s="323"/>
      <c r="B70" s="499"/>
      <c r="C70" s="342"/>
      <c r="D70" s="344"/>
      <c r="E70" s="330"/>
      <c r="F70" s="331"/>
      <c r="G70" s="332"/>
      <c r="H70" s="359"/>
    </row>
    <row r="71" spans="1:10">
      <c r="A71" s="322" t="s">
        <v>2506</v>
      </c>
      <c r="B71" s="498" t="s">
        <v>2505</v>
      </c>
      <c r="C71" s="325"/>
      <c r="D71" s="326">
        <v>46000</v>
      </c>
      <c r="E71" s="337" t="s">
        <v>2521</v>
      </c>
      <c r="F71" s="326"/>
      <c r="G71" s="326"/>
      <c r="H71" s="359" t="s">
        <v>2509</v>
      </c>
    </row>
    <row r="72" spans="1:10">
      <c r="A72" s="323"/>
      <c r="B72" s="499"/>
      <c r="C72" s="325"/>
      <c r="D72" s="326"/>
      <c r="E72" s="326"/>
      <c r="F72" s="326"/>
      <c r="G72" s="326"/>
      <c r="H72" s="359"/>
      <c r="J72" t="s">
        <v>2533</v>
      </c>
    </row>
    <row r="73" spans="1:10">
      <c r="A73" s="322" t="s">
        <v>2507</v>
      </c>
      <c r="B73" s="498" t="s">
        <v>2508</v>
      </c>
      <c r="C73" s="325" t="s">
        <v>2522</v>
      </c>
      <c r="D73" s="326">
        <v>60000</v>
      </c>
      <c r="E73" s="337" t="s">
        <v>2520</v>
      </c>
      <c r="F73" s="326"/>
      <c r="G73" s="326"/>
      <c r="H73" s="360" t="s">
        <v>2509</v>
      </c>
    </row>
    <row r="74" spans="1:10" ht="25.5" customHeight="1">
      <c r="A74" s="323"/>
      <c r="B74" s="499"/>
      <c r="C74" s="325"/>
      <c r="D74" s="326"/>
      <c r="E74" s="326"/>
      <c r="F74" s="326"/>
      <c r="G74" s="326"/>
      <c r="H74" s="359"/>
    </row>
    <row r="75" spans="1:10">
      <c r="A75" s="322"/>
      <c r="B75" s="523" t="s">
        <v>2561</v>
      </c>
      <c r="C75" s="524"/>
      <c r="D75" s="524"/>
      <c r="E75" s="524"/>
      <c r="F75" s="524"/>
      <c r="G75" s="524"/>
      <c r="H75" s="525"/>
    </row>
    <row r="76" spans="1:10" ht="43.5" customHeight="1">
      <c r="A76" s="323"/>
      <c r="B76" s="526"/>
      <c r="C76" s="527"/>
      <c r="D76" s="527"/>
      <c r="E76" s="527"/>
      <c r="F76" s="527"/>
      <c r="G76" s="527"/>
      <c r="H76" s="528"/>
    </row>
    <row r="77" spans="1:10">
      <c r="A77" s="322" t="s">
        <v>2511</v>
      </c>
      <c r="B77" s="498" t="s">
        <v>2514</v>
      </c>
      <c r="C77" s="324" t="s">
        <v>2517</v>
      </c>
      <c r="D77" s="326">
        <v>580000</v>
      </c>
      <c r="E77" s="685" t="s">
        <v>2519</v>
      </c>
      <c r="F77" s="686"/>
      <c r="G77" s="686"/>
      <c r="H77" s="359" t="s">
        <v>2513</v>
      </c>
    </row>
    <row r="78" spans="1:10" ht="15.75" customHeight="1">
      <c r="A78" s="323"/>
      <c r="B78" s="499"/>
      <c r="C78" s="325"/>
      <c r="D78" s="326"/>
      <c r="E78" s="686"/>
      <c r="F78" s="686"/>
      <c r="G78" s="686"/>
      <c r="H78" s="359"/>
    </row>
    <row r="79" spans="1:10" ht="80.25" customHeight="1">
      <c r="A79" s="54" t="s">
        <v>2512</v>
      </c>
      <c r="B79" s="64" t="s">
        <v>2515</v>
      </c>
      <c r="C79" s="62" t="s">
        <v>2518</v>
      </c>
      <c r="D79" s="63">
        <v>930000</v>
      </c>
      <c r="E79" s="650" t="s">
        <v>2789</v>
      </c>
      <c r="F79" s="628"/>
      <c r="G79" s="629"/>
      <c r="H79" s="65" t="s">
        <v>2516</v>
      </c>
    </row>
    <row r="80" spans="1:10">
      <c r="A80" s="322" t="s">
        <v>2528</v>
      </c>
      <c r="B80" s="324" t="s">
        <v>2529</v>
      </c>
      <c r="C80" s="325"/>
      <c r="D80" s="326">
        <v>865000</v>
      </c>
      <c r="E80" s="685" t="s">
        <v>2584</v>
      </c>
      <c r="F80" s="686"/>
      <c r="G80" s="686"/>
      <c r="H80" s="359" t="s">
        <v>2530</v>
      </c>
    </row>
    <row r="81" spans="1:8">
      <c r="A81" s="323"/>
      <c r="B81" s="325"/>
      <c r="C81" s="325"/>
      <c r="D81" s="326"/>
      <c r="E81" s="686"/>
      <c r="F81" s="686"/>
      <c r="G81" s="686"/>
      <c r="H81" s="359"/>
    </row>
    <row r="82" spans="1:8" ht="16.5" customHeight="1">
      <c r="A82" s="322" t="s">
        <v>2532</v>
      </c>
      <c r="B82" s="324" t="s">
        <v>2531</v>
      </c>
      <c r="C82" s="324"/>
      <c r="D82" s="326">
        <v>100000</v>
      </c>
      <c r="E82" s="337"/>
      <c r="F82" s="326"/>
      <c r="G82" s="326"/>
      <c r="H82" s="360" t="s">
        <v>2530</v>
      </c>
    </row>
    <row r="83" spans="1:8">
      <c r="A83" s="323"/>
      <c r="B83" s="325"/>
      <c r="C83" s="325"/>
      <c r="D83" s="326"/>
      <c r="E83" s="326"/>
      <c r="F83" s="326"/>
      <c r="G83" s="326"/>
      <c r="H83" s="359"/>
    </row>
    <row r="84" spans="1:8">
      <c r="A84" s="322" t="s">
        <v>2534</v>
      </c>
      <c r="B84" s="324" t="s">
        <v>2535</v>
      </c>
      <c r="C84" s="325"/>
      <c r="D84" s="326">
        <v>20000</v>
      </c>
      <c r="E84" s="337" t="s">
        <v>2536</v>
      </c>
      <c r="F84" s="326"/>
      <c r="G84" s="326"/>
      <c r="H84" s="359" t="s">
        <v>145</v>
      </c>
    </row>
    <row r="85" spans="1:8">
      <c r="A85" s="323"/>
      <c r="B85" s="325"/>
      <c r="C85" s="325"/>
      <c r="D85" s="326"/>
      <c r="E85" s="326"/>
      <c r="F85" s="326"/>
      <c r="G85" s="326"/>
      <c r="H85" s="359"/>
    </row>
    <row r="86" spans="1:8">
      <c r="A86" s="322" t="s">
        <v>2538</v>
      </c>
      <c r="B86" s="324" t="s">
        <v>2537</v>
      </c>
      <c r="C86" s="324"/>
      <c r="D86" s="326">
        <v>63000</v>
      </c>
      <c r="E86" s="337"/>
      <c r="F86" s="326"/>
      <c r="G86" s="326"/>
      <c r="H86" s="360" t="s">
        <v>2540</v>
      </c>
    </row>
    <row r="87" spans="1:8">
      <c r="A87" s="323"/>
      <c r="B87" s="325"/>
      <c r="C87" s="325"/>
      <c r="D87" s="326"/>
      <c r="E87" s="326"/>
      <c r="F87" s="326"/>
      <c r="G87" s="326"/>
      <c r="H87" s="359"/>
    </row>
    <row r="88" spans="1:8">
      <c r="A88" s="322" t="s">
        <v>2538</v>
      </c>
      <c r="B88" s="324" t="s">
        <v>2539</v>
      </c>
      <c r="C88" s="325"/>
      <c r="D88" s="326">
        <v>160000</v>
      </c>
      <c r="E88" s="337" t="s">
        <v>2553</v>
      </c>
      <c r="F88" s="326"/>
      <c r="G88" s="326"/>
      <c r="H88" s="359" t="s">
        <v>145</v>
      </c>
    </row>
    <row r="89" spans="1:8">
      <c r="A89" s="323"/>
      <c r="B89" s="325"/>
      <c r="C89" s="325"/>
      <c r="D89" s="326"/>
      <c r="E89" s="326"/>
      <c r="F89" s="326"/>
      <c r="G89" s="326"/>
      <c r="H89" s="359"/>
    </row>
    <row r="90" spans="1:8">
      <c r="A90" s="323" t="s">
        <v>2541</v>
      </c>
      <c r="B90" s="324" t="s">
        <v>2542</v>
      </c>
      <c r="C90" s="325"/>
      <c r="D90" s="326">
        <v>350000</v>
      </c>
      <c r="E90" s="337" t="s">
        <v>2552</v>
      </c>
      <c r="F90" s="326"/>
      <c r="G90" s="326"/>
      <c r="H90" s="359" t="s">
        <v>2543</v>
      </c>
    </row>
    <row r="91" spans="1:8">
      <c r="A91" s="323"/>
      <c r="B91" s="325"/>
      <c r="C91" s="325"/>
      <c r="D91" s="326"/>
      <c r="E91" s="326"/>
      <c r="F91" s="326"/>
      <c r="G91" s="326"/>
      <c r="H91" s="359"/>
    </row>
    <row r="92" spans="1:8" ht="16.5" customHeight="1">
      <c r="A92" s="322" t="s">
        <v>2545</v>
      </c>
      <c r="B92" s="324" t="s">
        <v>2546</v>
      </c>
      <c r="C92" s="325"/>
      <c r="D92" s="326">
        <v>11000</v>
      </c>
      <c r="E92" s="337" t="s">
        <v>2551</v>
      </c>
      <c r="F92" s="326"/>
      <c r="G92" s="326"/>
      <c r="H92" s="359" t="s">
        <v>2544</v>
      </c>
    </row>
    <row r="93" spans="1:8">
      <c r="A93" s="323"/>
      <c r="B93" s="325"/>
      <c r="C93" s="325"/>
      <c r="D93" s="326"/>
      <c r="E93" s="326"/>
      <c r="F93" s="326"/>
      <c r="G93" s="326"/>
      <c r="H93" s="359"/>
    </row>
    <row r="94" spans="1:8">
      <c r="A94" s="322" t="s">
        <v>2548</v>
      </c>
      <c r="B94" s="324" t="s">
        <v>2549</v>
      </c>
      <c r="C94" s="325"/>
      <c r="D94" s="326">
        <v>80000</v>
      </c>
      <c r="E94" s="337" t="s">
        <v>2550</v>
      </c>
      <c r="F94" s="326"/>
      <c r="G94" s="326"/>
      <c r="H94" s="359" t="s">
        <v>2547</v>
      </c>
    </row>
    <row r="95" spans="1:8">
      <c r="A95" s="323"/>
      <c r="B95" s="325"/>
      <c r="C95" s="325"/>
      <c r="D95" s="326"/>
      <c r="E95" s="326"/>
      <c r="F95" s="326"/>
      <c r="G95" s="326"/>
      <c r="H95" s="359"/>
    </row>
    <row r="96" spans="1:8">
      <c r="A96" s="322" t="s">
        <v>2562</v>
      </c>
      <c r="B96" s="325" t="s">
        <v>2555</v>
      </c>
      <c r="C96" s="325"/>
      <c r="D96" s="326">
        <v>1630000</v>
      </c>
      <c r="E96" s="685" t="s">
        <v>2554</v>
      </c>
      <c r="F96" s="686"/>
      <c r="G96" s="686"/>
      <c r="H96" s="359" t="s">
        <v>2556</v>
      </c>
    </row>
    <row r="97" spans="1:8">
      <c r="A97" s="323"/>
      <c r="B97" s="325"/>
      <c r="C97" s="325"/>
      <c r="D97" s="326"/>
      <c r="E97" s="686"/>
      <c r="F97" s="686"/>
      <c r="G97" s="686"/>
      <c r="H97" s="359"/>
    </row>
    <row r="98" spans="1:8">
      <c r="A98" s="322" t="s">
        <v>2563</v>
      </c>
      <c r="B98" s="325" t="s">
        <v>2559</v>
      </c>
      <c r="C98" s="325"/>
      <c r="D98" s="326">
        <v>750000</v>
      </c>
      <c r="E98" s="337" t="s">
        <v>2557</v>
      </c>
      <c r="F98" s="326"/>
      <c r="G98" s="326"/>
      <c r="H98" s="359" t="s">
        <v>2558</v>
      </c>
    </row>
    <row r="99" spans="1:8">
      <c r="A99" s="323"/>
      <c r="B99" s="325"/>
      <c r="C99" s="325"/>
      <c r="D99" s="326"/>
      <c r="E99" s="326"/>
      <c r="F99" s="326"/>
      <c r="G99" s="326"/>
      <c r="H99" s="359"/>
    </row>
    <row r="100" spans="1:8">
      <c r="A100" s="322" t="s">
        <v>2564</v>
      </c>
      <c r="B100" s="324" t="s">
        <v>2565</v>
      </c>
      <c r="C100" s="325"/>
      <c r="D100" s="326">
        <v>345000</v>
      </c>
      <c r="E100" s="337" t="s">
        <v>2560</v>
      </c>
      <c r="F100" s="326"/>
      <c r="G100" s="326"/>
      <c r="H100" s="359" t="s">
        <v>146</v>
      </c>
    </row>
    <row r="101" spans="1:8" ht="25.5" customHeight="1">
      <c r="A101" s="323"/>
      <c r="B101" s="325"/>
      <c r="C101" s="325"/>
      <c r="D101" s="326"/>
      <c r="E101" s="326"/>
      <c r="F101" s="326"/>
      <c r="G101" s="326"/>
      <c r="H101" s="359"/>
    </row>
    <row r="102" spans="1:8">
      <c r="A102" s="322"/>
      <c r="B102" s="695" t="s">
        <v>2638</v>
      </c>
      <c r="C102" s="696"/>
      <c r="D102" s="696"/>
      <c r="E102" s="696"/>
      <c r="F102" s="696"/>
      <c r="G102" s="696"/>
      <c r="H102" s="697"/>
    </row>
    <row r="103" spans="1:8" s="30" customFormat="1" ht="48.75" customHeight="1">
      <c r="A103" s="323"/>
      <c r="B103" s="698"/>
      <c r="C103" s="699"/>
      <c r="D103" s="699"/>
      <c r="E103" s="699"/>
      <c r="F103" s="699"/>
      <c r="G103" s="699"/>
      <c r="H103" s="700"/>
    </row>
    <row r="104" spans="1:8">
      <c r="A104" s="322" t="s">
        <v>2566</v>
      </c>
      <c r="B104" s="325" t="s">
        <v>2572</v>
      </c>
      <c r="C104" s="325"/>
      <c r="D104" s="326">
        <v>230000</v>
      </c>
      <c r="E104" s="337" t="s">
        <v>2573</v>
      </c>
      <c r="F104" s="326"/>
      <c r="G104" s="326"/>
      <c r="H104" s="359" t="s">
        <v>2568</v>
      </c>
    </row>
    <row r="105" spans="1:8" ht="30.75" customHeight="1">
      <c r="A105" s="323"/>
      <c r="B105" s="325"/>
      <c r="C105" s="325"/>
      <c r="D105" s="326"/>
      <c r="E105" s="326"/>
      <c r="F105" s="326"/>
      <c r="G105" s="326"/>
      <c r="H105" s="359"/>
    </row>
    <row r="106" spans="1:8">
      <c r="A106" s="322" t="s">
        <v>2567</v>
      </c>
      <c r="B106" s="324" t="s">
        <v>2570</v>
      </c>
      <c r="C106" s="325"/>
      <c r="D106" s="326">
        <v>650000</v>
      </c>
      <c r="E106" s="685" t="s">
        <v>2571</v>
      </c>
      <c r="F106" s="686"/>
      <c r="G106" s="686"/>
      <c r="H106" s="359" t="s">
        <v>2569</v>
      </c>
    </row>
    <row r="107" spans="1:8">
      <c r="A107" s="323"/>
      <c r="B107" s="325"/>
      <c r="C107" s="325"/>
      <c r="D107" s="326"/>
      <c r="E107" s="686"/>
      <c r="F107" s="686"/>
      <c r="G107" s="686"/>
      <c r="H107" s="359"/>
    </row>
    <row r="108" spans="1:8">
      <c r="A108" s="323" t="s">
        <v>86</v>
      </c>
      <c r="B108" s="324" t="s">
        <v>2559</v>
      </c>
      <c r="C108" s="325"/>
      <c r="D108" s="326">
        <v>680000</v>
      </c>
      <c r="E108" s="685" t="s">
        <v>2574</v>
      </c>
      <c r="F108" s="686"/>
      <c r="G108" s="686"/>
      <c r="H108" s="359" t="s">
        <v>2582</v>
      </c>
    </row>
    <row r="109" spans="1:8" s="30" customFormat="1">
      <c r="A109" s="323"/>
      <c r="B109" s="325"/>
      <c r="C109" s="325"/>
      <c r="D109" s="326"/>
      <c r="E109" s="686"/>
      <c r="F109" s="686"/>
      <c r="G109" s="686"/>
      <c r="H109" s="359"/>
    </row>
    <row r="110" spans="1:8">
      <c r="A110" s="323" t="s">
        <v>2575</v>
      </c>
      <c r="B110" s="324" t="s">
        <v>2576</v>
      </c>
      <c r="C110" s="325"/>
      <c r="D110" s="326">
        <v>1170000</v>
      </c>
      <c r="E110" s="337" t="s">
        <v>2577</v>
      </c>
      <c r="F110" s="326"/>
      <c r="G110" s="326"/>
      <c r="H110" s="400" t="s">
        <v>2594</v>
      </c>
    </row>
    <row r="111" spans="1:8">
      <c r="A111" s="323"/>
      <c r="B111" s="325"/>
      <c r="C111" s="325"/>
      <c r="D111" s="326"/>
      <c r="E111" s="326"/>
      <c r="F111" s="326"/>
      <c r="G111" s="326"/>
      <c r="H111" s="401"/>
    </row>
    <row r="112" spans="1:8">
      <c r="A112" s="322" t="s">
        <v>2575</v>
      </c>
      <c r="B112" s="324" t="s">
        <v>2578</v>
      </c>
      <c r="C112" s="325"/>
      <c r="D112" s="326">
        <v>350000</v>
      </c>
      <c r="E112" s="337" t="s">
        <v>2579</v>
      </c>
      <c r="F112" s="326"/>
      <c r="G112" s="326"/>
      <c r="H112" s="359" t="s">
        <v>2582</v>
      </c>
    </row>
    <row r="113" spans="1:8" ht="27.75" customHeight="1">
      <c r="A113" s="323"/>
      <c r="B113" s="325"/>
      <c r="C113" s="325"/>
      <c r="D113" s="326"/>
      <c r="E113" s="326"/>
      <c r="F113" s="326"/>
      <c r="G113" s="326"/>
      <c r="H113" s="359"/>
    </row>
    <row r="114" spans="1:8">
      <c r="A114" s="322" t="s">
        <v>2580</v>
      </c>
      <c r="B114" s="324" t="s">
        <v>2581</v>
      </c>
      <c r="C114" s="325"/>
      <c r="D114" s="326">
        <v>590000</v>
      </c>
      <c r="E114" s="326" t="s">
        <v>2583</v>
      </c>
      <c r="F114" s="326"/>
      <c r="G114" s="326"/>
      <c r="H114" s="359" t="s">
        <v>2582</v>
      </c>
    </row>
    <row r="115" spans="1:8">
      <c r="A115" s="323"/>
      <c r="B115" s="325"/>
      <c r="C115" s="325"/>
      <c r="D115" s="326"/>
      <c r="E115" s="326"/>
      <c r="F115" s="326"/>
      <c r="G115" s="326"/>
      <c r="H115" s="359"/>
    </row>
    <row r="116" spans="1:8">
      <c r="A116" s="322" t="s">
        <v>2585</v>
      </c>
      <c r="B116" s="324" t="s">
        <v>2586</v>
      </c>
      <c r="C116" s="325"/>
      <c r="D116" s="326">
        <v>400000</v>
      </c>
      <c r="E116" s="337" t="s">
        <v>2590</v>
      </c>
      <c r="F116" s="326"/>
      <c r="G116" s="326"/>
      <c r="H116" s="360" t="s">
        <v>2587</v>
      </c>
    </row>
    <row r="117" spans="1:8" s="30" customFormat="1">
      <c r="A117" s="323"/>
      <c r="B117" s="325"/>
      <c r="C117" s="325"/>
      <c r="D117" s="326"/>
      <c r="E117" s="326"/>
      <c r="F117" s="326"/>
      <c r="G117" s="326"/>
      <c r="H117" s="359"/>
    </row>
    <row r="118" spans="1:8">
      <c r="A118" s="323" t="s">
        <v>2588</v>
      </c>
      <c r="B118" s="325" t="s">
        <v>2592</v>
      </c>
      <c r="C118" s="325"/>
      <c r="D118" s="326">
        <v>300000</v>
      </c>
      <c r="E118" s="337" t="s">
        <v>2589</v>
      </c>
      <c r="F118" s="326"/>
      <c r="G118" s="326"/>
      <c r="H118" s="360" t="s">
        <v>2593</v>
      </c>
    </row>
    <row r="119" spans="1:8">
      <c r="A119" s="323"/>
      <c r="B119" s="325"/>
      <c r="C119" s="325"/>
      <c r="D119" s="326"/>
      <c r="E119" s="326"/>
      <c r="F119" s="326"/>
      <c r="G119" s="326"/>
      <c r="H119" s="359"/>
    </row>
    <row r="120" spans="1:8">
      <c r="A120" s="322" t="s">
        <v>2591</v>
      </c>
      <c r="B120" s="324" t="s">
        <v>2606</v>
      </c>
      <c r="C120" s="325"/>
      <c r="D120" s="326">
        <v>536000</v>
      </c>
      <c r="E120" s="337" t="s">
        <v>2607</v>
      </c>
      <c r="F120" s="326"/>
      <c r="G120" s="326"/>
      <c r="H120" s="360" t="s">
        <v>2600</v>
      </c>
    </row>
    <row r="121" spans="1:8">
      <c r="A121" s="323"/>
      <c r="B121" s="325"/>
      <c r="C121" s="325"/>
      <c r="D121" s="326"/>
      <c r="E121" s="326"/>
      <c r="F121" s="326"/>
      <c r="G121" s="326"/>
      <c r="H121" s="359"/>
    </row>
    <row r="122" spans="1:8">
      <c r="A122" s="322" t="s">
        <v>2595</v>
      </c>
      <c r="B122" s="324" t="s">
        <v>2596</v>
      </c>
      <c r="C122" s="325"/>
      <c r="D122" s="326">
        <v>110000</v>
      </c>
      <c r="E122" s="337" t="s">
        <v>2605</v>
      </c>
      <c r="F122" s="326"/>
      <c r="G122" s="326"/>
      <c r="H122" s="360" t="s">
        <v>2600</v>
      </c>
    </row>
    <row r="123" spans="1:8" s="30" customFormat="1">
      <c r="A123" s="323"/>
      <c r="B123" s="325"/>
      <c r="C123" s="325"/>
      <c r="D123" s="326"/>
      <c r="E123" s="326"/>
      <c r="F123" s="326"/>
      <c r="G123" s="326"/>
      <c r="H123" s="359"/>
    </row>
    <row r="124" spans="1:8">
      <c r="A124" s="323" t="s">
        <v>2595</v>
      </c>
      <c r="B124" s="324" t="s">
        <v>2597</v>
      </c>
      <c r="C124" s="325"/>
      <c r="D124" s="326">
        <v>88000</v>
      </c>
      <c r="E124" s="337" t="s">
        <v>2604</v>
      </c>
      <c r="F124" s="326"/>
      <c r="G124" s="326"/>
      <c r="H124" s="360" t="s">
        <v>2598</v>
      </c>
    </row>
    <row r="125" spans="1:8">
      <c r="A125" s="323"/>
      <c r="B125" s="325"/>
      <c r="C125" s="325"/>
      <c r="D125" s="326"/>
      <c r="E125" s="326"/>
      <c r="F125" s="326"/>
      <c r="G125" s="326"/>
      <c r="H125" s="359"/>
    </row>
    <row r="126" spans="1:8">
      <c r="A126" s="323" t="s">
        <v>2599</v>
      </c>
      <c r="B126" s="325" t="s">
        <v>2601</v>
      </c>
      <c r="C126" s="325"/>
      <c r="D126" s="326">
        <v>190000</v>
      </c>
      <c r="E126" s="686" t="s">
        <v>2603</v>
      </c>
      <c r="F126" s="686"/>
      <c r="G126" s="686"/>
      <c r="H126" s="360" t="s">
        <v>2600</v>
      </c>
    </row>
    <row r="127" spans="1:8">
      <c r="A127" s="323"/>
      <c r="B127" s="325"/>
      <c r="C127" s="325"/>
      <c r="D127" s="326"/>
      <c r="E127" s="686"/>
      <c r="F127" s="686"/>
      <c r="G127" s="686"/>
      <c r="H127" s="359"/>
    </row>
    <row r="128" spans="1:8">
      <c r="A128" s="322" t="s">
        <v>2602</v>
      </c>
      <c r="B128" s="325" t="s">
        <v>2609</v>
      </c>
      <c r="C128" s="325"/>
      <c r="D128" s="326">
        <v>800000</v>
      </c>
      <c r="E128" s="337"/>
      <c r="F128" s="326"/>
      <c r="G128" s="326"/>
      <c r="H128" s="360" t="s">
        <v>2614</v>
      </c>
    </row>
    <row r="129" spans="1:8" s="30" customFormat="1">
      <c r="A129" s="323"/>
      <c r="B129" s="325"/>
      <c r="C129" s="325"/>
      <c r="D129" s="326"/>
      <c r="E129" s="326"/>
      <c r="F129" s="326"/>
      <c r="G129" s="326"/>
      <c r="H129" s="359"/>
    </row>
    <row r="130" spans="1:8">
      <c r="A130" s="322" t="s">
        <v>2608</v>
      </c>
      <c r="B130" s="325" t="s">
        <v>2610</v>
      </c>
      <c r="C130" s="325"/>
      <c r="D130" s="326">
        <v>115000</v>
      </c>
      <c r="E130" s="337"/>
      <c r="F130" s="326"/>
      <c r="G130" s="326"/>
      <c r="H130" s="360" t="s">
        <v>145</v>
      </c>
    </row>
    <row r="131" spans="1:8">
      <c r="A131" s="323"/>
      <c r="B131" s="325"/>
      <c r="C131" s="325"/>
      <c r="D131" s="326"/>
      <c r="E131" s="326"/>
      <c r="F131" s="326"/>
      <c r="G131" s="326"/>
      <c r="H131" s="359"/>
    </row>
    <row r="132" spans="1:8">
      <c r="A132" s="323" t="s">
        <v>2611</v>
      </c>
      <c r="B132" s="324" t="s">
        <v>2612</v>
      </c>
      <c r="C132" s="325"/>
      <c r="D132" s="326">
        <v>65000</v>
      </c>
      <c r="E132" s="337" t="s">
        <v>2613</v>
      </c>
      <c r="F132" s="326"/>
      <c r="G132" s="326"/>
      <c r="H132" s="360" t="s">
        <v>3155</v>
      </c>
    </row>
    <row r="133" spans="1:8">
      <c r="A133" s="323"/>
      <c r="B133" s="325"/>
      <c r="C133" s="325"/>
      <c r="D133" s="326"/>
      <c r="E133" s="326"/>
      <c r="F133" s="326"/>
      <c r="G133" s="326"/>
      <c r="H133" s="359"/>
    </row>
    <row r="134" spans="1:8" ht="16.5" customHeight="1">
      <c r="A134" s="322" t="s">
        <v>2615</v>
      </c>
      <c r="B134" s="324" t="s">
        <v>2616</v>
      </c>
      <c r="C134" s="324"/>
      <c r="D134" s="326">
        <v>140000</v>
      </c>
      <c r="E134" s="327" t="s">
        <v>2617</v>
      </c>
      <c r="F134" s="328"/>
      <c r="G134" s="329"/>
      <c r="H134" s="360" t="s">
        <v>2618</v>
      </c>
    </row>
    <row r="135" spans="1:8" ht="16.5" customHeight="1">
      <c r="A135" s="323"/>
      <c r="B135" s="325"/>
      <c r="C135" s="325"/>
      <c r="D135" s="326"/>
      <c r="E135" s="330"/>
      <c r="F135" s="331"/>
      <c r="G135" s="332"/>
      <c r="H135" s="359"/>
    </row>
    <row r="136" spans="1:8" ht="16.5" customHeight="1">
      <c r="A136" s="322" t="s">
        <v>2619</v>
      </c>
      <c r="B136" s="324" t="s">
        <v>2620</v>
      </c>
      <c r="C136" s="325"/>
      <c r="D136" s="326">
        <v>330000</v>
      </c>
      <c r="E136" s="326"/>
      <c r="F136" s="326"/>
      <c r="G136" s="326"/>
      <c r="H136" s="360" t="s">
        <v>2621</v>
      </c>
    </row>
    <row r="137" spans="1:8" ht="16.5" customHeight="1">
      <c r="A137" s="323"/>
      <c r="B137" s="325"/>
      <c r="C137" s="325"/>
      <c r="D137" s="326"/>
      <c r="E137" s="326"/>
      <c r="F137" s="326"/>
      <c r="G137" s="326"/>
      <c r="H137" s="359"/>
    </row>
    <row r="138" spans="1:8" ht="16.5" customHeight="1">
      <c r="A138" s="336"/>
      <c r="B138" s="644" t="s">
        <v>2692</v>
      </c>
      <c r="C138" s="645"/>
      <c r="D138" s="645"/>
      <c r="E138" s="645"/>
      <c r="F138" s="645"/>
      <c r="G138" s="693"/>
      <c r="H138" s="400"/>
    </row>
    <row r="139" spans="1:8" ht="16.5" customHeight="1">
      <c r="A139" s="323"/>
      <c r="B139" s="647"/>
      <c r="C139" s="648"/>
      <c r="D139" s="648"/>
      <c r="E139" s="648"/>
      <c r="F139" s="648"/>
      <c r="G139" s="694"/>
      <c r="H139" s="401"/>
    </row>
    <row r="140" spans="1:8" ht="16.5" customHeight="1">
      <c r="A140" s="322" t="s">
        <v>2637</v>
      </c>
      <c r="B140" s="324" t="s">
        <v>2660</v>
      </c>
      <c r="C140" s="325"/>
      <c r="D140" s="326">
        <v>90000</v>
      </c>
      <c r="E140" s="337" t="s">
        <v>2661</v>
      </c>
      <c r="F140" s="326"/>
      <c r="G140" s="326"/>
      <c r="H140" s="400" t="s">
        <v>145</v>
      </c>
    </row>
    <row r="141" spans="1:8" ht="16.5" customHeight="1">
      <c r="A141" s="323"/>
      <c r="B141" s="325"/>
      <c r="C141" s="325"/>
      <c r="D141" s="326"/>
      <c r="E141" s="326"/>
      <c r="F141" s="326"/>
      <c r="G141" s="326"/>
      <c r="H141" s="401"/>
    </row>
    <row r="142" spans="1:8" ht="16.5" customHeight="1">
      <c r="A142" s="336" t="s">
        <v>2622</v>
      </c>
      <c r="B142" s="324" t="s">
        <v>41</v>
      </c>
      <c r="C142" s="324"/>
      <c r="D142" s="326">
        <v>400000</v>
      </c>
      <c r="E142" s="327"/>
      <c r="F142" s="328"/>
      <c r="G142" s="329"/>
      <c r="H142" s="400" t="s">
        <v>145</v>
      </c>
    </row>
    <row r="143" spans="1:8" ht="16.5" customHeight="1">
      <c r="A143" s="323"/>
      <c r="B143" s="325"/>
      <c r="C143" s="325"/>
      <c r="D143" s="326"/>
      <c r="E143" s="330"/>
      <c r="F143" s="331"/>
      <c r="G143" s="332"/>
      <c r="H143" s="401"/>
    </row>
    <row r="144" spans="1:8" ht="16.5" customHeight="1">
      <c r="A144" s="322" t="s">
        <v>2639</v>
      </c>
      <c r="B144" s="324" t="s">
        <v>2649</v>
      </c>
      <c r="C144" s="325" t="s">
        <v>2653</v>
      </c>
      <c r="D144" s="326">
        <v>630000</v>
      </c>
      <c r="E144" s="687" t="s">
        <v>2642</v>
      </c>
      <c r="F144" s="688"/>
      <c r="G144" s="689"/>
      <c r="H144" s="400" t="s">
        <v>145</v>
      </c>
    </row>
    <row r="145" spans="1:8" ht="16.5" customHeight="1">
      <c r="A145" s="323"/>
      <c r="B145" s="325"/>
      <c r="C145" s="325"/>
      <c r="D145" s="326"/>
      <c r="E145" s="690"/>
      <c r="F145" s="691"/>
      <c r="G145" s="692"/>
      <c r="H145" s="401"/>
    </row>
    <row r="146" spans="1:8" ht="16.5" customHeight="1">
      <c r="A146" s="322" t="s">
        <v>2639</v>
      </c>
      <c r="B146" s="324" t="s">
        <v>2650</v>
      </c>
      <c r="C146" s="324" t="s">
        <v>2656</v>
      </c>
      <c r="D146" s="326">
        <v>600000</v>
      </c>
      <c r="E146" s="687" t="s">
        <v>2641</v>
      </c>
      <c r="F146" s="688"/>
      <c r="G146" s="689"/>
      <c r="H146" s="400" t="s">
        <v>145</v>
      </c>
    </row>
    <row r="147" spans="1:8" ht="16.5" customHeight="1">
      <c r="A147" s="323"/>
      <c r="B147" s="325"/>
      <c r="C147" s="325"/>
      <c r="D147" s="326"/>
      <c r="E147" s="690"/>
      <c r="F147" s="691"/>
      <c r="G147" s="692"/>
      <c r="H147" s="401"/>
    </row>
    <row r="148" spans="1:8" ht="16.5" customHeight="1">
      <c r="A148" s="322" t="s">
        <v>2640</v>
      </c>
      <c r="B148" s="324" t="s">
        <v>2648</v>
      </c>
      <c r="C148" s="325" t="s">
        <v>2655</v>
      </c>
      <c r="D148" s="326">
        <v>410000</v>
      </c>
      <c r="E148" s="327" t="s">
        <v>2647</v>
      </c>
      <c r="F148" s="328"/>
      <c r="G148" s="329"/>
      <c r="H148" s="359" t="s">
        <v>2646</v>
      </c>
    </row>
    <row r="149" spans="1:8" ht="16.5" customHeight="1">
      <c r="A149" s="323"/>
      <c r="B149" s="325"/>
      <c r="C149" s="325"/>
      <c r="D149" s="326"/>
      <c r="E149" s="330"/>
      <c r="F149" s="331"/>
      <c r="G149" s="332"/>
      <c r="H149" s="359"/>
    </row>
    <row r="150" spans="1:8" ht="16.5" customHeight="1">
      <c r="A150" s="322" t="s">
        <v>2640</v>
      </c>
      <c r="B150" s="324" t="s">
        <v>2643</v>
      </c>
      <c r="C150" s="325" t="s">
        <v>2654</v>
      </c>
      <c r="D150" s="326">
        <v>230000</v>
      </c>
      <c r="E150" s="327" t="s">
        <v>2644</v>
      </c>
      <c r="F150" s="328"/>
      <c r="G150" s="329"/>
      <c r="H150" s="359" t="s">
        <v>2645</v>
      </c>
    </row>
    <row r="151" spans="1:8" ht="17.25" customHeight="1">
      <c r="A151" s="323"/>
      <c r="B151" s="325"/>
      <c r="C151" s="325"/>
      <c r="D151" s="326"/>
      <c r="E151" s="330"/>
      <c r="F151" s="331"/>
      <c r="G151" s="332"/>
      <c r="H151" s="359"/>
    </row>
    <row r="152" spans="1:8" ht="16.5" customHeight="1">
      <c r="A152" s="322" t="s">
        <v>2651</v>
      </c>
      <c r="B152" s="324" t="s">
        <v>2658</v>
      </c>
      <c r="C152" s="325" t="s">
        <v>2656</v>
      </c>
      <c r="D152" s="326">
        <v>90000</v>
      </c>
      <c r="E152" s="327" t="s">
        <v>2659</v>
      </c>
      <c r="F152" s="328"/>
      <c r="G152" s="329"/>
      <c r="H152" s="359" t="s">
        <v>1806</v>
      </c>
    </row>
    <row r="153" spans="1:8" ht="16.5" customHeight="1">
      <c r="A153" s="323"/>
      <c r="B153" s="325"/>
      <c r="C153" s="325"/>
      <c r="D153" s="326"/>
      <c r="E153" s="330"/>
      <c r="F153" s="331"/>
      <c r="G153" s="332"/>
      <c r="H153" s="359"/>
    </row>
    <row r="154" spans="1:8" ht="16.5" customHeight="1">
      <c r="A154" s="322" t="s">
        <v>2657</v>
      </c>
      <c r="B154" s="324" t="s">
        <v>2652</v>
      </c>
      <c r="C154" s="324"/>
      <c r="D154" s="326">
        <v>220000</v>
      </c>
      <c r="E154" s="327"/>
      <c r="F154" s="328"/>
      <c r="G154" s="329"/>
      <c r="H154" s="359" t="s">
        <v>1806</v>
      </c>
    </row>
    <row r="155" spans="1:8" ht="16.5" customHeight="1">
      <c r="A155" s="323"/>
      <c r="B155" s="325"/>
      <c r="C155" s="325"/>
      <c r="D155" s="326"/>
      <c r="E155" s="330"/>
      <c r="F155" s="331"/>
      <c r="G155" s="332"/>
      <c r="H155" s="359"/>
    </row>
    <row r="156" spans="1:8" ht="16.5" customHeight="1">
      <c r="A156" s="322" t="s">
        <v>2662</v>
      </c>
      <c r="B156" s="324" t="s">
        <v>2667</v>
      </c>
      <c r="C156" s="324"/>
      <c r="D156" s="326">
        <v>470000</v>
      </c>
      <c r="E156" s="327" t="s">
        <v>2668</v>
      </c>
      <c r="F156" s="328"/>
      <c r="G156" s="329"/>
      <c r="H156" s="359" t="s">
        <v>1806</v>
      </c>
    </row>
    <row r="157" spans="1:8" ht="16.5" customHeight="1">
      <c r="A157" s="323"/>
      <c r="B157" s="325"/>
      <c r="C157" s="325"/>
      <c r="D157" s="326"/>
      <c r="E157" s="330"/>
      <c r="F157" s="331"/>
      <c r="G157" s="332"/>
      <c r="H157" s="359"/>
    </row>
    <row r="158" spans="1:8" ht="16.5" customHeight="1">
      <c r="A158" s="322" t="s">
        <v>2663</v>
      </c>
      <c r="B158" s="324" t="s">
        <v>2664</v>
      </c>
      <c r="C158" s="325"/>
      <c r="D158" s="326">
        <v>740000</v>
      </c>
      <c r="E158" s="685" t="s">
        <v>2665</v>
      </c>
      <c r="F158" s="686"/>
      <c r="G158" s="686"/>
      <c r="H158" s="359" t="s">
        <v>2666</v>
      </c>
    </row>
    <row r="159" spans="1:8" ht="16.5" customHeight="1">
      <c r="A159" s="323"/>
      <c r="B159" s="325"/>
      <c r="C159" s="325"/>
      <c r="D159" s="326"/>
      <c r="E159" s="686"/>
      <c r="F159" s="686"/>
      <c r="G159" s="686"/>
      <c r="H159" s="359"/>
    </row>
    <row r="160" spans="1:8" ht="16.5" customHeight="1">
      <c r="A160" s="322" t="s">
        <v>2669</v>
      </c>
      <c r="B160" s="324" t="s">
        <v>2670</v>
      </c>
      <c r="C160" s="324"/>
      <c r="D160" s="326">
        <v>120000</v>
      </c>
      <c r="E160" s="337" t="s">
        <v>2671</v>
      </c>
      <c r="F160" s="326"/>
      <c r="G160" s="326"/>
      <c r="H160" s="359" t="s">
        <v>2675</v>
      </c>
    </row>
    <row r="161" spans="1:11" ht="16.5" customHeight="1">
      <c r="A161" s="323"/>
      <c r="B161" s="325"/>
      <c r="C161" s="325"/>
      <c r="D161" s="326"/>
      <c r="E161" s="326"/>
      <c r="F161" s="326"/>
      <c r="G161" s="326"/>
      <c r="H161" s="359"/>
    </row>
    <row r="162" spans="1:11" ht="16.5" customHeight="1">
      <c r="A162" s="339" t="s">
        <v>2673</v>
      </c>
      <c r="B162" s="324" t="s">
        <v>2672</v>
      </c>
      <c r="C162" s="324"/>
      <c r="D162" s="326">
        <v>125000</v>
      </c>
      <c r="E162" s="327"/>
      <c r="F162" s="328"/>
      <c r="G162" s="329"/>
      <c r="H162" s="359" t="s">
        <v>2674</v>
      </c>
    </row>
    <row r="163" spans="1:11" ht="16.5" customHeight="1">
      <c r="A163" s="340"/>
      <c r="B163" s="325"/>
      <c r="C163" s="325"/>
      <c r="D163" s="326"/>
      <c r="E163" s="330"/>
      <c r="F163" s="331"/>
      <c r="G163" s="332"/>
      <c r="H163" s="359"/>
    </row>
    <row r="164" spans="1:11" ht="16.5" customHeight="1">
      <c r="A164" s="322"/>
      <c r="B164" s="324"/>
      <c r="C164" s="324"/>
      <c r="D164" s="326"/>
      <c r="E164" s="327"/>
      <c r="F164" s="328"/>
      <c r="G164" s="329"/>
      <c r="H164" s="333"/>
    </row>
    <row r="165" spans="1:11" ht="16.5" customHeight="1">
      <c r="A165" s="323"/>
      <c r="B165" s="325"/>
      <c r="C165" s="325"/>
      <c r="D165" s="326"/>
      <c r="E165" s="330"/>
      <c r="F165" s="331"/>
      <c r="G165" s="332"/>
      <c r="H165" s="333"/>
      <c r="K165" s="24"/>
    </row>
    <row r="166" spans="1:11" ht="16.5" customHeight="1">
      <c r="A166" s="322"/>
      <c r="B166" s="676" t="s">
        <v>2745</v>
      </c>
      <c r="C166" s="680"/>
      <c r="D166" s="680"/>
      <c r="E166" s="680"/>
      <c r="F166" s="680"/>
      <c r="G166" s="680"/>
      <c r="H166" s="681"/>
    </row>
    <row r="167" spans="1:11" ht="64.5" customHeight="1">
      <c r="A167" s="323"/>
      <c r="B167" s="682"/>
      <c r="C167" s="683"/>
      <c r="D167" s="683"/>
      <c r="E167" s="683"/>
      <c r="F167" s="683"/>
      <c r="G167" s="683"/>
      <c r="H167" s="684"/>
      <c r="K167" s="24"/>
    </row>
    <row r="168" spans="1:11" ht="16.5" customHeight="1">
      <c r="A168" s="322"/>
      <c r="B168" s="324"/>
      <c r="C168" s="324"/>
      <c r="D168" s="326"/>
      <c r="E168" s="327"/>
      <c r="F168" s="328"/>
      <c r="G168" s="329"/>
      <c r="H168" s="333"/>
      <c r="K168" s="24"/>
    </row>
    <row r="169" spans="1:11" ht="16.5" customHeight="1">
      <c r="A169" s="323"/>
      <c r="B169" s="325"/>
      <c r="C169" s="325"/>
      <c r="D169" s="326"/>
      <c r="E169" s="330"/>
      <c r="F169" s="331"/>
      <c r="G169" s="332"/>
      <c r="H169" s="333"/>
      <c r="K169" s="24"/>
    </row>
    <row r="170" spans="1:11" ht="16.5" customHeight="1">
      <c r="A170" s="322"/>
      <c r="B170" s="324"/>
      <c r="C170" s="325"/>
      <c r="D170" s="326"/>
      <c r="E170" s="337"/>
      <c r="F170" s="326"/>
      <c r="G170" s="326"/>
      <c r="H170" s="333"/>
      <c r="K170" s="24"/>
    </row>
    <row r="171" spans="1:11" ht="16.5" customHeight="1">
      <c r="A171" s="323"/>
      <c r="B171" s="325"/>
      <c r="C171" s="325"/>
      <c r="D171" s="326"/>
      <c r="E171" s="326"/>
      <c r="F171" s="326"/>
      <c r="G171" s="326"/>
      <c r="H171" s="333"/>
      <c r="K171" s="24"/>
    </row>
    <row r="172" spans="1:11" ht="16.5" customHeight="1">
      <c r="A172" s="322"/>
      <c r="B172" s="324"/>
      <c r="C172" s="325"/>
      <c r="D172" s="326"/>
      <c r="E172" s="327"/>
      <c r="F172" s="328"/>
      <c r="G172" s="329"/>
      <c r="H172" s="338"/>
      <c r="I172" s="4"/>
    </row>
    <row r="173" spans="1:11" ht="16.5" customHeight="1">
      <c r="A173" s="323"/>
      <c r="B173" s="325"/>
      <c r="C173" s="325"/>
      <c r="D173" s="326"/>
      <c r="E173" s="330"/>
      <c r="F173" s="331"/>
      <c r="G173" s="332"/>
      <c r="H173" s="333"/>
    </row>
    <row r="174" spans="1:11" ht="16.5" customHeight="1">
      <c r="A174" s="322"/>
      <c r="B174" s="324"/>
      <c r="C174" s="325"/>
      <c r="D174" s="326"/>
      <c r="E174" s="327"/>
      <c r="F174" s="328"/>
      <c r="G174" s="329"/>
      <c r="H174" s="333"/>
    </row>
    <row r="175" spans="1:11" ht="16.5" customHeight="1">
      <c r="A175" s="323"/>
      <c r="B175" s="325"/>
      <c r="C175" s="325"/>
      <c r="D175" s="326"/>
      <c r="E175" s="330"/>
      <c r="F175" s="331"/>
      <c r="G175" s="332"/>
      <c r="H175" s="333"/>
    </row>
    <row r="176" spans="1:11" ht="16.5" customHeight="1">
      <c r="A176" s="322"/>
      <c r="B176" s="324"/>
      <c r="C176" s="325"/>
      <c r="D176" s="326"/>
      <c r="E176" s="327"/>
      <c r="F176" s="328"/>
      <c r="G176" s="329"/>
      <c r="H176" s="333"/>
    </row>
    <row r="177" spans="1:11" ht="16.5" customHeight="1">
      <c r="A177" s="323"/>
      <c r="B177" s="325"/>
      <c r="C177" s="325"/>
      <c r="D177" s="326"/>
      <c r="E177" s="330"/>
      <c r="F177" s="331"/>
      <c r="G177" s="332"/>
      <c r="H177" s="333"/>
    </row>
    <row r="178" spans="1:11" ht="16.5" customHeight="1">
      <c r="A178" s="322"/>
      <c r="B178" s="324"/>
      <c r="C178" s="325"/>
      <c r="D178" s="326"/>
      <c r="E178" s="327"/>
      <c r="F178" s="328"/>
      <c r="G178" s="329"/>
      <c r="H178" s="333"/>
    </row>
    <row r="179" spans="1:11" ht="16.5" customHeight="1">
      <c r="A179" s="323"/>
      <c r="B179" s="325"/>
      <c r="C179" s="325"/>
      <c r="D179" s="326"/>
      <c r="E179" s="330"/>
      <c r="F179" s="331"/>
      <c r="G179" s="332"/>
      <c r="H179" s="333"/>
    </row>
    <row r="180" spans="1:11" ht="16.5" customHeight="1">
      <c r="A180" s="322"/>
      <c r="B180" s="324"/>
      <c r="C180" s="325"/>
      <c r="D180" s="326"/>
      <c r="E180" s="327"/>
      <c r="F180" s="328"/>
      <c r="G180" s="329"/>
      <c r="H180" s="333"/>
    </row>
    <row r="181" spans="1:11" ht="16.5" customHeight="1">
      <c r="A181" s="323"/>
      <c r="B181" s="325"/>
      <c r="C181" s="325"/>
      <c r="D181" s="326"/>
      <c r="E181" s="330"/>
      <c r="F181" s="331"/>
      <c r="G181" s="332"/>
      <c r="H181" s="333"/>
    </row>
    <row r="182" spans="1:11" ht="16.5" customHeight="1">
      <c r="A182" s="322"/>
      <c r="B182" s="324"/>
      <c r="C182" s="326"/>
      <c r="D182" s="326"/>
      <c r="E182" s="327"/>
      <c r="F182" s="328"/>
      <c r="G182" s="329"/>
      <c r="H182" s="333"/>
    </row>
    <row r="183" spans="1:11" ht="16.5" customHeight="1">
      <c r="A183" s="323"/>
      <c r="B183" s="325"/>
      <c r="C183" s="326"/>
      <c r="D183" s="326"/>
      <c r="E183" s="330"/>
      <c r="F183" s="331"/>
      <c r="G183" s="332"/>
      <c r="H183" s="333"/>
    </row>
    <row r="184" spans="1:11" ht="16.5" customHeight="1">
      <c r="A184" s="322"/>
      <c r="B184" s="324"/>
      <c r="C184" s="325"/>
      <c r="D184" s="326"/>
      <c r="E184" s="337"/>
      <c r="F184" s="326"/>
      <c r="G184" s="326"/>
      <c r="H184" s="333"/>
      <c r="I184" s="3"/>
      <c r="K184" s="23"/>
    </row>
    <row r="185" spans="1:11" ht="16.5" customHeight="1">
      <c r="A185" s="323"/>
      <c r="B185" s="325"/>
      <c r="C185" s="325"/>
      <c r="D185" s="326"/>
      <c r="E185" s="326"/>
      <c r="F185" s="326"/>
      <c r="G185" s="326"/>
      <c r="H185" s="333"/>
    </row>
    <row r="186" spans="1:11" ht="16.5" customHeight="1">
      <c r="A186" s="322"/>
      <c r="B186" s="324"/>
      <c r="C186" s="325"/>
      <c r="D186" s="326"/>
      <c r="E186" s="327"/>
      <c r="F186" s="328"/>
      <c r="G186" s="329"/>
      <c r="H186" s="333"/>
    </row>
    <row r="187" spans="1:11" ht="16.5" customHeight="1">
      <c r="A187" s="323"/>
      <c r="B187" s="325"/>
      <c r="C187" s="325"/>
      <c r="D187" s="326"/>
      <c r="E187" s="330"/>
      <c r="F187" s="331"/>
      <c r="G187" s="332"/>
      <c r="H187" s="333"/>
    </row>
    <row r="188" spans="1:11" ht="16.5" customHeight="1">
      <c r="A188" s="322"/>
      <c r="B188" s="324"/>
      <c r="C188" s="324"/>
      <c r="D188" s="326"/>
      <c r="E188" s="327"/>
      <c r="F188" s="328"/>
      <c r="G188" s="329"/>
      <c r="H188" s="333"/>
    </row>
    <row r="189" spans="1:11" ht="16.5" customHeight="1">
      <c r="A189" s="323"/>
      <c r="B189" s="325"/>
      <c r="C189" s="325"/>
      <c r="D189" s="326"/>
      <c r="E189" s="330"/>
      <c r="F189" s="331"/>
      <c r="G189" s="332"/>
      <c r="H189" s="333"/>
    </row>
    <row r="190" spans="1:11" ht="16.5" customHeight="1">
      <c r="A190" s="335"/>
      <c r="B190" s="324"/>
      <c r="C190" s="325"/>
      <c r="D190" s="326"/>
      <c r="E190" s="327"/>
      <c r="F190" s="328"/>
      <c r="G190" s="329"/>
      <c r="H190" s="333"/>
    </row>
    <row r="191" spans="1:11" ht="16.5" customHeight="1">
      <c r="A191" s="336"/>
      <c r="B191" s="325"/>
      <c r="C191" s="325"/>
      <c r="D191" s="326"/>
      <c r="E191" s="330"/>
      <c r="F191" s="331"/>
      <c r="G191" s="332"/>
      <c r="H191" s="333"/>
    </row>
    <row r="192" spans="1:11" ht="16.5" customHeight="1">
      <c r="A192" s="334"/>
      <c r="B192" s="324"/>
      <c r="C192" s="324"/>
      <c r="D192" s="326"/>
      <c r="E192" s="327"/>
      <c r="F192" s="328"/>
      <c r="G192" s="329"/>
      <c r="H192" s="333"/>
    </row>
    <row r="193" spans="1:8" ht="16.5" customHeight="1">
      <c r="A193" s="323"/>
      <c r="B193" s="325"/>
      <c r="C193" s="325"/>
      <c r="D193" s="326"/>
      <c r="E193" s="330"/>
      <c r="F193" s="331"/>
      <c r="G193" s="332"/>
      <c r="H193" s="333"/>
    </row>
    <row r="194" spans="1:8" ht="16.5" customHeight="1">
      <c r="A194" s="322"/>
      <c r="B194" s="324"/>
      <c r="C194" s="325"/>
      <c r="D194" s="326"/>
      <c r="E194" s="327"/>
      <c r="F194" s="328"/>
      <c r="G194" s="329"/>
      <c r="H194" s="333"/>
    </row>
    <row r="195" spans="1:8" ht="16.5" customHeight="1">
      <c r="A195" s="323"/>
      <c r="B195" s="325"/>
      <c r="C195" s="325"/>
      <c r="D195" s="326"/>
      <c r="E195" s="330"/>
      <c r="F195" s="331"/>
      <c r="G195" s="332"/>
      <c r="H195" s="333"/>
    </row>
    <row r="196" spans="1:8" ht="16.5" customHeight="1">
      <c r="A196" s="313"/>
      <c r="B196" s="314"/>
      <c r="C196" s="307"/>
      <c r="D196" s="309"/>
      <c r="E196" s="315"/>
      <c r="F196" s="316"/>
      <c r="G196" s="317"/>
      <c r="H196" s="321"/>
    </row>
    <row r="197" spans="1:8" ht="16.5" customHeight="1">
      <c r="A197" s="305"/>
      <c r="B197" s="307"/>
      <c r="C197" s="307"/>
      <c r="D197" s="309"/>
      <c r="E197" s="318"/>
      <c r="F197" s="319"/>
      <c r="G197" s="320"/>
      <c r="H197" s="311"/>
    </row>
    <row r="198" spans="1:8" ht="16.5" customHeight="1">
      <c r="A198" s="313"/>
      <c r="B198" s="314"/>
      <c r="C198" s="307"/>
      <c r="D198" s="309"/>
      <c r="E198" s="315"/>
      <c r="F198" s="316"/>
      <c r="G198" s="317"/>
      <c r="H198" s="321"/>
    </row>
    <row r="199" spans="1:8" ht="16.5" customHeight="1">
      <c r="A199" s="305"/>
      <c r="B199" s="307"/>
      <c r="C199" s="307"/>
      <c r="D199" s="309"/>
      <c r="E199" s="318"/>
      <c r="F199" s="319"/>
      <c r="G199" s="320"/>
      <c r="H199" s="311"/>
    </row>
    <row r="200" spans="1:8">
      <c r="A200" s="305"/>
      <c r="B200" s="307"/>
      <c r="C200" s="307"/>
      <c r="D200" s="309"/>
      <c r="E200" s="309"/>
      <c r="F200" s="309"/>
      <c r="G200" s="309"/>
      <c r="H200" s="311"/>
    </row>
    <row r="201" spans="1:8">
      <c r="A201" s="305"/>
      <c r="B201" s="307"/>
      <c r="C201" s="307"/>
      <c r="D201" s="309"/>
      <c r="E201" s="309"/>
      <c r="F201" s="309"/>
      <c r="G201" s="309"/>
      <c r="H201" s="311"/>
    </row>
    <row r="202" spans="1:8" ht="16.5" customHeight="1">
      <c r="A202" s="313"/>
      <c r="B202" s="314"/>
      <c r="C202" s="307"/>
      <c r="D202" s="309"/>
      <c r="E202" s="315"/>
      <c r="F202" s="316"/>
      <c r="G202" s="317"/>
      <c r="H202" s="311"/>
    </row>
    <row r="203" spans="1:8" ht="16.5" customHeight="1">
      <c r="A203" s="305"/>
      <c r="B203" s="307"/>
      <c r="C203" s="307"/>
      <c r="D203" s="309"/>
      <c r="E203" s="318"/>
      <c r="F203" s="319"/>
      <c r="G203" s="320"/>
      <c r="H203" s="311"/>
    </row>
    <row r="204" spans="1:8" ht="16.5" customHeight="1">
      <c r="A204" s="313"/>
      <c r="B204" s="314"/>
      <c r="C204" s="307"/>
      <c r="D204" s="309"/>
      <c r="E204" s="315"/>
      <c r="F204" s="316"/>
      <c r="G204" s="317"/>
      <c r="H204" s="311"/>
    </row>
    <row r="205" spans="1:8" ht="16.5" customHeight="1">
      <c r="A205" s="305"/>
      <c r="B205" s="307"/>
      <c r="C205" s="307"/>
      <c r="D205" s="309"/>
      <c r="E205" s="318"/>
      <c r="F205" s="319"/>
      <c r="G205" s="320"/>
      <c r="H205" s="311"/>
    </row>
    <row r="206" spans="1:8" ht="16.5" customHeight="1">
      <c r="A206" s="313"/>
      <c r="B206" s="314"/>
      <c r="C206" s="307"/>
      <c r="D206" s="309"/>
      <c r="E206" s="315"/>
      <c r="F206" s="316"/>
      <c r="G206" s="317"/>
      <c r="H206" s="321"/>
    </row>
    <row r="207" spans="1:8" ht="16.5" customHeight="1">
      <c r="A207" s="305"/>
      <c r="B207" s="307"/>
      <c r="C207" s="307"/>
      <c r="D207" s="309"/>
      <c r="E207" s="318"/>
      <c r="F207" s="319"/>
      <c r="G207" s="320"/>
      <c r="H207" s="311"/>
    </row>
    <row r="208" spans="1:8" ht="16.5" customHeight="1">
      <c r="A208" s="313"/>
      <c r="B208" s="314"/>
      <c r="C208" s="307"/>
      <c r="D208" s="309"/>
      <c r="E208" s="315"/>
      <c r="F208" s="316"/>
      <c r="G208" s="317"/>
      <c r="H208" s="321"/>
    </row>
    <row r="209" spans="1:8" ht="16.5" customHeight="1">
      <c r="A209" s="305"/>
      <c r="B209" s="307"/>
      <c r="C209" s="307"/>
      <c r="D209" s="309"/>
      <c r="E209" s="318"/>
      <c r="F209" s="319"/>
      <c r="G209" s="320"/>
      <c r="H209" s="311"/>
    </row>
    <row r="210" spans="1:8">
      <c r="A210" s="305"/>
      <c r="B210" s="307"/>
      <c r="C210" s="307"/>
      <c r="D210" s="309"/>
      <c r="E210" s="309"/>
      <c r="F210" s="309"/>
      <c r="G210" s="309"/>
      <c r="H210" s="311"/>
    </row>
    <row r="211" spans="1:8">
      <c r="A211" s="305"/>
      <c r="B211" s="307"/>
      <c r="C211" s="307"/>
      <c r="D211" s="309"/>
      <c r="E211" s="309"/>
      <c r="F211" s="309"/>
      <c r="G211" s="309"/>
      <c r="H211" s="311"/>
    </row>
    <row r="212" spans="1:8" ht="16.5" customHeight="1">
      <c r="A212" s="313"/>
      <c r="B212" s="314"/>
      <c r="C212" s="307"/>
      <c r="D212" s="309"/>
      <c r="E212" s="315"/>
      <c r="F212" s="316"/>
      <c r="G212" s="317"/>
      <c r="H212" s="311"/>
    </row>
    <row r="213" spans="1:8" ht="16.5" customHeight="1">
      <c r="A213" s="305"/>
      <c r="B213" s="307"/>
      <c r="C213" s="307"/>
      <c r="D213" s="309"/>
      <c r="E213" s="318"/>
      <c r="F213" s="319"/>
      <c r="G213" s="320"/>
      <c r="H213" s="311"/>
    </row>
    <row r="214" spans="1:8" ht="16.5" customHeight="1">
      <c r="A214" s="313"/>
      <c r="B214" s="314"/>
      <c r="C214" s="307"/>
      <c r="D214" s="309"/>
      <c r="E214" s="315"/>
      <c r="F214" s="316"/>
      <c r="G214" s="317"/>
      <c r="H214" s="321"/>
    </row>
    <row r="215" spans="1:8" ht="16.5" customHeight="1">
      <c r="A215" s="305"/>
      <c r="B215" s="307"/>
      <c r="C215" s="307"/>
      <c r="D215" s="309"/>
      <c r="E215" s="318"/>
      <c r="F215" s="319"/>
      <c r="G215" s="320"/>
      <c r="H215" s="311"/>
    </row>
    <row r="216" spans="1:8" ht="16.5" customHeight="1">
      <c r="A216" s="313"/>
      <c r="B216" s="314"/>
      <c r="C216" s="307"/>
      <c r="D216" s="309"/>
      <c r="E216" s="315"/>
      <c r="F216" s="316"/>
      <c r="G216" s="317"/>
      <c r="H216" s="321"/>
    </row>
    <row r="217" spans="1:8" ht="16.5" customHeight="1">
      <c r="A217" s="305"/>
      <c r="B217" s="307"/>
      <c r="C217" s="307"/>
      <c r="D217" s="309"/>
      <c r="E217" s="318"/>
      <c r="F217" s="319"/>
      <c r="G217" s="320"/>
      <c r="H217" s="311"/>
    </row>
    <row r="218" spans="1:8">
      <c r="A218" s="305"/>
      <c r="B218" s="307"/>
      <c r="C218" s="307"/>
      <c r="D218" s="309"/>
      <c r="E218" s="309"/>
      <c r="F218" s="309"/>
      <c r="G218" s="309"/>
      <c r="H218" s="311"/>
    </row>
    <row r="219" spans="1:8">
      <c r="A219" s="305"/>
      <c r="B219" s="307"/>
      <c r="C219" s="307"/>
      <c r="D219" s="309"/>
      <c r="E219" s="309"/>
      <c r="F219" s="309"/>
      <c r="G219" s="309"/>
      <c r="H219" s="311"/>
    </row>
    <row r="220" spans="1:8">
      <c r="A220" s="305"/>
      <c r="B220" s="307"/>
      <c r="C220" s="307"/>
      <c r="D220" s="309"/>
      <c r="E220" s="309"/>
      <c r="F220" s="309"/>
      <c r="G220" s="309"/>
      <c r="H220" s="311"/>
    </row>
    <row r="221" spans="1:8" ht="17.25" thickBot="1">
      <c r="A221" s="306"/>
      <c r="B221" s="308"/>
      <c r="C221" s="308"/>
      <c r="D221" s="310"/>
      <c r="E221" s="310"/>
      <c r="F221" s="310"/>
      <c r="G221" s="310"/>
      <c r="H221" s="312"/>
    </row>
  </sheetData>
  <mergeCells count="644"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  <mergeCell ref="A6:A7"/>
    <mergeCell ref="B6:B7"/>
    <mergeCell ref="C6:C7"/>
    <mergeCell ref="D6:D7"/>
    <mergeCell ref="E6:G7"/>
    <mergeCell ref="H6:H7"/>
    <mergeCell ref="A3:H3"/>
    <mergeCell ref="A4:A5"/>
    <mergeCell ref="B4:B5"/>
    <mergeCell ref="C4:C5"/>
    <mergeCell ref="D4:D5"/>
    <mergeCell ref="E4:G5"/>
    <mergeCell ref="H4:H5"/>
    <mergeCell ref="A10:A11"/>
    <mergeCell ref="B10:B11"/>
    <mergeCell ref="C10:C11"/>
    <mergeCell ref="D10:D11"/>
    <mergeCell ref="E10:G11"/>
    <mergeCell ref="H10:H11"/>
    <mergeCell ref="A8:A9"/>
    <mergeCell ref="B8:B9"/>
    <mergeCell ref="C8:C9"/>
    <mergeCell ref="D8:D9"/>
    <mergeCell ref="E8:G9"/>
    <mergeCell ref="H8:H9"/>
    <mergeCell ref="A14:A15"/>
    <mergeCell ref="B14:B15"/>
    <mergeCell ref="C14:C15"/>
    <mergeCell ref="D14:D15"/>
    <mergeCell ref="E14:G15"/>
    <mergeCell ref="H14:H15"/>
    <mergeCell ref="A12:A13"/>
    <mergeCell ref="B12:B13"/>
    <mergeCell ref="C12:C13"/>
    <mergeCell ref="D12:D13"/>
    <mergeCell ref="E12:G13"/>
    <mergeCell ref="H12:H13"/>
    <mergeCell ref="A16:A17"/>
    <mergeCell ref="B16:B17"/>
    <mergeCell ref="C16:C17"/>
    <mergeCell ref="D16:D17"/>
    <mergeCell ref="E16:G17"/>
    <mergeCell ref="H16:H17"/>
    <mergeCell ref="A20:A21"/>
    <mergeCell ref="B20:B21"/>
    <mergeCell ref="C20:C21"/>
    <mergeCell ref="D20:D21"/>
    <mergeCell ref="E20:G21"/>
    <mergeCell ref="H20:H21"/>
    <mergeCell ref="A18:A19"/>
    <mergeCell ref="B18:B19"/>
    <mergeCell ref="C18:C19"/>
    <mergeCell ref="D18:D19"/>
    <mergeCell ref="E18:G19"/>
    <mergeCell ref="H18:H19"/>
    <mergeCell ref="A24:A25"/>
    <mergeCell ref="B24:B25"/>
    <mergeCell ref="C24:C25"/>
    <mergeCell ref="D24:D25"/>
    <mergeCell ref="E24:G25"/>
    <mergeCell ref="H24:H25"/>
    <mergeCell ref="A22:A23"/>
    <mergeCell ref="B22:B23"/>
    <mergeCell ref="C22:C23"/>
    <mergeCell ref="D22:D23"/>
    <mergeCell ref="E22:G23"/>
    <mergeCell ref="H22:H23"/>
    <mergeCell ref="A28:A29"/>
    <mergeCell ref="B28:B29"/>
    <mergeCell ref="C28:C29"/>
    <mergeCell ref="D28:D29"/>
    <mergeCell ref="E28:G29"/>
    <mergeCell ref="H28:H29"/>
    <mergeCell ref="A26:A27"/>
    <mergeCell ref="B26:B27"/>
    <mergeCell ref="C26:C27"/>
    <mergeCell ref="D26:D27"/>
    <mergeCell ref="E26:G27"/>
    <mergeCell ref="H26:H27"/>
    <mergeCell ref="A30:A31"/>
    <mergeCell ref="B30:H31"/>
    <mergeCell ref="A36:A38"/>
    <mergeCell ref="B36:B38"/>
    <mergeCell ref="C36:C38"/>
    <mergeCell ref="D36:D38"/>
    <mergeCell ref="E36:G38"/>
    <mergeCell ref="H36:H38"/>
    <mergeCell ref="A34:A35"/>
    <mergeCell ref="B34:B35"/>
    <mergeCell ref="C34:C35"/>
    <mergeCell ref="D34:D35"/>
    <mergeCell ref="E34:G35"/>
    <mergeCell ref="H34:H35"/>
    <mergeCell ref="A39:A40"/>
    <mergeCell ref="B39:B40"/>
    <mergeCell ref="C39:C40"/>
    <mergeCell ref="D39:D40"/>
    <mergeCell ref="E39:G40"/>
    <mergeCell ref="H39:H40"/>
    <mergeCell ref="A32:A33"/>
    <mergeCell ref="B32:B33"/>
    <mergeCell ref="C32:C33"/>
    <mergeCell ref="D32:D33"/>
    <mergeCell ref="E32:G33"/>
    <mergeCell ref="H32:H33"/>
    <mergeCell ref="A43:A44"/>
    <mergeCell ref="B43:B44"/>
    <mergeCell ref="C43:C44"/>
    <mergeCell ref="D43:D44"/>
    <mergeCell ref="E43:G44"/>
    <mergeCell ref="H43:H44"/>
    <mergeCell ref="A41:A42"/>
    <mergeCell ref="B41:B42"/>
    <mergeCell ref="C41:C42"/>
    <mergeCell ref="D41:D42"/>
    <mergeCell ref="E41:G42"/>
    <mergeCell ref="H41:H42"/>
    <mergeCell ref="A47:A48"/>
    <mergeCell ref="B47:B48"/>
    <mergeCell ref="C47:C48"/>
    <mergeCell ref="D47:D48"/>
    <mergeCell ref="E47:G48"/>
    <mergeCell ref="H47:H48"/>
    <mergeCell ref="A45:A46"/>
    <mergeCell ref="B45:B46"/>
    <mergeCell ref="C45:C46"/>
    <mergeCell ref="D45:D46"/>
    <mergeCell ref="E45:G46"/>
    <mergeCell ref="H45:H46"/>
    <mergeCell ref="A51:A52"/>
    <mergeCell ref="B51:B52"/>
    <mergeCell ref="C51:C52"/>
    <mergeCell ref="D51:D52"/>
    <mergeCell ref="E51:G52"/>
    <mergeCell ref="H51:H52"/>
    <mergeCell ref="A49:A50"/>
    <mergeCell ref="B49:B50"/>
    <mergeCell ref="C49:C50"/>
    <mergeCell ref="D49:D50"/>
    <mergeCell ref="E49:G50"/>
    <mergeCell ref="H49:H50"/>
    <mergeCell ref="A55:A56"/>
    <mergeCell ref="B55:B56"/>
    <mergeCell ref="C55:C56"/>
    <mergeCell ref="D55:D56"/>
    <mergeCell ref="E55:G56"/>
    <mergeCell ref="H55:H56"/>
    <mergeCell ref="A53:A54"/>
    <mergeCell ref="B53:B54"/>
    <mergeCell ref="C53:C54"/>
    <mergeCell ref="D53:D54"/>
    <mergeCell ref="E53:G54"/>
    <mergeCell ref="H53:H54"/>
    <mergeCell ref="A59:A60"/>
    <mergeCell ref="B59:B60"/>
    <mergeCell ref="C59:C60"/>
    <mergeCell ref="D59:D60"/>
    <mergeCell ref="E59:G60"/>
    <mergeCell ref="H59:H60"/>
    <mergeCell ref="A57:A58"/>
    <mergeCell ref="B57:B58"/>
    <mergeCell ref="C57:C58"/>
    <mergeCell ref="D57:D58"/>
    <mergeCell ref="E57:G58"/>
    <mergeCell ref="H57:H58"/>
    <mergeCell ref="A63:A64"/>
    <mergeCell ref="B63:B64"/>
    <mergeCell ref="C63:C64"/>
    <mergeCell ref="D63:D64"/>
    <mergeCell ref="E63:G64"/>
    <mergeCell ref="H63:H64"/>
    <mergeCell ref="A61:A62"/>
    <mergeCell ref="B61:B62"/>
    <mergeCell ref="C61:C62"/>
    <mergeCell ref="D61:D62"/>
    <mergeCell ref="E61:G62"/>
    <mergeCell ref="H61:H62"/>
    <mergeCell ref="A67:A68"/>
    <mergeCell ref="B67:B68"/>
    <mergeCell ref="C67:C68"/>
    <mergeCell ref="D67:D68"/>
    <mergeCell ref="E67:G68"/>
    <mergeCell ref="H67:H68"/>
    <mergeCell ref="A65:A66"/>
    <mergeCell ref="B65:B66"/>
    <mergeCell ref="C65:C66"/>
    <mergeCell ref="D65:D66"/>
    <mergeCell ref="E65:G66"/>
    <mergeCell ref="H65:H66"/>
    <mergeCell ref="A71:A72"/>
    <mergeCell ref="B71:B72"/>
    <mergeCell ref="C71:C72"/>
    <mergeCell ref="D71:D72"/>
    <mergeCell ref="E71:G72"/>
    <mergeCell ref="H71:H72"/>
    <mergeCell ref="A69:A70"/>
    <mergeCell ref="B69:B70"/>
    <mergeCell ref="C69:C70"/>
    <mergeCell ref="D69:D70"/>
    <mergeCell ref="E69:G70"/>
    <mergeCell ref="H69:H70"/>
    <mergeCell ref="H77:H78"/>
    <mergeCell ref="A75:A76"/>
    <mergeCell ref="B75:H76"/>
    <mergeCell ref="A73:A74"/>
    <mergeCell ref="B73:B74"/>
    <mergeCell ref="C73:C74"/>
    <mergeCell ref="D73:D74"/>
    <mergeCell ref="E73:G74"/>
    <mergeCell ref="H73:H74"/>
    <mergeCell ref="E79:G79"/>
    <mergeCell ref="A80:A81"/>
    <mergeCell ref="B80:B81"/>
    <mergeCell ref="C80:C81"/>
    <mergeCell ref="D80:D81"/>
    <mergeCell ref="E80:G81"/>
    <mergeCell ref="A77:A78"/>
    <mergeCell ref="B77:B78"/>
    <mergeCell ref="C77:C78"/>
    <mergeCell ref="D77:D78"/>
    <mergeCell ref="E77:G78"/>
    <mergeCell ref="A84:A85"/>
    <mergeCell ref="B84:B85"/>
    <mergeCell ref="C84:C85"/>
    <mergeCell ref="D84:D85"/>
    <mergeCell ref="E84:G85"/>
    <mergeCell ref="H84:H85"/>
    <mergeCell ref="H80:H81"/>
    <mergeCell ref="A82:A83"/>
    <mergeCell ref="B82:B83"/>
    <mergeCell ref="C82:C83"/>
    <mergeCell ref="D82:D83"/>
    <mergeCell ref="E82:G83"/>
    <mergeCell ref="H82:H83"/>
    <mergeCell ref="A88:A89"/>
    <mergeCell ref="B88:B89"/>
    <mergeCell ref="C88:C89"/>
    <mergeCell ref="D88:D89"/>
    <mergeCell ref="E88:G89"/>
    <mergeCell ref="H88:H89"/>
    <mergeCell ref="A86:A87"/>
    <mergeCell ref="B86:B87"/>
    <mergeCell ref="C86:C87"/>
    <mergeCell ref="D86:D87"/>
    <mergeCell ref="E86:G87"/>
    <mergeCell ref="H86:H87"/>
    <mergeCell ref="A92:A93"/>
    <mergeCell ref="B92:B93"/>
    <mergeCell ref="C92:C93"/>
    <mergeCell ref="D92:D93"/>
    <mergeCell ref="E92:G93"/>
    <mergeCell ref="H92:H93"/>
    <mergeCell ref="A90:A91"/>
    <mergeCell ref="B90:B91"/>
    <mergeCell ref="C90:C91"/>
    <mergeCell ref="D90:D91"/>
    <mergeCell ref="E90:G91"/>
    <mergeCell ref="H90:H91"/>
    <mergeCell ref="A96:A97"/>
    <mergeCell ref="B96:B97"/>
    <mergeCell ref="C96:C97"/>
    <mergeCell ref="D96:D97"/>
    <mergeCell ref="E96:G97"/>
    <mergeCell ref="H96:H97"/>
    <mergeCell ref="A94:A95"/>
    <mergeCell ref="B94:B95"/>
    <mergeCell ref="C94:C95"/>
    <mergeCell ref="D94:D95"/>
    <mergeCell ref="E94:G95"/>
    <mergeCell ref="H94:H95"/>
    <mergeCell ref="A102:A103"/>
    <mergeCell ref="A100:A101"/>
    <mergeCell ref="B100:B101"/>
    <mergeCell ref="C100:C101"/>
    <mergeCell ref="D100:D101"/>
    <mergeCell ref="E100:G101"/>
    <mergeCell ref="H100:H101"/>
    <mergeCell ref="B102:H103"/>
    <mergeCell ref="A98:A99"/>
    <mergeCell ref="B98:B99"/>
    <mergeCell ref="C98:C99"/>
    <mergeCell ref="D98:D99"/>
    <mergeCell ref="E98:G99"/>
    <mergeCell ref="H98:H99"/>
    <mergeCell ref="A106:A107"/>
    <mergeCell ref="B106:B107"/>
    <mergeCell ref="C106:C107"/>
    <mergeCell ref="D106:D107"/>
    <mergeCell ref="E106:G107"/>
    <mergeCell ref="H106:H107"/>
    <mergeCell ref="A104:A105"/>
    <mergeCell ref="B104:B105"/>
    <mergeCell ref="C104:C105"/>
    <mergeCell ref="D104:D105"/>
    <mergeCell ref="E104:G105"/>
    <mergeCell ref="H104:H105"/>
    <mergeCell ref="A110:A111"/>
    <mergeCell ref="B110:B111"/>
    <mergeCell ref="C110:C111"/>
    <mergeCell ref="D110:D111"/>
    <mergeCell ref="E110:G111"/>
    <mergeCell ref="H110:H111"/>
    <mergeCell ref="A108:A109"/>
    <mergeCell ref="B108:B109"/>
    <mergeCell ref="C108:C109"/>
    <mergeCell ref="D108:D109"/>
    <mergeCell ref="E108:G109"/>
    <mergeCell ref="H108:H109"/>
    <mergeCell ref="A118:A119"/>
    <mergeCell ref="B118:B119"/>
    <mergeCell ref="C118:C119"/>
    <mergeCell ref="D118:D119"/>
    <mergeCell ref="E118:G119"/>
    <mergeCell ref="H118:H119"/>
    <mergeCell ref="H114:H115"/>
    <mergeCell ref="A112:A113"/>
    <mergeCell ref="B112:B113"/>
    <mergeCell ref="C112:C113"/>
    <mergeCell ref="D112:D113"/>
    <mergeCell ref="E112:G113"/>
    <mergeCell ref="H112:H113"/>
    <mergeCell ref="A116:A117"/>
    <mergeCell ref="B116:B117"/>
    <mergeCell ref="C116:C117"/>
    <mergeCell ref="D116:D117"/>
    <mergeCell ref="E116:G117"/>
    <mergeCell ref="H116:H117"/>
    <mergeCell ref="A114:A115"/>
    <mergeCell ref="B114:B115"/>
    <mergeCell ref="C114:C115"/>
    <mergeCell ref="D114:D115"/>
    <mergeCell ref="E114:G115"/>
    <mergeCell ref="A122:A123"/>
    <mergeCell ref="B122:B123"/>
    <mergeCell ref="C122:C123"/>
    <mergeCell ref="D122:D123"/>
    <mergeCell ref="E122:G123"/>
    <mergeCell ref="H122:H123"/>
    <mergeCell ref="A120:A121"/>
    <mergeCell ref="B120:B121"/>
    <mergeCell ref="C120:C121"/>
    <mergeCell ref="D120:D121"/>
    <mergeCell ref="E120:G121"/>
    <mergeCell ref="H120:H121"/>
    <mergeCell ref="A126:A127"/>
    <mergeCell ref="B126:B127"/>
    <mergeCell ref="C126:C127"/>
    <mergeCell ref="D126:D127"/>
    <mergeCell ref="E126:G127"/>
    <mergeCell ref="H126:H127"/>
    <mergeCell ref="A124:A125"/>
    <mergeCell ref="B124:B125"/>
    <mergeCell ref="C124:C125"/>
    <mergeCell ref="D124:D125"/>
    <mergeCell ref="E124:G125"/>
    <mergeCell ref="H124:H125"/>
    <mergeCell ref="A130:A131"/>
    <mergeCell ref="B130:B131"/>
    <mergeCell ref="C130:C131"/>
    <mergeCell ref="D130:D131"/>
    <mergeCell ref="E130:G131"/>
    <mergeCell ref="H130:H131"/>
    <mergeCell ref="A128:A129"/>
    <mergeCell ref="B128:B129"/>
    <mergeCell ref="C128:C129"/>
    <mergeCell ref="D128:D129"/>
    <mergeCell ref="E128:G129"/>
    <mergeCell ref="H128:H129"/>
    <mergeCell ref="A134:A135"/>
    <mergeCell ref="B134:B135"/>
    <mergeCell ref="C134:C135"/>
    <mergeCell ref="D134:D135"/>
    <mergeCell ref="E134:G135"/>
    <mergeCell ref="H134:H135"/>
    <mergeCell ref="A132:A133"/>
    <mergeCell ref="B132:B133"/>
    <mergeCell ref="C132:C133"/>
    <mergeCell ref="D132:D133"/>
    <mergeCell ref="E132:G133"/>
    <mergeCell ref="H132:H133"/>
    <mergeCell ref="A138:A139"/>
    <mergeCell ref="H138:H139"/>
    <mergeCell ref="B138:G139"/>
    <mergeCell ref="A136:A137"/>
    <mergeCell ref="B136:B137"/>
    <mergeCell ref="C136:C137"/>
    <mergeCell ref="D136:D137"/>
    <mergeCell ref="E136:G137"/>
    <mergeCell ref="H136:H137"/>
    <mergeCell ref="A142:A143"/>
    <mergeCell ref="B142:B143"/>
    <mergeCell ref="C142:C143"/>
    <mergeCell ref="D142:D143"/>
    <mergeCell ref="E142:G143"/>
    <mergeCell ref="H142:H143"/>
    <mergeCell ref="A140:A141"/>
    <mergeCell ref="B140:B141"/>
    <mergeCell ref="C140:C141"/>
    <mergeCell ref="D140:D141"/>
    <mergeCell ref="E140:G141"/>
    <mergeCell ref="H140:H141"/>
    <mergeCell ref="A146:A147"/>
    <mergeCell ref="B146:B147"/>
    <mergeCell ref="C146:C147"/>
    <mergeCell ref="D146:D147"/>
    <mergeCell ref="E146:G147"/>
    <mergeCell ref="H146:H147"/>
    <mergeCell ref="A144:A145"/>
    <mergeCell ref="B144:B145"/>
    <mergeCell ref="C144:C145"/>
    <mergeCell ref="D144:D145"/>
    <mergeCell ref="E144:G145"/>
    <mergeCell ref="H144:H145"/>
    <mergeCell ref="A150:A151"/>
    <mergeCell ref="B150:B151"/>
    <mergeCell ref="C150:C151"/>
    <mergeCell ref="D150:D151"/>
    <mergeCell ref="E150:G151"/>
    <mergeCell ref="H150:H151"/>
    <mergeCell ref="A148:A149"/>
    <mergeCell ref="B148:B149"/>
    <mergeCell ref="C148:C149"/>
    <mergeCell ref="D148:D149"/>
    <mergeCell ref="E148:G149"/>
    <mergeCell ref="H148:H149"/>
    <mergeCell ref="A154:A155"/>
    <mergeCell ref="B154:B155"/>
    <mergeCell ref="C154:C155"/>
    <mergeCell ref="D154:D155"/>
    <mergeCell ref="E154:G155"/>
    <mergeCell ref="H154:H155"/>
    <mergeCell ref="A152:A153"/>
    <mergeCell ref="B152:B153"/>
    <mergeCell ref="C152:C153"/>
    <mergeCell ref="D152:D153"/>
    <mergeCell ref="E152:G153"/>
    <mergeCell ref="H152:H153"/>
    <mergeCell ref="A158:A159"/>
    <mergeCell ref="B158:B159"/>
    <mergeCell ref="C158:C159"/>
    <mergeCell ref="D158:D159"/>
    <mergeCell ref="E158:G159"/>
    <mergeCell ref="H158:H159"/>
    <mergeCell ref="A156:A157"/>
    <mergeCell ref="B156:B157"/>
    <mergeCell ref="C156:C157"/>
    <mergeCell ref="D156:D157"/>
    <mergeCell ref="E156:G157"/>
    <mergeCell ref="H156:H157"/>
    <mergeCell ref="A162:A163"/>
    <mergeCell ref="B162:B163"/>
    <mergeCell ref="C162:C163"/>
    <mergeCell ref="D162:D163"/>
    <mergeCell ref="E162:G163"/>
    <mergeCell ref="H162:H163"/>
    <mergeCell ref="A160:A161"/>
    <mergeCell ref="B160:B161"/>
    <mergeCell ref="C160:C161"/>
    <mergeCell ref="D160:D161"/>
    <mergeCell ref="E160:G161"/>
    <mergeCell ref="H160:H161"/>
    <mergeCell ref="A168:A169"/>
    <mergeCell ref="B168:B169"/>
    <mergeCell ref="C168:C169"/>
    <mergeCell ref="D168:D169"/>
    <mergeCell ref="E168:G169"/>
    <mergeCell ref="H168:H169"/>
    <mergeCell ref="A166:A167"/>
    <mergeCell ref="B166:H167"/>
    <mergeCell ref="A164:A165"/>
    <mergeCell ref="B164:B165"/>
    <mergeCell ref="C164:C165"/>
    <mergeCell ref="D164:D165"/>
    <mergeCell ref="E164:G165"/>
    <mergeCell ref="H164:H165"/>
    <mergeCell ref="A172:A173"/>
    <mergeCell ref="B172:B173"/>
    <mergeCell ref="C172:C173"/>
    <mergeCell ref="D172:D173"/>
    <mergeCell ref="E172:G173"/>
    <mergeCell ref="H172:H173"/>
    <mergeCell ref="A170:A171"/>
    <mergeCell ref="B170:B171"/>
    <mergeCell ref="C170:C171"/>
    <mergeCell ref="D170:D171"/>
    <mergeCell ref="E170:G171"/>
    <mergeCell ref="H170:H171"/>
    <mergeCell ref="A176:A177"/>
    <mergeCell ref="B176:B177"/>
    <mergeCell ref="C176:C177"/>
    <mergeCell ref="D176:D177"/>
    <mergeCell ref="E176:G177"/>
    <mergeCell ref="H176:H177"/>
    <mergeCell ref="A174:A175"/>
    <mergeCell ref="B174:B175"/>
    <mergeCell ref="C174:C175"/>
    <mergeCell ref="D174:D175"/>
    <mergeCell ref="E174:G175"/>
    <mergeCell ref="H174:H175"/>
    <mergeCell ref="A180:A181"/>
    <mergeCell ref="B180:B181"/>
    <mergeCell ref="C180:C181"/>
    <mergeCell ref="D180:D181"/>
    <mergeCell ref="E180:G181"/>
    <mergeCell ref="H180:H181"/>
    <mergeCell ref="A178:A179"/>
    <mergeCell ref="B178:B179"/>
    <mergeCell ref="C178:C179"/>
    <mergeCell ref="D178:D179"/>
    <mergeCell ref="E178:G179"/>
    <mergeCell ref="H178:H179"/>
    <mergeCell ref="A184:A185"/>
    <mergeCell ref="B184:B185"/>
    <mergeCell ref="C184:C185"/>
    <mergeCell ref="D184:D185"/>
    <mergeCell ref="E184:G185"/>
    <mergeCell ref="H184:H185"/>
    <mergeCell ref="A182:A183"/>
    <mergeCell ref="B182:B183"/>
    <mergeCell ref="C182:C183"/>
    <mergeCell ref="D182:D183"/>
    <mergeCell ref="E182:G183"/>
    <mergeCell ref="H182:H183"/>
    <mergeCell ref="A188:A189"/>
    <mergeCell ref="B188:B189"/>
    <mergeCell ref="C188:C189"/>
    <mergeCell ref="D188:D189"/>
    <mergeCell ref="E188:G189"/>
    <mergeCell ref="H188:H189"/>
    <mergeCell ref="A186:A187"/>
    <mergeCell ref="B186:B187"/>
    <mergeCell ref="C186:C187"/>
    <mergeCell ref="D186:D187"/>
    <mergeCell ref="E186:G187"/>
    <mergeCell ref="H186:H187"/>
    <mergeCell ref="A192:A193"/>
    <mergeCell ref="B192:B193"/>
    <mergeCell ref="C192:C193"/>
    <mergeCell ref="D192:D193"/>
    <mergeCell ref="E192:G193"/>
    <mergeCell ref="H192:H193"/>
    <mergeCell ref="A190:A191"/>
    <mergeCell ref="B190:B191"/>
    <mergeCell ref="C190:C191"/>
    <mergeCell ref="D190:D191"/>
    <mergeCell ref="E190:G191"/>
    <mergeCell ref="H190:H191"/>
    <mergeCell ref="A196:A197"/>
    <mergeCell ref="B196:B197"/>
    <mergeCell ref="C196:C197"/>
    <mergeCell ref="D196:D197"/>
    <mergeCell ref="E196:G197"/>
    <mergeCell ref="H196:H197"/>
    <mergeCell ref="A194:A195"/>
    <mergeCell ref="B194:B195"/>
    <mergeCell ref="C194:C195"/>
    <mergeCell ref="D194:D195"/>
    <mergeCell ref="E194:G195"/>
    <mergeCell ref="H194:H195"/>
    <mergeCell ref="A200:A201"/>
    <mergeCell ref="B200:B201"/>
    <mergeCell ref="C200:C201"/>
    <mergeCell ref="D200:D201"/>
    <mergeCell ref="E200:G201"/>
    <mergeCell ref="H200:H201"/>
    <mergeCell ref="A198:A199"/>
    <mergeCell ref="B198:B199"/>
    <mergeCell ref="C198:C199"/>
    <mergeCell ref="D198:D199"/>
    <mergeCell ref="E198:G199"/>
    <mergeCell ref="H198:H199"/>
    <mergeCell ref="A204:A205"/>
    <mergeCell ref="B204:B205"/>
    <mergeCell ref="C204:C205"/>
    <mergeCell ref="D204:D205"/>
    <mergeCell ref="E204:G205"/>
    <mergeCell ref="H204:H205"/>
    <mergeCell ref="A202:A203"/>
    <mergeCell ref="B202:B203"/>
    <mergeCell ref="C202:C203"/>
    <mergeCell ref="D202:D203"/>
    <mergeCell ref="E202:G203"/>
    <mergeCell ref="H202:H203"/>
    <mergeCell ref="A208:A209"/>
    <mergeCell ref="B208:B209"/>
    <mergeCell ref="C208:C209"/>
    <mergeCell ref="D208:D209"/>
    <mergeCell ref="E208:G209"/>
    <mergeCell ref="H208:H209"/>
    <mergeCell ref="A206:A207"/>
    <mergeCell ref="B206:B207"/>
    <mergeCell ref="C206:C207"/>
    <mergeCell ref="D206:D207"/>
    <mergeCell ref="E206:G207"/>
    <mergeCell ref="H206:H207"/>
    <mergeCell ref="A212:A213"/>
    <mergeCell ref="B212:B213"/>
    <mergeCell ref="C212:C213"/>
    <mergeCell ref="D212:D213"/>
    <mergeCell ref="E212:G213"/>
    <mergeCell ref="H212:H213"/>
    <mergeCell ref="A210:A211"/>
    <mergeCell ref="B210:B211"/>
    <mergeCell ref="C210:C211"/>
    <mergeCell ref="D210:D211"/>
    <mergeCell ref="E210:G211"/>
    <mergeCell ref="H210:H211"/>
    <mergeCell ref="A216:A217"/>
    <mergeCell ref="B216:B217"/>
    <mergeCell ref="C216:C217"/>
    <mergeCell ref="D216:D217"/>
    <mergeCell ref="E216:G217"/>
    <mergeCell ref="H216:H217"/>
    <mergeCell ref="A214:A215"/>
    <mergeCell ref="B214:B215"/>
    <mergeCell ref="C214:C215"/>
    <mergeCell ref="D214:D215"/>
    <mergeCell ref="E214:G215"/>
    <mergeCell ref="H214:H215"/>
    <mergeCell ref="A220:A221"/>
    <mergeCell ref="B220:B221"/>
    <mergeCell ref="C220:C221"/>
    <mergeCell ref="D220:D221"/>
    <mergeCell ref="E220:G221"/>
    <mergeCell ref="H220:H221"/>
    <mergeCell ref="A218:A219"/>
    <mergeCell ref="B218:B219"/>
    <mergeCell ref="C218:C219"/>
    <mergeCell ref="D218:D219"/>
    <mergeCell ref="E218:G219"/>
    <mergeCell ref="H218:H219"/>
  </mergeCells>
  <phoneticPr fontId="1" type="noConversion"/>
  <pageMargins left="0" right="0" top="0" bottom="0" header="0" footer="0"/>
  <pageSetup paperSize="9" scale="36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99"/>
  <sheetViews>
    <sheetView showGridLines="0" zoomScale="115" zoomScaleNormal="115" workbookViewId="0">
      <pane xSplit="8" ySplit="2" topLeftCell="I117" activePane="bottomRight" state="frozen"/>
      <selection pane="topRight" activeCell="I1" sqref="I1"/>
      <selection pane="bottomLeft" activeCell="A3" sqref="A3"/>
      <selection pane="bottomRight" activeCell="E39" sqref="E39:G40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0" max="10" width="13.12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</cols>
  <sheetData>
    <row r="1" spans="1:18" ht="35.25" customHeight="1" thickBot="1">
      <c r="A1" s="388" t="s">
        <v>28</v>
      </c>
      <c r="B1" s="389"/>
      <c r="C1" s="402" t="s">
        <v>27</v>
      </c>
      <c r="D1" s="403"/>
      <c r="E1" s="21" t="s">
        <v>26</v>
      </c>
      <c r="F1" s="20">
        <f>H1/31</f>
        <v>972432.25806451612</v>
      </c>
      <c r="G1" s="21" t="s">
        <v>4</v>
      </c>
      <c r="H1" s="22">
        <f>SUM(D4:D199)</f>
        <v>30145400</v>
      </c>
      <c r="I1" s="392"/>
      <c r="J1" s="338"/>
      <c r="K1" s="394"/>
      <c r="L1" s="396"/>
      <c r="M1" s="377"/>
      <c r="N1" s="379"/>
      <c r="O1" s="381"/>
      <c r="P1" s="383"/>
      <c r="Q1" s="377"/>
      <c r="R1" s="376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385" t="s">
        <v>25</v>
      </c>
      <c r="F2" s="386"/>
      <c r="G2" s="387"/>
      <c r="H2" s="25" t="s">
        <v>5</v>
      </c>
      <c r="I2" s="393"/>
      <c r="J2" s="333"/>
      <c r="K2" s="395"/>
      <c r="L2" s="397"/>
      <c r="M2" s="378"/>
      <c r="N2" s="380"/>
      <c r="O2" s="382"/>
      <c r="P2" s="384"/>
      <c r="Q2" s="378"/>
      <c r="R2" s="376"/>
    </row>
    <row r="3" spans="1:18" ht="36" customHeight="1">
      <c r="A3" s="441" t="s">
        <v>2710</v>
      </c>
      <c r="B3" s="442"/>
      <c r="C3" s="442"/>
      <c r="D3" s="442"/>
      <c r="E3" s="442"/>
      <c r="F3" s="442"/>
      <c r="G3" s="442"/>
      <c r="H3" s="443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322" t="s">
        <v>2676</v>
      </c>
      <c r="B4" s="444" t="s">
        <v>2689</v>
      </c>
      <c r="C4" s="341" t="s">
        <v>2764</v>
      </c>
      <c r="D4" s="326">
        <v>660000</v>
      </c>
      <c r="E4" s="562" t="s">
        <v>2686</v>
      </c>
      <c r="F4" s="582"/>
      <c r="G4" s="583"/>
      <c r="H4" s="398" t="s">
        <v>2680</v>
      </c>
      <c r="J4" s="42"/>
    </row>
    <row r="5" spans="1:18" ht="16.5" customHeight="1">
      <c r="A5" s="323"/>
      <c r="B5" s="445"/>
      <c r="C5" s="342"/>
      <c r="D5" s="326"/>
      <c r="E5" s="584"/>
      <c r="F5" s="585"/>
      <c r="G5" s="586"/>
      <c r="H5" s="399"/>
      <c r="J5" s="43"/>
    </row>
    <row r="6" spans="1:18" ht="16.5" customHeight="1">
      <c r="A6" s="322" t="s">
        <v>2676</v>
      </c>
      <c r="B6" s="439" t="s">
        <v>2697</v>
      </c>
      <c r="C6" s="341" t="s">
        <v>2765</v>
      </c>
      <c r="D6" s="326">
        <v>460000</v>
      </c>
      <c r="E6" s="562" t="s">
        <v>2685</v>
      </c>
      <c r="F6" s="563"/>
      <c r="G6" s="564"/>
      <c r="H6" s="398" t="s">
        <v>2680</v>
      </c>
      <c r="J6" s="43"/>
    </row>
    <row r="7" spans="1:18" ht="16.5" customHeight="1">
      <c r="A7" s="323"/>
      <c r="B7" s="440"/>
      <c r="C7" s="352"/>
      <c r="D7" s="326"/>
      <c r="E7" s="565"/>
      <c r="F7" s="566"/>
      <c r="G7" s="567"/>
      <c r="H7" s="399"/>
      <c r="J7" s="43"/>
    </row>
    <row r="8" spans="1:18" ht="16.5" customHeight="1">
      <c r="A8" s="322" t="s">
        <v>2676</v>
      </c>
      <c r="B8" s="439" t="s">
        <v>2682</v>
      </c>
      <c r="C8" s="353" t="s">
        <v>2766</v>
      </c>
      <c r="D8" s="343">
        <v>160000</v>
      </c>
      <c r="E8" s="562" t="s">
        <v>2683</v>
      </c>
      <c r="F8" s="563"/>
      <c r="G8" s="564"/>
      <c r="H8" s="398" t="s">
        <v>2680</v>
      </c>
      <c r="J8" s="43"/>
    </row>
    <row r="9" spans="1:18" ht="24" customHeight="1">
      <c r="A9" s="323"/>
      <c r="B9" s="440"/>
      <c r="C9" s="352"/>
      <c r="D9" s="344"/>
      <c r="E9" s="565"/>
      <c r="F9" s="566"/>
      <c r="G9" s="567"/>
      <c r="H9" s="399"/>
      <c r="J9" s="43"/>
    </row>
    <row r="10" spans="1:18" ht="16.5" customHeight="1">
      <c r="A10" s="322" t="s">
        <v>2676</v>
      </c>
      <c r="B10" s="444" t="s">
        <v>2690</v>
      </c>
      <c r="C10" s="324"/>
      <c r="D10" s="343">
        <v>270000</v>
      </c>
      <c r="E10" s="327" t="s">
        <v>2691</v>
      </c>
      <c r="F10" s="328"/>
      <c r="G10" s="329"/>
      <c r="H10" s="398" t="s">
        <v>2680</v>
      </c>
      <c r="J10" s="43"/>
    </row>
    <row r="11" spans="1:18" ht="30.75" customHeight="1">
      <c r="A11" s="323"/>
      <c r="B11" s="445"/>
      <c r="C11" s="325"/>
      <c r="D11" s="344"/>
      <c r="E11" s="330"/>
      <c r="F11" s="331"/>
      <c r="G11" s="332"/>
      <c r="H11" s="399"/>
      <c r="J11" s="43"/>
    </row>
    <row r="12" spans="1:18" ht="16.5" customHeight="1">
      <c r="A12" s="322" t="s">
        <v>2676</v>
      </c>
      <c r="B12" s="439" t="s">
        <v>2687</v>
      </c>
      <c r="C12" s="341"/>
      <c r="D12" s="326">
        <v>90000</v>
      </c>
      <c r="E12" s="327" t="s">
        <v>2688</v>
      </c>
      <c r="F12" s="328"/>
      <c r="G12" s="329"/>
      <c r="H12" s="398" t="s">
        <v>2680</v>
      </c>
      <c r="J12" s="43"/>
    </row>
    <row r="13" spans="1:18" ht="16.5" customHeight="1">
      <c r="A13" s="323"/>
      <c r="B13" s="440"/>
      <c r="C13" s="342"/>
      <c r="D13" s="326"/>
      <c r="E13" s="330"/>
      <c r="F13" s="331"/>
      <c r="G13" s="332"/>
      <c r="H13" s="399"/>
      <c r="J13" s="43"/>
    </row>
    <row r="14" spans="1:18" ht="16.5" customHeight="1">
      <c r="A14" s="322" t="s">
        <v>2677</v>
      </c>
      <c r="B14" s="439" t="s">
        <v>2693</v>
      </c>
      <c r="C14" s="341"/>
      <c r="D14" s="343">
        <v>400000</v>
      </c>
      <c r="E14" s="327" t="s">
        <v>2694</v>
      </c>
      <c r="F14" s="345"/>
      <c r="G14" s="346"/>
      <c r="H14" s="398" t="s">
        <v>2680</v>
      </c>
    </row>
    <row r="15" spans="1:18" ht="16.5" customHeight="1">
      <c r="A15" s="323"/>
      <c r="B15" s="440"/>
      <c r="C15" s="342"/>
      <c r="D15" s="344"/>
      <c r="E15" s="347"/>
      <c r="F15" s="348"/>
      <c r="G15" s="349"/>
      <c r="H15" s="399"/>
    </row>
    <row r="16" spans="1:18" ht="16.5" customHeight="1">
      <c r="A16" s="322" t="s">
        <v>2677</v>
      </c>
      <c r="B16" s="444" t="s">
        <v>2684</v>
      </c>
      <c r="C16" s="325"/>
      <c r="D16" s="326">
        <v>320000</v>
      </c>
      <c r="E16" s="562" t="s">
        <v>2683</v>
      </c>
      <c r="F16" s="582"/>
      <c r="G16" s="583"/>
      <c r="H16" s="398" t="s">
        <v>2681</v>
      </c>
    </row>
    <row r="17" spans="1:11" ht="16.5" customHeight="1">
      <c r="A17" s="323"/>
      <c r="B17" s="445"/>
      <c r="C17" s="325"/>
      <c r="D17" s="326"/>
      <c r="E17" s="584"/>
      <c r="F17" s="585"/>
      <c r="G17" s="586"/>
      <c r="H17" s="399"/>
    </row>
    <row r="18" spans="1:11" ht="16.5" customHeight="1">
      <c r="A18" s="322" t="s">
        <v>2677</v>
      </c>
      <c r="B18" s="439" t="s">
        <v>2695</v>
      </c>
      <c r="C18" s="324" t="s">
        <v>2776</v>
      </c>
      <c r="D18" s="326">
        <v>850000</v>
      </c>
      <c r="E18" s="710" t="s">
        <v>2683</v>
      </c>
      <c r="F18" s="582"/>
      <c r="G18" s="583"/>
      <c r="H18" s="398" t="s">
        <v>2681</v>
      </c>
    </row>
    <row r="19" spans="1:11" ht="22.5" customHeight="1">
      <c r="A19" s="323"/>
      <c r="B19" s="440"/>
      <c r="C19" s="325"/>
      <c r="D19" s="326"/>
      <c r="E19" s="584"/>
      <c r="F19" s="585"/>
      <c r="G19" s="586"/>
      <c r="H19" s="399"/>
      <c r="K19" s="24"/>
    </row>
    <row r="20" spans="1:11" ht="16.5" customHeight="1">
      <c r="A20" s="322" t="s">
        <v>2677</v>
      </c>
      <c r="B20" s="444" t="s">
        <v>2678</v>
      </c>
      <c r="C20" s="341"/>
      <c r="D20" s="326">
        <v>60000</v>
      </c>
      <c r="E20" s="364"/>
      <c r="F20" s="365"/>
      <c r="G20" s="366"/>
      <c r="H20" s="360" t="s">
        <v>2680</v>
      </c>
    </row>
    <row r="21" spans="1:11" ht="16.5" customHeight="1">
      <c r="A21" s="323"/>
      <c r="B21" s="445"/>
      <c r="C21" s="342"/>
      <c r="D21" s="326"/>
      <c r="E21" s="347"/>
      <c r="F21" s="348"/>
      <c r="G21" s="349"/>
      <c r="H21" s="359"/>
    </row>
    <row r="22" spans="1:11" ht="16.5" customHeight="1">
      <c r="A22" s="322" t="s">
        <v>2677</v>
      </c>
      <c r="B22" s="439" t="s">
        <v>2679</v>
      </c>
      <c r="C22" s="341"/>
      <c r="D22" s="326">
        <v>150000</v>
      </c>
      <c r="E22" s="327" t="s">
        <v>2696</v>
      </c>
      <c r="F22" s="345"/>
      <c r="G22" s="346"/>
      <c r="H22" s="360" t="s">
        <v>2681</v>
      </c>
    </row>
    <row r="23" spans="1:11" ht="51" customHeight="1">
      <c r="A23" s="323"/>
      <c r="B23" s="440"/>
      <c r="C23" s="342"/>
      <c r="D23" s="326"/>
      <c r="E23" s="347"/>
      <c r="F23" s="348"/>
      <c r="G23" s="349"/>
      <c r="H23" s="359"/>
    </row>
    <row r="24" spans="1:11" ht="16.5" customHeight="1">
      <c r="A24" s="322" t="s">
        <v>2677</v>
      </c>
      <c r="B24" s="444" t="s">
        <v>2777</v>
      </c>
      <c r="C24" s="341"/>
      <c r="D24" s="326">
        <v>1100000</v>
      </c>
      <c r="E24" s="337" t="s">
        <v>2743</v>
      </c>
      <c r="F24" s="326"/>
      <c r="G24" s="326"/>
      <c r="H24" s="360" t="s">
        <v>2681</v>
      </c>
      <c r="I24" s="4"/>
    </row>
    <row r="25" spans="1:11" ht="16.5" customHeight="1">
      <c r="A25" s="323"/>
      <c r="B25" s="445"/>
      <c r="C25" s="342"/>
      <c r="D25" s="326"/>
      <c r="E25" s="326"/>
      <c r="F25" s="326"/>
      <c r="G25" s="326"/>
      <c r="H25" s="359"/>
    </row>
    <row r="26" spans="1:11" ht="16.5" customHeight="1">
      <c r="A26" s="322"/>
      <c r="B26" s="658" t="s">
        <v>2748</v>
      </c>
      <c r="C26" s="659"/>
      <c r="D26" s="659"/>
      <c r="E26" s="659"/>
      <c r="F26" s="659"/>
      <c r="G26" s="659"/>
      <c r="H26" s="660"/>
    </row>
    <row r="27" spans="1:11" ht="39" customHeight="1">
      <c r="A27" s="323"/>
      <c r="B27" s="661"/>
      <c r="C27" s="662"/>
      <c r="D27" s="662"/>
      <c r="E27" s="662"/>
      <c r="F27" s="662"/>
      <c r="G27" s="662"/>
      <c r="H27" s="663"/>
    </row>
    <row r="28" spans="1:11" ht="16.5" customHeight="1">
      <c r="A28" s="322" t="s">
        <v>2699</v>
      </c>
      <c r="B28" s="444" t="s">
        <v>2700</v>
      </c>
      <c r="C28" s="341"/>
      <c r="D28" s="326">
        <v>348000</v>
      </c>
      <c r="E28" s="327" t="s">
        <v>2701</v>
      </c>
      <c r="F28" s="328"/>
      <c r="G28" s="329"/>
      <c r="H28" s="360" t="s">
        <v>2698</v>
      </c>
    </row>
    <row r="29" spans="1:11" ht="16.5" customHeight="1">
      <c r="A29" s="323"/>
      <c r="B29" s="445"/>
      <c r="C29" s="342"/>
      <c r="D29" s="326"/>
      <c r="E29" s="330"/>
      <c r="F29" s="331"/>
      <c r="G29" s="332"/>
      <c r="H29" s="359"/>
    </row>
    <row r="30" spans="1:11" ht="16.5" customHeight="1">
      <c r="A30" s="322" t="s">
        <v>2702</v>
      </c>
      <c r="B30" s="496" t="s">
        <v>2707</v>
      </c>
      <c r="C30" s="341" t="s">
        <v>2767</v>
      </c>
      <c r="D30" s="326">
        <v>770000</v>
      </c>
      <c r="E30" s="562" t="s">
        <v>2706</v>
      </c>
      <c r="F30" s="582"/>
      <c r="G30" s="583"/>
      <c r="H30" s="360" t="s">
        <v>2723</v>
      </c>
    </row>
    <row r="31" spans="1:11" ht="26.25" customHeight="1">
      <c r="A31" s="323"/>
      <c r="B31" s="497"/>
      <c r="C31" s="342"/>
      <c r="D31" s="326"/>
      <c r="E31" s="584"/>
      <c r="F31" s="585"/>
      <c r="G31" s="586"/>
      <c r="H31" s="359"/>
    </row>
    <row r="32" spans="1:11" ht="16.5" customHeight="1">
      <c r="A32" s="322" t="s">
        <v>2703</v>
      </c>
      <c r="B32" s="496"/>
      <c r="C32" s="341"/>
      <c r="D32" s="326">
        <v>106000</v>
      </c>
      <c r="E32" s="327" t="s">
        <v>2708</v>
      </c>
      <c r="F32" s="345"/>
      <c r="G32" s="346"/>
      <c r="H32" s="360" t="s">
        <v>2709</v>
      </c>
    </row>
    <row r="33" spans="1:10" ht="16.5" customHeight="1">
      <c r="A33" s="322"/>
      <c r="B33" s="496"/>
      <c r="C33" s="361"/>
      <c r="D33" s="326"/>
      <c r="E33" s="364"/>
      <c r="F33" s="365"/>
      <c r="G33" s="366"/>
      <c r="H33" s="360"/>
    </row>
    <row r="34" spans="1:10" ht="3.75" customHeight="1">
      <c r="A34" s="323"/>
      <c r="B34" s="497"/>
      <c r="C34" s="352"/>
      <c r="D34" s="326"/>
      <c r="E34" s="347"/>
      <c r="F34" s="348"/>
      <c r="G34" s="349"/>
      <c r="H34" s="359"/>
    </row>
    <row r="35" spans="1:10" ht="16.5" customHeight="1">
      <c r="A35" s="322" t="s">
        <v>2704</v>
      </c>
      <c r="B35" s="496" t="s">
        <v>2712</v>
      </c>
      <c r="C35" s="324" t="s">
        <v>2768</v>
      </c>
      <c r="D35" s="326">
        <v>890000</v>
      </c>
      <c r="E35" s="562" t="s">
        <v>2747</v>
      </c>
      <c r="F35" s="582"/>
      <c r="G35" s="583"/>
      <c r="H35" s="360" t="s">
        <v>2732</v>
      </c>
      <c r="J35" s="57"/>
    </row>
    <row r="36" spans="1:10" ht="16.5" customHeight="1">
      <c r="A36" s="323"/>
      <c r="B36" s="497"/>
      <c r="C36" s="325"/>
      <c r="D36" s="326"/>
      <c r="E36" s="584"/>
      <c r="F36" s="585"/>
      <c r="G36" s="586"/>
      <c r="H36" s="359"/>
      <c r="J36" s="57"/>
    </row>
    <row r="37" spans="1:10" ht="16.5" customHeight="1">
      <c r="A37" s="322" t="s">
        <v>2705</v>
      </c>
      <c r="B37" s="596" t="s">
        <v>2711</v>
      </c>
      <c r="C37" s="341" t="s">
        <v>2769</v>
      </c>
      <c r="D37" s="343">
        <v>240000</v>
      </c>
      <c r="E37" s="327"/>
      <c r="F37" s="345"/>
      <c r="G37" s="346"/>
      <c r="H37" s="400" t="s">
        <v>2717</v>
      </c>
    </row>
    <row r="38" spans="1:10" ht="16.5" customHeight="1">
      <c r="A38" s="323"/>
      <c r="B38" s="597"/>
      <c r="C38" s="342"/>
      <c r="D38" s="344"/>
      <c r="E38" s="347"/>
      <c r="F38" s="348"/>
      <c r="G38" s="349"/>
      <c r="H38" s="401"/>
    </row>
    <row r="39" spans="1:10" ht="16.5" customHeight="1">
      <c r="A39" s="322" t="s">
        <v>2713</v>
      </c>
      <c r="B39" s="596" t="s">
        <v>2716</v>
      </c>
      <c r="C39" s="324" t="s">
        <v>2768</v>
      </c>
      <c r="D39" s="343">
        <v>150000</v>
      </c>
      <c r="E39" s="327"/>
      <c r="F39" s="345"/>
      <c r="G39" s="346"/>
      <c r="H39" s="400" t="s">
        <v>2732</v>
      </c>
    </row>
    <row r="40" spans="1:10" ht="41.25" customHeight="1">
      <c r="A40" s="323"/>
      <c r="B40" s="597"/>
      <c r="C40" s="325"/>
      <c r="D40" s="344"/>
      <c r="E40" s="347"/>
      <c r="F40" s="348"/>
      <c r="G40" s="349"/>
      <c r="H40" s="401"/>
    </row>
    <row r="41" spans="1:10" ht="16.5" customHeight="1">
      <c r="A41" s="322" t="s">
        <v>2713</v>
      </c>
      <c r="B41" s="496" t="s">
        <v>2718</v>
      </c>
      <c r="C41" s="341" t="s">
        <v>2770</v>
      </c>
      <c r="D41" s="343">
        <v>240000</v>
      </c>
      <c r="E41" s="327" t="s">
        <v>2719</v>
      </c>
      <c r="F41" s="328"/>
      <c r="G41" s="329"/>
      <c r="H41" s="400" t="s">
        <v>2720</v>
      </c>
    </row>
    <row r="42" spans="1:10" ht="16.5" customHeight="1">
      <c r="A42" s="323"/>
      <c r="B42" s="497"/>
      <c r="C42" s="342"/>
      <c r="D42" s="344"/>
      <c r="E42" s="330"/>
      <c r="F42" s="331"/>
      <c r="G42" s="332"/>
      <c r="H42" s="401"/>
    </row>
    <row r="43" spans="1:10" ht="16.5" customHeight="1">
      <c r="A43" s="335" t="s">
        <v>2714</v>
      </c>
      <c r="B43" s="496" t="s">
        <v>2721</v>
      </c>
      <c r="C43" s="325" t="s">
        <v>2771</v>
      </c>
      <c r="D43" s="326">
        <v>300000</v>
      </c>
      <c r="E43" s="327" t="s">
        <v>2722</v>
      </c>
      <c r="F43" s="328"/>
      <c r="G43" s="329"/>
      <c r="H43" s="359" t="s">
        <v>2724</v>
      </c>
    </row>
    <row r="44" spans="1:10" ht="18.75" customHeight="1">
      <c r="A44" s="336"/>
      <c r="B44" s="497"/>
      <c r="C44" s="325"/>
      <c r="D44" s="326"/>
      <c r="E44" s="330"/>
      <c r="F44" s="331"/>
      <c r="G44" s="332"/>
      <c r="H44" s="359"/>
    </row>
    <row r="45" spans="1:10" ht="16.5" customHeight="1">
      <c r="A45" s="322" t="s">
        <v>2715</v>
      </c>
      <c r="B45" s="496" t="s">
        <v>2725</v>
      </c>
      <c r="C45" s="325"/>
      <c r="D45" s="326">
        <v>35000</v>
      </c>
      <c r="E45" s="327" t="s">
        <v>2729</v>
      </c>
      <c r="F45" s="328"/>
      <c r="G45" s="329"/>
      <c r="H45" s="359" t="s">
        <v>2726</v>
      </c>
    </row>
    <row r="46" spans="1:10" ht="24.75" customHeight="1">
      <c r="A46" s="323"/>
      <c r="B46" s="497"/>
      <c r="C46" s="325"/>
      <c r="D46" s="326"/>
      <c r="E46" s="330"/>
      <c r="F46" s="331"/>
      <c r="G46" s="332"/>
      <c r="H46" s="359"/>
    </row>
    <row r="47" spans="1:10" ht="16.5" customHeight="1">
      <c r="A47" s="322" t="s">
        <v>2715</v>
      </c>
      <c r="B47" s="496" t="s">
        <v>2725</v>
      </c>
      <c r="C47" s="325"/>
      <c r="D47" s="326">
        <v>16000</v>
      </c>
      <c r="E47" s="327" t="s">
        <v>2728</v>
      </c>
      <c r="F47" s="328"/>
      <c r="G47" s="329"/>
      <c r="H47" s="360" t="s">
        <v>2727</v>
      </c>
    </row>
    <row r="48" spans="1:10" ht="55.5" customHeight="1">
      <c r="A48" s="323"/>
      <c r="B48" s="497"/>
      <c r="C48" s="325"/>
      <c r="D48" s="326"/>
      <c r="E48" s="330"/>
      <c r="F48" s="331"/>
      <c r="G48" s="332"/>
      <c r="H48" s="359"/>
    </row>
    <row r="49" spans="1:8" ht="16.5" customHeight="1">
      <c r="A49" s="322" t="s">
        <v>2730</v>
      </c>
      <c r="B49" s="496" t="s">
        <v>2731</v>
      </c>
      <c r="C49" s="341" t="s">
        <v>2772</v>
      </c>
      <c r="D49" s="343">
        <v>320000</v>
      </c>
      <c r="E49" s="327"/>
      <c r="F49" s="345"/>
      <c r="G49" s="346"/>
      <c r="H49" s="360" t="s">
        <v>2733</v>
      </c>
    </row>
    <row r="50" spans="1:8" ht="16.5" customHeight="1">
      <c r="A50" s="323"/>
      <c r="B50" s="497"/>
      <c r="C50" s="352"/>
      <c r="D50" s="344"/>
      <c r="E50" s="347"/>
      <c r="F50" s="348"/>
      <c r="G50" s="349"/>
      <c r="H50" s="359"/>
    </row>
    <row r="51" spans="1:8" ht="16.5" customHeight="1">
      <c r="A51" s="322" t="s">
        <v>2730</v>
      </c>
      <c r="B51" s="496" t="s">
        <v>2735</v>
      </c>
      <c r="C51" s="324"/>
      <c r="D51" s="326">
        <v>900000</v>
      </c>
      <c r="E51" s="327" t="s">
        <v>2736</v>
      </c>
      <c r="F51" s="328"/>
      <c r="G51" s="329"/>
      <c r="H51" s="360" t="s">
        <v>2734</v>
      </c>
    </row>
    <row r="52" spans="1:8" ht="16.5" customHeight="1">
      <c r="A52" s="323"/>
      <c r="B52" s="497"/>
      <c r="C52" s="325"/>
      <c r="D52" s="326"/>
      <c r="E52" s="330"/>
      <c r="F52" s="331"/>
      <c r="G52" s="332"/>
      <c r="H52" s="359"/>
    </row>
    <row r="53" spans="1:8" ht="16.5" customHeight="1">
      <c r="A53" s="322" t="s">
        <v>2730</v>
      </c>
      <c r="B53" s="496" t="s">
        <v>2737</v>
      </c>
      <c r="C53" s="324" t="s">
        <v>2773</v>
      </c>
      <c r="D53" s="343">
        <v>90000</v>
      </c>
      <c r="E53" s="327" t="s">
        <v>2738</v>
      </c>
      <c r="F53" s="328"/>
      <c r="G53" s="329"/>
      <c r="H53" s="359" t="s">
        <v>2734</v>
      </c>
    </row>
    <row r="54" spans="1:8" ht="36.75" customHeight="1">
      <c r="A54" s="323"/>
      <c r="B54" s="497"/>
      <c r="C54" s="325"/>
      <c r="D54" s="344"/>
      <c r="E54" s="330"/>
      <c r="F54" s="331"/>
      <c r="G54" s="332"/>
      <c r="H54" s="359"/>
    </row>
    <row r="55" spans="1:8">
      <c r="A55" s="322" t="s">
        <v>2739</v>
      </c>
      <c r="B55" s="498" t="s">
        <v>2749</v>
      </c>
      <c r="C55" s="324" t="s">
        <v>2774</v>
      </c>
      <c r="D55" s="343">
        <v>540000</v>
      </c>
      <c r="E55" s="574" t="s">
        <v>2741</v>
      </c>
      <c r="F55" s="575"/>
      <c r="G55" s="575"/>
      <c r="H55" s="359" t="s">
        <v>2746</v>
      </c>
    </row>
    <row r="56" spans="1:8" ht="32.25" customHeight="1">
      <c r="A56" s="323"/>
      <c r="B56" s="499"/>
      <c r="C56" s="325"/>
      <c r="D56" s="344"/>
      <c r="E56" s="575"/>
      <c r="F56" s="575"/>
      <c r="G56" s="575"/>
      <c r="H56" s="359"/>
    </row>
    <row r="57" spans="1:8">
      <c r="A57" s="322" t="s">
        <v>2740</v>
      </c>
      <c r="B57" s="498" t="s">
        <v>2750</v>
      </c>
      <c r="C57" s="324" t="s">
        <v>2775</v>
      </c>
      <c r="D57" s="343">
        <v>960000</v>
      </c>
      <c r="E57" s="574" t="s">
        <v>2742</v>
      </c>
      <c r="F57" s="575"/>
      <c r="G57" s="575"/>
      <c r="H57" s="359" t="s">
        <v>2746</v>
      </c>
    </row>
    <row r="58" spans="1:8">
      <c r="A58" s="323"/>
      <c r="B58" s="499"/>
      <c r="C58" s="325"/>
      <c r="D58" s="344"/>
      <c r="E58" s="575"/>
      <c r="F58" s="575"/>
      <c r="G58" s="575"/>
      <c r="H58" s="359"/>
    </row>
    <row r="59" spans="1:8">
      <c r="A59" s="322" t="s">
        <v>2740</v>
      </c>
      <c r="B59" s="498" t="s">
        <v>2751</v>
      </c>
      <c r="C59" s="324" t="s">
        <v>2776</v>
      </c>
      <c r="D59" s="343">
        <v>180000</v>
      </c>
      <c r="E59" s="337" t="s">
        <v>2752</v>
      </c>
      <c r="F59" s="326"/>
      <c r="G59" s="326"/>
      <c r="H59" s="359" t="s">
        <v>2746</v>
      </c>
    </row>
    <row r="60" spans="1:8">
      <c r="A60" s="323"/>
      <c r="B60" s="499"/>
      <c r="C60" s="325"/>
      <c r="D60" s="344"/>
      <c r="E60" s="326"/>
      <c r="F60" s="326"/>
      <c r="G60" s="326"/>
      <c r="H60" s="359"/>
    </row>
    <row r="61" spans="1:8">
      <c r="A61" s="322"/>
      <c r="B61" s="523" t="s">
        <v>2805</v>
      </c>
      <c r="C61" s="524"/>
      <c r="D61" s="524"/>
      <c r="E61" s="524"/>
      <c r="F61" s="524"/>
      <c r="G61" s="524"/>
      <c r="H61" s="525"/>
    </row>
    <row r="62" spans="1:8" ht="43.5" customHeight="1">
      <c r="A62" s="323"/>
      <c r="B62" s="526"/>
      <c r="C62" s="527"/>
      <c r="D62" s="527"/>
      <c r="E62" s="527"/>
      <c r="F62" s="527"/>
      <c r="G62" s="527"/>
      <c r="H62" s="528"/>
    </row>
    <row r="63" spans="1:8">
      <c r="A63" s="322" t="s">
        <v>2754</v>
      </c>
      <c r="B63" s="498" t="s">
        <v>2755</v>
      </c>
      <c r="C63" s="324" t="s">
        <v>2762</v>
      </c>
      <c r="D63" s="326">
        <v>1050000</v>
      </c>
      <c r="E63" s="574" t="s">
        <v>2757</v>
      </c>
      <c r="F63" s="575"/>
      <c r="G63" s="575"/>
      <c r="H63" s="359" t="s">
        <v>2756</v>
      </c>
    </row>
    <row r="64" spans="1:8" ht="15.75" customHeight="1">
      <c r="A64" s="323"/>
      <c r="B64" s="499"/>
      <c r="C64" s="325"/>
      <c r="D64" s="326"/>
      <c r="E64" s="575"/>
      <c r="F64" s="575"/>
      <c r="G64" s="575"/>
      <c r="H64" s="359"/>
    </row>
    <row r="65" spans="1:8" ht="80.25" customHeight="1">
      <c r="A65" s="54" t="s">
        <v>2758</v>
      </c>
      <c r="B65" s="64" t="s">
        <v>2759</v>
      </c>
      <c r="C65" s="67" t="s">
        <v>2763</v>
      </c>
      <c r="D65" s="68">
        <v>210000</v>
      </c>
      <c r="E65" s="650" t="s">
        <v>2761</v>
      </c>
      <c r="F65" s="628"/>
      <c r="G65" s="629"/>
      <c r="H65" s="69" t="s">
        <v>2760</v>
      </c>
    </row>
    <row r="66" spans="1:8">
      <c r="A66" s="322" t="s">
        <v>2778</v>
      </c>
      <c r="B66" s="324" t="s">
        <v>2780</v>
      </c>
      <c r="C66" s="325"/>
      <c r="D66" s="326">
        <v>210000</v>
      </c>
      <c r="E66" s="337" t="s">
        <v>2782</v>
      </c>
      <c r="F66" s="326"/>
      <c r="G66" s="326"/>
      <c r="H66" s="359" t="s">
        <v>2781</v>
      </c>
    </row>
    <row r="67" spans="1:8">
      <c r="A67" s="323"/>
      <c r="B67" s="325"/>
      <c r="C67" s="325"/>
      <c r="D67" s="326"/>
      <c r="E67" s="326"/>
      <c r="F67" s="326"/>
      <c r="G67" s="326"/>
      <c r="H67" s="359"/>
    </row>
    <row r="68" spans="1:8" ht="16.5" customHeight="1">
      <c r="A68" s="322" t="s">
        <v>2779</v>
      </c>
      <c r="B68" s="324"/>
      <c r="C68" s="324"/>
      <c r="D68" s="326">
        <v>350000</v>
      </c>
      <c r="E68" s="337" t="s">
        <v>2783</v>
      </c>
      <c r="F68" s="326"/>
      <c r="G68" s="326"/>
      <c r="H68" s="360" t="s">
        <v>2784</v>
      </c>
    </row>
    <row r="69" spans="1:8">
      <c r="A69" s="323"/>
      <c r="B69" s="325"/>
      <c r="C69" s="325"/>
      <c r="D69" s="326"/>
      <c r="E69" s="326"/>
      <c r="F69" s="326"/>
      <c r="G69" s="326"/>
      <c r="H69" s="359"/>
    </row>
    <row r="70" spans="1:8">
      <c r="A70" s="322" t="s">
        <v>2785</v>
      </c>
      <c r="B70" s="324" t="s">
        <v>2786</v>
      </c>
      <c r="C70" s="325"/>
      <c r="D70" s="326">
        <v>17000</v>
      </c>
      <c r="E70" s="337"/>
      <c r="F70" s="326"/>
      <c r="G70" s="326"/>
      <c r="H70" s="359" t="s">
        <v>2787</v>
      </c>
    </row>
    <row r="71" spans="1:8">
      <c r="A71" s="323"/>
      <c r="B71" s="325"/>
      <c r="C71" s="325"/>
      <c r="D71" s="326"/>
      <c r="E71" s="326"/>
      <c r="F71" s="326"/>
      <c r="G71" s="326"/>
      <c r="H71" s="359"/>
    </row>
    <row r="72" spans="1:8">
      <c r="A72" s="322" t="s">
        <v>2788</v>
      </c>
      <c r="B72" s="324" t="s">
        <v>2793</v>
      </c>
      <c r="C72" s="324"/>
      <c r="D72" s="326">
        <v>1000000</v>
      </c>
      <c r="E72" s="337"/>
      <c r="F72" s="326"/>
      <c r="G72" s="326"/>
      <c r="H72" s="360" t="s">
        <v>2796</v>
      </c>
    </row>
    <row r="73" spans="1:8">
      <c r="A73" s="323"/>
      <c r="B73" s="325"/>
      <c r="C73" s="325"/>
      <c r="D73" s="326"/>
      <c r="E73" s="326"/>
      <c r="F73" s="326"/>
      <c r="G73" s="326"/>
      <c r="H73" s="359"/>
    </row>
    <row r="74" spans="1:8">
      <c r="A74" s="322" t="s">
        <v>2788</v>
      </c>
      <c r="B74" s="324" t="s">
        <v>2794</v>
      </c>
      <c r="C74" s="325"/>
      <c r="D74" s="326">
        <v>240000</v>
      </c>
      <c r="E74" s="337"/>
      <c r="F74" s="326"/>
      <c r="G74" s="326"/>
      <c r="H74" s="359" t="s">
        <v>2795</v>
      </c>
    </row>
    <row r="75" spans="1:8">
      <c r="A75" s="323"/>
      <c r="B75" s="325"/>
      <c r="C75" s="325"/>
      <c r="D75" s="326"/>
      <c r="E75" s="326"/>
      <c r="F75" s="326"/>
      <c r="G75" s="326"/>
      <c r="H75" s="359"/>
    </row>
    <row r="76" spans="1:8">
      <c r="A76" s="323" t="s">
        <v>2790</v>
      </c>
      <c r="B76" s="324" t="s">
        <v>2791</v>
      </c>
      <c r="C76" s="325"/>
      <c r="D76" s="326">
        <v>950000</v>
      </c>
      <c r="E76" s="337" t="s">
        <v>2792</v>
      </c>
      <c r="F76" s="326"/>
      <c r="G76" s="326"/>
      <c r="H76" s="359" t="s">
        <v>2797</v>
      </c>
    </row>
    <row r="77" spans="1:8">
      <c r="A77" s="323"/>
      <c r="B77" s="325"/>
      <c r="C77" s="325"/>
      <c r="D77" s="326"/>
      <c r="E77" s="326"/>
      <c r="F77" s="326"/>
      <c r="G77" s="326"/>
      <c r="H77" s="359"/>
    </row>
    <row r="78" spans="1:8" ht="16.5" customHeight="1">
      <c r="A78" s="322" t="s">
        <v>2798</v>
      </c>
      <c r="B78" s="324" t="s">
        <v>2802</v>
      </c>
      <c r="C78" s="325"/>
      <c r="D78" s="326">
        <v>2000000</v>
      </c>
      <c r="E78" s="574" t="s">
        <v>2799</v>
      </c>
      <c r="F78" s="575"/>
      <c r="G78" s="575"/>
      <c r="H78" s="359" t="s">
        <v>2803</v>
      </c>
    </row>
    <row r="79" spans="1:8">
      <c r="A79" s="323"/>
      <c r="B79" s="325"/>
      <c r="C79" s="325"/>
      <c r="D79" s="326"/>
      <c r="E79" s="575"/>
      <c r="F79" s="575"/>
      <c r="G79" s="575"/>
      <c r="H79" s="359"/>
    </row>
    <row r="80" spans="1:8">
      <c r="A80" s="322" t="s">
        <v>2798</v>
      </c>
      <c r="B80" s="324" t="s">
        <v>2801</v>
      </c>
      <c r="C80" s="325"/>
      <c r="D80" s="326">
        <v>1210000</v>
      </c>
      <c r="E80" s="574" t="s">
        <v>2800</v>
      </c>
      <c r="F80" s="575"/>
      <c r="G80" s="575"/>
      <c r="H80" s="359" t="s">
        <v>2804</v>
      </c>
    </row>
    <row r="81" spans="1:8">
      <c r="A81" s="323"/>
      <c r="B81" s="325"/>
      <c r="C81" s="325"/>
      <c r="D81" s="326"/>
      <c r="E81" s="575"/>
      <c r="F81" s="575"/>
      <c r="G81" s="575"/>
      <c r="H81" s="359"/>
    </row>
    <row r="82" spans="1:8">
      <c r="A82" s="322"/>
      <c r="B82" s="711" t="s">
        <v>2833</v>
      </c>
      <c r="C82" s="696"/>
      <c r="D82" s="696"/>
      <c r="E82" s="696"/>
      <c r="F82" s="696"/>
      <c r="G82" s="696"/>
      <c r="H82" s="697"/>
    </row>
    <row r="83" spans="1:8" s="30" customFormat="1" ht="48.75" customHeight="1">
      <c r="A83" s="323"/>
      <c r="B83" s="698"/>
      <c r="C83" s="699"/>
      <c r="D83" s="699"/>
      <c r="E83" s="699"/>
      <c r="F83" s="699"/>
      <c r="G83" s="699"/>
      <c r="H83" s="700"/>
    </row>
    <row r="84" spans="1:8">
      <c r="A84" s="322" t="s">
        <v>2806</v>
      </c>
      <c r="B84" s="325" t="s">
        <v>2808</v>
      </c>
      <c r="C84" s="325"/>
      <c r="D84" s="326">
        <v>205000</v>
      </c>
      <c r="E84" s="337" t="s">
        <v>2812</v>
      </c>
      <c r="F84" s="326"/>
      <c r="G84" s="326"/>
      <c r="H84" s="359" t="s">
        <v>146</v>
      </c>
    </row>
    <row r="85" spans="1:8" ht="30.75" customHeight="1">
      <c r="A85" s="323"/>
      <c r="B85" s="325"/>
      <c r="C85" s="325"/>
      <c r="D85" s="326"/>
      <c r="E85" s="326"/>
      <c r="F85" s="326"/>
      <c r="G85" s="326"/>
      <c r="H85" s="359"/>
    </row>
    <row r="86" spans="1:8">
      <c r="A86" s="322" t="s">
        <v>2806</v>
      </c>
      <c r="B86" s="324" t="s">
        <v>2809</v>
      </c>
      <c r="C86" s="325"/>
      <c r="D86" s="326">
        <v>140000</v>
      </c>
      <c r="E86" s="337" t="s">
        <v>2813</v>
      </c>
      <c r="F86" s="326"/>
      <c r="G86" s="326"/>
      <c r="H86" s="359" t="s">
        <v>2803</v>
      </c>
    </row>
    <row r="87" spans="1:8">
      <c r="A87" s="323"/>
      <c r="B87" s="325"/>
      <c r="C87" s="325"/>
      <c r="D87" s="326"/>
      <c r="E87" s="326"/>
      <c r="F87" s="326"/>
      <c r="G87" s="326"/>
      <c r="H87" s="359"/>
    </row>
    <row r="88" spans="1:8">
      <c r="A88" s="322" t="s">
        <v>2806</v>
      </c>
      <c r="B88" s="324" t="s">
        <v>2811</v>
      </c>
      <c r="C88" s="325"/>
      <c r="D88" s="326">
        <v>170000</v>
      </c>
      <c r="E88" s="337" t="s">
        <v>2818</v>
      </c>
      <c r="F88" s="326"/>
      <c r="G88" s="326"/>
      <c r="H88" s="359" t="s">
        <v>2816</v>
      </c>
    </row>
    <row r="89" spans="1:8" s="30" customFormat="1">
      <c r="A89" s="323"/>
      <c r="B89" s="325"/>
      <c r="C89" s="325"/>
      <c r="D89" s="326"/>
      <c r="E89" s="326"/>
      <c r="F89" s="326"/>
      <c r="G89" s="326"/>
      <c r="H89" s="359"/>
    </row>
    <row r="90" spans="1:8">
      <c r="A90" s="323" t="s">
        <v>2810</v>
      </c>
      <c r="B90" s="324" t="s">
        <v>2807</v>
      </c>
      <c r="C90" s="325"/>
      <c r="D90" s="326">
        <v>810000</v>
      </c>
      <c r="E90" s="574" t="s">
        <v>2814</v>
      </c>
      <c r="F90" s="575"/>
      <c r="G90" s="575"/>
      <c r="H90" s="400" t="s">
        <v>145</v>
      </c>
    </row>
    <row r="91" spans="1:8">
      <c r="A91" s="323"/>
      <c r="B91" s="325"/>
      <c r="C91" s="325"/>
      <c r="D91" s="326"/>
      <c r="E91" s="575"/>
      <c r="F91" s="575"/>
      <c r="G91" s="575"/>
      <c r="H91" s="401"/>
    </row>
    <row r="92" spans="1:8">
      <c r="A92" s="322" t="s">
        <v>2815</v>
      </c>
      <c r="B92" s="324" t="s">
        <v>2817</v>
      </c>
      <c r="C92" s="325"/>
      <c r="D92" s="326">
        <v>900000</v>
      </c>
      <c r="E92" s="574" t="s">
        <v>2826</v>
      </c>
      <c r="F92" s="575"/>
      <c r="G92" s="575"/>
      <c r="H92" s="359" t="s">
        <v>2821</v>
      </c>
    </row>
    <row r="93" spans="1:8" ht="27.75" customHeight="1">
      <c r="A93" s="323"/>
      <c r="B93" s="325"/>
      <c r="C93" s="325"/>
      <c r="D93" s="326"/>
      <c r="E93" s="575"/>
      <c r="F93" s="575"/>
      <c r="G93" s="575"/>
      <c r="H93" s="359"/>
    </row>
    <row r="94" spans="1:8">
      <c r="A94" s="322" t="s">
        <v>2819</v>
      </c>
      <c r="B94" s="324" t="s">
        <v>2820</v>
      </c>
      <c r="C94" s="325"/>
      <c r="D94" s="326">
        <v>2230000</v>
      </c>
      <c r="E94" s="575" t="s">
        <v>2827</v>
      </c>
      <c r="F94" s="575"/>
      <c r="G94" s="575"/>
      <c r="H94" s="359" t="s">
        <v>2821</v>
      </c>
    </row>
    <row r="95" spans="1:8">
      <c r="A95" s="323"/>
      <c r="B95" s="325"/>
      <c r="C95" s="325"/>
      <c r="D95" s="326"/>
      <c r="E95" s="575"/>
      <c r="F95" s="575"/>
      <c r="G95" s="575"/>
      <c r="H95" s="359"/>
    </row>
    <row r="96" spans="1:8">
      <c r="A96" s="322" t="s">
        <v>2822</v>
      </c>
      <c r="B96" s="324" t="s">
        <v>2823</v>
      </c>
      <c r="C96" s="325"/>
      <c r="D96" s="326">
        <v>50000</v>
      </c>
      <c r="E96" s="337"/>
      <c r="F96" s="326"/>
      <c r="G96" s="326"/>
      <c r="H96" s="360" t="s">
        <v>2824</v>
      </c>
    </row>
    <row r="97" spans="1:8" s="30" customFormat="1">
      <c r="A97" s="323"/>
      <c r="B97" s="325"/>
      <c r="C97" s="325"/>
      <c r="D97" s="326"/>
      <c r="E97" s="326"/>
      <c r="F97" s="326"/>
      <c r="G97" s="326"/>
      <c r="H97" s="359"/>
    </row>
    <row r="98" spans="1:8">
      <c r="A98" s="323" t="s">
        <v>2825</v>
      </c>
      <c r="B98" s="325" t="s">
        <v>2828</v>
      </c>
      <c r="C98" s="325"/>
      <c r="D98" s="326">
        <v>323400</v>
      </c>
      <c r="E98" s="337"/>
      <c r="F98" s="326"/>
      <c r="G98" s="326"/>
      <c r="H98" s="360" t="s">
        <v>145</v>
      </c>
    </row>
    <row r="99" spans="1:8">
      <c r="A99" s="323"/>
      <c r="B99" s="325"/>
      <c r="C99" s="325"/>
      <c r="D99" s="326"/>
      <c r="E99" s="326"/>
      <c r="F99" s="326"/>
      <c r="G99" s="326"/>
      <c r="H99" s="359"/>
    </row>
    <row r="100" spans="1:8">
      <c r="A100" s="322" t="s">
        <v>299</v>
      </c>
      <c r="B100" s="324"/>
      <c r="C100" s="325"/>
      <c r="D100" s="326">
        <v>1830000</v>
      </c>
      <c r="E100" s="574" t="s">
        <v>2831</v>
      </c>
      <c r="F100" s="575"/>
      <c r="G100" s="575"/>
      <c r="H100" s="360" t="s">
        <v>2829</v>
      </c>
    </row>
    <row r="101" spans="1:8">
      <c r="A101" s="323"/>
      <c r="B101" s="325"/>
      <c r="C101" s="325"/>
      <c r="D101" s="326"/>
      <c r="E101" s="575"/>
      <c r="F101" s="575"/>
      <c r="G101" s="575"/>
      <c r="H101" s="359"/>
    </row>
    <row r="102" spans="1:8">
      <c r="A102" s="322" t="s">
        <v>2830</v>
      </c>
      <c r="B102" s="324"/>
      <c r="C102" s="325"/>
      <c r="D102" s="326">
        <v>400000</v>
      </c>
      <c r="E102" s="574" t="s">
        <v>2831</v>
      </c>
      <c r="F102" s="575"/>
      <c r="G102" s="575"/>
      <c r="H102" s="360" t="s">
        <v>2832</v>
      </c>
    </row>
    <row r="103" spans="1:8" s="30" customFormat="1">
      <c r="A103" s="323"/>
      <c r="B103" s="325"/>
      <c r="C103" s="325"/>
      <c r="D103" s="326"/>
      <c r="E103" s="575"/>
      <c r="F103" s="575"/>
      <c r="G103" s="575"/>
      <c r="H103" s="359"/>
    </row>
    <row r="104" spans="1:8">
      <c r="A104" s="323"/>
      <c r="B104" s="644" t="s">
        <v>2923</v>
      </c>
      <c r="C104" s="645"/>
      <c r="D104" s="645"/>
      <c r="E104" s="645"/>
      <c r="F104" s="645"/>
      <c r="G104" s="645"/>
      <c r="H104" s="646"/>
    </row>
    <row r="105" spans="1:8" ht="35.25" customHeight="1">
      <c r="A105" s="323"/>
      <c r="B105" s="647"/>
      <c r="C105" s="648"/>
      <c r="D105" s="648"/>
      <c r="E105" s="648"/>
      <c r="F105" s="648"/>
      <c r="G105" s="648"/>
      <c r="H105" s="649"/>
    </row>
    <row r="106" spans="1:8">
      <c r="A106" s="323" t="s">
        <v>2834</v>
      </c>
      <c r="B106" s="325" t="s">
        <v>2835</v>
      </c>
      <c r="C106" s="325"/>
      <c r="D106" s="326">
        <v>40000</v>
      </c>
      <c r="E106" s="326" t="s">
        <v>2837</v>
      </c>
      <c r="F106" s="326"/>
      <c r="G106" s="326"/>
      <c r="H106" s="360" t="s">
        <v>2836</v>
      </c>
    </row>
    <row r="107" spans="1:8">
      <c r="A107" s="323"/>
      <c r="B107" s="325"/>
      <c r="C107" s="325"/>
      <c r="D107" s="326"/>
      <c r="E107" s="326"/>
      <c r="F107" s="326"/>
      <c r="G107" s="326"/>
      <c r="H107" s="359"/>
    </row>
    <row r="108" spans="1:8">
      <c r="A108" s="322" t="s">
        <v>2838</v>
      </c>
      <c r="B108" s="325" t="s">
        <v>2840</v>
      </c>
      <c r="C108" s="325"/>
      <c r="D108" s="326">
        <v>1540000</v>
      </c>
      <c r="E108" s="574" t="s">
        <v>2856</v>
      </c>
      <c r="F108" s="575"/>
      <c r="G108" s="575"/>
      <c r="H108" s="360" t="s">
        <v>2847</v>
      </c>
    </row>
    <row r="109" spans="1:8" s="30" customFormat="1">
      <c r="A109" s="323"/>
      <c r="B109" s="325"/>
      <c r="C109" s="325"/>
      <c r="D109" s="326"/>
      <c r="E109" s="575"/>
      <c r="F109" s="575"/>
      <c r="G109" s="575"/>
      <c r="H109" s="359"/>
    </row>
    <row r="110" spans="1:8">
      <c r="A110" s="322" t="s">
        <v>2838</v>
      </c>
      <c r="B110" s="325" t="s">
        <v>2845</v>
      </c>
      <c r="C110" s="325"/>
      <c r="D110" s="326">
        <v>650000</v>
      </c>
      <c r="E110" s="337"/>
      <c r="F110" s="326"/>
      <c r="G110" s="326"/>
      <c r="H110" s="338" t="s">
        <v>2846</v>
      </c>
    </row>
    <row r="111" spans="1:8">
      <c r="A111" s="323"/>
      <c r="B111" s="325"/>
      <c r="C111" s="325"/>
      <c r="D111" s="326"/>
      <c r="E111" s="326"/>
      <c r="F111" s="326"/>
      <c r="G111" s="326"/>
      <c r="H111" s="333"/>
    </row>
    <row r="112" spans="1:8">
      <c r="A112" s="322" t="s">
        <v>2838</v>
      </c>
      <c r="B112" s="324" t="s">
        <v>2839</v>
      </c>
      <c r="C112" s="325"/>
      <c r="D112" s="326">
        <v>150000</v>
      </c>
      <c r="E112" s="337"/>
      <c r="F112" s="326"/>
      <c r="G112" s="326"/>
      <c r="H112" s="360" t="s">
        <v>2844</v>
      </c>
    </row>
    <row r="113" spans="1:8">
      <c r="A113" s="323"/>
      <c r="B113" s="325"/>
      <c r="C113" s="325"/>
      <c r="D113" s="326"/>
      <c r="E113" s="326"/>
      <c r="F113" s="326"/>
      <c r="G113" s="326"/>
      <c r="H113" s="359"/>
    </row>
    <row r="114" spans="1:8" ht="16.5" customHeight="1">
      <c r="A114" s="322" t="s">
        <v>2841</v>
      </c>
      <c r="B114" s="324" t="s">
        <v>2842</v>
      </c>
      <c r="C114" s="324"/>
      <c r="D114" s="326">
        <v>410000</v>
      </c>
      <c r="E114" s="327" t="s">
        <v>2866</v>
      </c>
      <c r="F114" s="328"/>
      <c r="G114" s="329"/>
      <c r="H114" s="360" t="s">
        <v>2843</v>
      </c>
    </row>
    <row r="115" spans="1:8" ht="46.5" customHeight="1">
      <c r="A115" s="323"/>
      <c r="B115" s="325"/>
      <c r="C115" s="325"/>
      <c r="D115" s="326"/>
      <c r="E115" s="330"/>
      <c r="F115" s="331"/>
      <c r="G115" s="332"/>
      <c r="H115" s="359"/>
    </row>
    <row r="116" spans="1:8" ht="16.5" customHeight="1">
      <c r="A116" s="322" t="s">
        <v>2841</v>
      </c>
      <c r="B116" s="324" t="s">
        <v>2848</v>
      </c>
      <c r="C116" s="325"/>
      <c r="D116" s="326">
        <v>300000</v>
      </c>
      <c r="E116" s="575" t="s">
        <v>2849</v>
      </c>
      <c r="F116" s="575"/>
      <c r="G116" s="575"/>
      <c r="H116" s="400" t="s">
        <v>145</v>
      </c>
    </row>
    <row r="117" spans="1:8" ht="16.5" customHeight="1">
      <c r="A117" s="323"/>
      <c r="B117" s="325"/>
      <c r="C117" s="325"/>
      <c r="D117" s="326"/>
      <c r="E117" s="575"/>
      <c r="F117" s="575"/>
      <c r="G117" s="575"/>
      <c r="H117" s="401"/>
    </row>
    <row r="118" spans="1:8" ht="16.5" customHeight="1">
      <c r="A118" s="322" t="s">
        <v>2841</v>
      </c>
      <c r="B118" s="324" t="s">
        <v>2850</v>
      </c>
      <c r="C118" s="325"/>
      <c r="D118" s="326">
        <v>235000</v>
      </c>
      <c r="E118" s="337" t="s">
        <v>2867</v>
      </c>
      <c r="F118" s="326"/>
      <c r="G118" s="326"/>
      <c r="H118" s="400" t="s">
        <v>2851</v>
      </c>
    </row>
    <row r="119" spans="1:8" ht="16.5" customHeight="1">
      <c r="A119" s="323"/>
      <c r="B119" s="325"/>
      <c r="C119" s="325"/>
      <c r="D119" s="326"/>
      <c r="E119" s="326"/>
      <c r="F119" s="326"/>
      <c r="G119" s="326"/>
      <c r="H119" s="401"/>
    </row>
    <row r="120" spans="1:8" ht="16.5" customHeight="1">
      <c r="A120" s="336" t="s">
        <v>2852</v>
      </c>
      <c r="B120" s="324" t="s">
        <v>2853</v>
      </c>
      <c r="C120" s="324"/>
      <c r="D120" s="326">
        <v>200000</v>
      </c>
      <c r="E120" s="327" t="s">
        <v>2868</v>
      </c>
      <c r="F120" s="328"/>
      <c r="G120" s="329"/>
      <c r="H120" s="400" t="s">
        <v>145</v>
      </c>
    </row>
    <row r="121" spans="1:8" ht="16.5" customHeight="1">
      <c r="A121" s="323"/>
      <c r="B121" s="325"/>
      <c r="C121" s="325"/>
      <c r="D121" s="326"/>
      <c r="E121" s="330"/>
      <c r="F121" s="331"/>
      <c r="G121" s="332"/>
      <c r="H121" s="401"/>
    </row>
    <row r="122" spans="1:8" ht="16.5" customHeight="1">
      <c r="A122" s="322" t="s">
        <v>2854</v>
      </c>
      <c r="B122" s="324" t="s">
        <v>2863</v>
      </c>
      <c r="C122" s="325"/>
      <c r="D122" s="326">
        <v>650000</v>
      </c>
      <c r="E122" s="562" t="s">
        <v>2862</v>
      </c>
      <c r="F122" s="582"/>
      <c r="G122" s="583"/>
      <c r="H122" s="400" t="s">
        <v>145</v>
      </c>
    </row>
    <row r="123" spans="1:8" ht="16.5" customHeight="1">
      <c r="A123" s="323"/>
      <c r="B123" s="325"/>
      <c r="C123" s="325"/>
      <c r="D123" s="326"/>
      <c r="E123" s="584"/>
      <c r="F123" s="585"/>
      <c r="G123" s="586"/>
      <c r="H123" s="401"/>
    </row>
    <row r="124" spans="1:8" ht="16.5" customHeight="1">
      <c r="A124" s="322" t="s">
        <v>2854</v>
      </c>
      <c r="B124" s="324" t="s">
        <v>2864</v>
      </c>
      <c r="C124" s="324"/>
      <c r="D124" s="326">
        <v>260000</v>
      </c>
      <c r="E124" s="327" t="s">
        <v>2865</v>
      </c>
      <c r="F124" s="328"/>
      <c r="G124" s="329"/>
      <c r="H124" s="400" t="s">
        <v>2855</v>
      </c>
    </row>
    <row r="125" spans="1:8" ht="16.5" customHeight="1">
      <c r="A125" s="323"/>
      <c r="B125" s="325"/>
      <c r="C125" s="325"/>
      <c r="D125" s="326"/>
      <c r="E125" s="330"/>
      <c r="F125" s="331"/>
      <c r="G125" s="332"/>
      <c r="H125" s="401"/>
    </row>
    <row r="126" spans="1:8" ht="16.5" customHeight="1">
      <c r="A126" s="322" t="s">
        <v>2857</v>
      </c>
      <c r="B126" s="324" t="s">
        <v>2858</v>
      </c>
      <c r="C126" s="325"/>
      <c r="D126" s="326">
        <v>35000</v>
      </c>
      <c r="E126" s="327" t="s">
        <v>2859</v>
      </c>
      <c r="F126" s="328"/>
      <c r="G126" s="329"/>
      <c r="H126" s="359" t="s">
        <v>2860</v>
      </c>
    </row>
    <row r="127" spans="1:8" ht="16.5" customHeight="1">
      <c r="A127" s="323"/>
      <c r="B127" s="325"/>
      <c r="C127" s="325"/>
      <c r="D127" s="326"/>
      <c r="E127" s="330"/>
      <c r="F127" s="331"/>
      <c r="G127" s="332"/>
      <c r="H127" s="359"/>
    </row>
    <row r="128" spans="1:8" ht="16.5" customHeight="1">
      <c r="A128" s="322" t="s">
        <v>2861</v>
      </c>
      <c r="B128" s="324"/>
      <c r="C128" s="325"/>
      <c r="D128" s="326">
        <v>530000</v>
      </c>
      <c r="E128" s="327" t="s">
        <v>2870</v>
      </c>
      <c r="F128" s="328"/>
      <c r="G128" s="329"/>
      <c r="H128" s="359" t="s">
        <v>2871</v>
      </c>
    </row>
    <row r="129" spans="1:11" ht="17.25" customHeight="1">
      <c r="A129" s="323"/>
      <c r="B129" s="325"/>
      <c r="C129" s="325"/>
      <c r="D129" s="326"/>
      <c r="E129" s="330"/>
      <c r="F129" s="331"/>
      <c r="G129" s="332"/>
      <c r="H129" s="359"/>
    </row>
    <row r="130" spans="1:11" ht="16.5" customHeight="1">
      <c r="A130" s="322" t="s">
        <v>2861</v>
      </c>
      <c r="B130" s="324"/>
      <c r="C130" s="325"/>
      <c r="D130" s="326">
        <v>145000</v>
      </c>
      <c r="E130" s="562" t="s">
        <v>2869</v>
      </c>
      <c r="F130" s="582"/>
      <c r="G130" s="583"/>
      <c r="H130" s="359" t="s">
        <v>2871</v>
      </c>
    </row>
    <row r="131" spans="1:11" ht="16.5" customHeight="1">
      <c r="A131" s="323"/>
      <c r="B131" s="325"/>
      <c r="C131" s="325"/>
      <c r="D131" s="326"/>
      <c r="E131" s="584"/>
      <c r="F131" s="585"/>
      <c r="G131" s="586"/>
      <c r="H131" s="359"/>
    </row>
    <row r="132" spans="1:11" ht="16.5" customHeight="1">
      <c r="A132" s="322" t="s">
        <v>2872</v>
      </c>
      <c r="B132" s="324" t="s">
        <v>2873</v>
      </c>
      <c r="C132" s="324"/>
      <c r="D132" s="326">
        <v>100000</v>
      </c>
      <c r="E132" s="327"/>
      <c r="F132" s="328"/>
      <c r="G132" s="329"/>
      <c r="H132" s="359" t="s">
        <v>2874</v>
      </c>
    </row>
    <row r="133" spans="1:11" ht="16.5" customHeight="1">
      <c r="A133" s="323"/>
      <c r="B133" s="325"/>
      <c r="C133" s="325"/>
      <c r="D133" s="326"/>
      <c r="E133" s="330"/>
      <c r="F133" s="331"/>
      <c r="G133" s="332"/>
      <c r="H133" s="359"/>
    </row>
    <row r="134" spans="1:11" ht="16.5" customHeight="1">
      <c r="A134" s="322"/>
      <c r="B134" s="324"/>
      <c r="C134" s="324"/>
      <c r="D134" s="326"/>
      <c r="E134" s="327"/>
      <c r="F134" s="328"/>
      <c r="G134" s="329"/>
      <c r="H134" s="333"/>
    </row>
    <row r="135" spans="1:11" ht="16.5" customHeight="1">
      <c r="A135" s="323"/>
      <c r="B135" s="325"/>
      <c r="C135" s="325"/>
      <c r="D135" s="326"/>
      <c r="E135" s="330"/>
      <c r="F135" s="331"/>
      <c r="G135" s="332"/>
      <c r="H135" s="333"/>
    </row>
    <row r="136" spans="1:11" ht="16.5" customHeight="1">
      <c r="A136" s="322"/>
      <c r="B136" s="712" t="s">
        <v>2924</v>
      </c>
      <c r="C136" s="713"/>
      <c r="D136" s="713"/>
      <c r="E136" s="713"/>
      <c r="F136" s="713"/>
      <c r="G136" s="713"/>
      <c r="H136" s="714"/>
    </row>
    <row r="137" spans="1:11" ht="31.5" customHeight="1">
      <c r="A137" s="323"/>
      <c r="B137" s="715"/>
      <c r="C137" s="716"/>
      <c r="D137" s="716"/>
      <c r="E137" s="716"/>
      <c r="F137" s="716"/>
      <c r="G137" s="716"/>
      <c r="H137" s="717"/>
    </row>
    <row r="138" spans="1:11" ht="16.5" customHeight="1">
      <c r="A138" s="322"/>
      <c r="B138" s="324"/>
      <c r="C138" s="324"/>
      <c r="D138" s="326"/>
      <c r="E138" s="337"/>
      <c r="F138" s="326"/>
      <c r="G138" s="326"/>
      <c r="H138" s="359"/>
    </row>
    <row r="139" spans="1:11" ht="16.5" customHeight="1">
      <c r="A139" s="323"/>
      <c r="B139" s="325"/>
      <c r="C139" s="325"/>
      <c r="D139" s="326"/>
      <c r="E139" s="326"/>
      <c r="F139" s="326"/>
      <c r="G139" s="326"/>
      <c r="H139" s="359"/>
    </row>
    <row r="140" spans="1:11" ht="16.5" customHeight="1">
      <c r="A140" s="339"/>
      <c r="B140" s="324"/>
      <c r="C140" s="324"/>
      <c r="D140" s="326"/>
      <c r="E140" s="327"/>
      <c r="F140" s="328"/>
      <c r="G140" s="329"/>
      <c r="H140" s="359"/>
    </row>
    <row r="141" spans="1:11" ht="16.5" customHeight="1">
      <c r="A141" s="340"/>
      <c r="B141" s="325"/>
      <c r="C141" s="325"/>
      <c r="D141" s="326"/>
      <c r="E141" s="330"/>
      <c r="F141" s="331"/>
      <c r="G141" s="332"/>
      <c r="H141" s="359"/>
    </row>
    <row r="142" spans="1:11" ht="16.5" customHeight="1">
      <c r="A142" s="322"/>
      <c r="B142" s="324"/>
      <c r="C142" s="324"/>
      <c r="D142" s="326"/>
      <c r="E142" s="327"/>
      <c r="F142" s="328"/>
      <c r="G142" s="329"/>
      <c r="H142" s="333"/>
    </row>
    <row r="143" spans="1:11" ht="16.5" customHeight="1">
      <c r="A143" s="323"/>
      <c r="B143" s="325"/>
      <c r="C143" s="325"/>
      <c r="D143" s="326"/>
      <c r="E143" s="330"/>
      <c r="F143" s="331"/>
      <c r="G143" s="332"/>
      <c r="H143" s="333"/>
      <c r="K143" s="24"/>
    </row>
    <row r="144" spans="1:11" ht="16.5" customHeight="1">
      <c r="A144" s="322"/>
      <c r="B144" s="324"/>
      <c r="C144" s="324"/>
      <c r="D144" s="326"/>
      <c r="E144" s="327"/>
      <c r="F144" s="328"/>
      <c r="G144" s="329"/>
      <c r="H144" s="338"/>
    </row>
    <row r="145" spans="1:11" ht="16.5" customHeight="1">
      <c r="A145" s="323"/>
      <c r="B145" s="325"/>
      <c r="C145" s="325"/>
      <c r="D145" s="326"/>
      <c r="E145" s="330"/>
      <c r="F145" s="331"/>
      <c r="G145" s="332"/>
      <c r="H145" s="333"/>
      <c r="K145" s="24"/>
    </row>
    <row r="146" spans="1:11" ht="16.5" customHeight="1">
      <c r="A146" s="322"/>
      <c r="B146" s="324"/>
      <c r="C146" s="324"/>
      <c r="D146" s="326"/>
      <c r="E146" s="327"/>
      <c r="F146" s="328"/>
      <c r="G146" s="329"/>
      <c r="H146" s="333"/>
      <c r="K146" s="24"/>
    </row>
    <row r="147" spans="1:11" ht="16.5" customHeight="1">
      <c r="A147" s="323"/>
      <c r="B147" s="325"/>
      <c r="C147" s="325"/>
      <c r="D147" s="326"/>
      <c r="E147" s="330"/>
      <c r="F147" s="331"/>
      <c r="G147" s="332"/>
      <c r="H147" s="333"/>
      <c r="K147" s="24"/>
    </row>
    <row r="148" spans="1:11" ht="16.5" customHeight="1">
      <c r="A148" s="322"/>
      <c r="B148" s="324"/>
      <c r="C148" s="325"/>
      <c r="D148" s="326"/>
      <c r="E148" s="337"/>
      <c r="F148" s="326"/>
      <c r="G148" s="326"/>
      <c r="H148" s="333"/>
      <c r="K148" s="24"/>
    </row>
    <row r="149" spans="1:11" ht="16.5" customHeight="1">
      <c r="A149" s="323"/>
      <c r="B149" s="325"/>
      <c r="C149" s="325"/>
      <c r="D149" s="326"/>
      <c r="E149" s="326"/>
      <c r="F149" s="326"/>
      <c r="G149" s="326"/>
      <c r="H149" s="333"/>
      <c r="K149" s="24"/>
    </row>
    <row r="150" spans="1:11" ht="16.5" customHeight="1">
      <c r="A150" s="322"/>
      <c r="B150" s="324"/>
      <c r="C150" s="325"/>
      <c r="D150" s="326"/>
      <c r="E150" s="327"/>
      <c r="F150" s="328"/>
      <c r="G150" s="329"/>
      <c r="H150" s="338"/>
      <c r="I150" s="4"/>
    </row>
    <row r="151" spans="1:11" ht="16.5" customHeight="1">
      <c r="A151" s="323"/>
      <c r="B151" s="325"/>
      <c r="C151" s="325"/>
      <c r="D151" s="326"/>
      <c r="E151" s="330"/>
      <c r="F151" s="331"/>
      <c r="G151" s="332"/>
      <c r="H151" s="333"/>
    </row>
    <row r="152" spans="1:11" ht="16.5" customHeight="1">
      <c r="A152" s="322"/>
      <c r="B152" s="324"/>
      <c r="C152" s="325"/>
      <c r="D152" s="326"/>
      <c r="E152" s="327"/>
      <c r="F152" s="328"/>
      <c r="G152" s="329"/>
      <c r="H152" s="333"/>
    </row>
    <row r="153" spans="1:11" ht="16.5" customHeight="1">
      <c r="A153" s="323"/>
      <c r="B153" s="325"/>
      <c r="C153" s="325"/>
      <c r="D153" s="326"/>
      <c r="E153" s="330"/>
      <c r="F153" s="331"/>
      <c r="G153" s="332"/>
      <c r="H153" s="333"/>
    </row>
    <row r="154" spans="1:11" ht="16.5" customHeight="1">
      <c r="A154" s="322"/>
      <c r="B154" s="324"/>
      <c r="C154" s="325"/>
      <c r="D154" s="326"/>
      <c r="E154" s="327"/>
      <c r="F154" s="328"/>
      <c r="G154" s="329"/>
      <c r="H154" s="333"/>
    </row>
    <row r="155" spans="1:11" ht="16.5" customHeight="1">
      <c r="A155" s="323"/>
      <c r="B155" s="325"/>
      <c r="C155" s="325"/>
      <c r="D155" s="326"/>
      <c r="E155" s="330"/>
      <c r="F155" s="331"/>
      <c r="G155" s="332"/>
      <c r="H155" s="333"/>
    </row>
    <row r="156" spans="1:11" ht="16.5" customHeight="1">
      <c r="A156" s="322"/>
      <c r="B156" s="324"/>
      <c r="C156" s="325"/>
      <c r="D156" s="326"/>
      <c r="E156" s="327"/>
      <c r="F156" s="328"/>
      <c r="G156" s="329"/>
      <c r="H156" s="333"/>
    </row>
    <row r="157" spans="1:11" ht="16.5" customHeight="1">
      <c r="A157" s="323"/>
      <c r="B157" s="325"/>
      <c r="C157" s="325"/>
      <c r="D157" s="326"/>
      <c r="E157" s="330"/>
      <c r="F157" s="331"/>
      <c r="G157" s="332"/>
      <c r="H157" s="333"/>
    </row>
    <row r="158" spans="1:11" ht="16.5" customHeight="1">
      <c r="A158" s="322"/>
      <c r="B158" s="324"/>
      <c r="C158" s="325"/>
      <c r="D158" s="326"/>
      <c r="E158" s="327"/>
      <c r="F158" s="328"/>
      <c r="G158" s="329"/>
      <c r="H158" s="333"/>
    </row>
    <row r="159" spans="1:11" ht="16.5" customHeight="1">
      <c r="A159" s="323"/>
      <c r="B159" s="325"/>
      <c r="C159" s="325"/>
      <c r="D159" s="326"/>
      <c r="E159" s="330"/>
      <c r="F159" s="331"/>
      <c r="G159" s="332"/>
      <c r="H159" s="333"/>
    </row>
    <row r="160" spans="1:11" ht="16.5" customHeight="1">
      <c r="A160" s="322"/>
      <c r="B160" s="324"/>
      <c r="C160" s="326"/>
      <c r="D160" s="326"/>
      <c r="E160" s="327"/>
      <c r="F160" s="328"/>
      <c r="G160" s="329"/>
      <c r="H160" s="333"/>
    </row>
    <row r="161" spans="1:11" ht="16.5" customHeight="1">
      <c r="A161" s="323"/>
      <c r="B161" s="325"/>
      <c r="C161" s="326"/>
      <c r="D161" s="326"/>
      <c r="E161" s="330"/>
      <c r="F161" s="331"/>
      <c r="G161" s="332"/>
      <c r="H161" s="333"/>
    </row>
    <row r="162" spans="1:11" ht="16.5" customHeight="1">
      <c r="A162" s="322"/>
      <c r="B162" s="324"/>
      <c r="C162" s="325"/>
      <c r="D162" s="326"/>
      <c r="E162" s="337"/>
      <c r="F162" s="326"/>
      <c r="G162" s="326"/>
      <c r="H162" s="333"/>
      <c r="I162" s="3"/>
      <c r="K162" s="23"/>
    </row>
    <row r="163" spans="1:11" ht="16.5" customHeight="1">
      <c r="A163" s="323"/>
      <c r="B163" s="325"/>
      <c r="C163" s="325"/>
      <c r="D163" s="326"/>
      <c r="E163" s="326"/>
      <c r="F163" s="326"/>
      <c r="G163" s="326"/>
      <c r="H163" s="333"/>
    </row>
    <row r="164" spans="1:11" ht="16.5" customHeight="1">
      <c r="A164" s="322"/>
      <c r="B164" s="324"/>
      <c r="C164" s="325"/>
      <c r="D164" s="326"/>
      <c r="E164" s="327"/>
      <c r="F164" s="328"/>
      <c r="G164" s="329"/>
      <c r="H164" s="333"/>
    </row>
    <row r="165" spans="1:11" ht="16.5" customHeight="1">
      <c r="A165" s="323"/>
      <c r="B165" s="325"/>
      <c r="C165" s="325"/>
      <c r="D165" s="326"/>
      <c r="E165" s="330"/>
      <c r="F165" s="331"/>
      <c r="G165" s="332"/>
      <c r="H165" s="333"/>
    </row>
    <row r="166" spans="1:11" ht="16.5" customHeight="1">
      <c r="A166" s="322"/>
      <c r="B166" s="324"/>
      <c r="C166" s="324"/>
      <c r="D166" s="326"/>
      <c r="E166" s="327"/>
      <c r="F166" s="328"/>
      <c r="G166" s="329"/>
      <c r="H166" s="333"/>
    </row>
    <row r="167" spans="1:11" ht="16.5" customHeight="1">
      <c r="A167" s="323"/>
      <c r="B167" s="325"/>
      <c r="C167" s="325"/>
      <c r="D167" s="326"/>
      <c r="E167" s="330"/>
      <c r="F167" s="331"/>
      <c r="G167" s="332"/>
      <c r="H167" s="333"/>
    </row>
    <row r="168" spans="1:11" ht="16.5" customHeight="1">
      <c r="A168" s="335"/>
      <c r="B168" s="324"/>
      <c r="C168" s="325"/>
      <c r="D168" s="326"/>
      <c r="E168" s="327"/>
      <c r="F168" s="328"/>
      <c r="G168" s="329"/>
      <c r="H168" s="333"/>
    </row>
    <row r="169" spans="1:11" ht="16.5" customHeight="1">
      <c r="A169" s="336"/>
      <c r="B169" s="325"/>
      <c r="C169" s="325"/>
      <c r="D169" s="326"/>
      <c r="E169" s="330"/>
      <c r="F169" s="331"/>
      <c r="G169" s="332"/>
      <c r="H169" s="333"/>
    </row>
    <row r="170" spans="1:11" ht="16.5" customHeight="1">
      <c r="A170" s="334"/>
      <c r="B170" s="324"/>
      <c r="C170" s="324"/>
      <c r="D170" s="326"/>
      <c r="E170" s="327"/>
      <c r="F170" s="328"/>
      <c r="G170" s="329"/>
      <c r="H170" s="333"/>
    </row>
    <row r="171" spans="1:11" ht="16.5" customHeight="1">
      <c r="A171" s="323"/>
      <c r="B171" s="325"/>
      <c r="C171" s="325"/>
      <c r="D171" s="326"/>
      <c r="E171" s="330"/>
      <c r="F171" s="331"/>
      <c r="G171" s="332"/>
      <c r="H171" s="333"/>
    </row>
    <row r="172" spans="1:11" ht="16.5" customHeight="1">
      <c r="A172" s="322"/>
      <c r="B172" s="324"/>
      <c r="C172" s="325"/>
      <c r="D172" s="326"/>
      <c r="E172" s="327"/>
      <c r="F172" s="328"/>
      <c r="G172" s="329"/>
      <c r="H172" s="333"/>
    </row>
    <row r="173" spans="1:11" ht="16.5" customHeight="1">
      <c r="A173" s="323"/>
      <c r="B173" s="325"/>
      <c r="C173" s="325"/>
      <c r="D173" s="326"/>
      <c r="E173" s="330"/>
      <c r="F173" s="331"/>
      <c r="G173" s="332"/>
      <c r="H173" s="333"/>
    </row>
    <row r="174" spans="1:11" ht="16.5" customHeight="1">
      <c r="A174" s="313"/>
      <c r="B174" s="314"/>
      <c r="C174" s="307"/>
      <c r="D174" s="309"/>
      <c r="E174" s="315"/>
      <c r="F174" s="316"/>
      <c r="G174" s="317"/>
      <c r="H174" s="321"/>
    </row>
    <row r="175" spans="1:11" ht="16.5" customHeight="1">
      <c r="A175" s="305"/>
      <c r="B175" s="307"/>
      <c r="C175" s="307"/>
      <c r="D175" s="309"/>
      <c r="E175" s="318"/>
      <c r="F175" s="319"/>
      <c r="G175" s="320"/>
      <c r="H175" s="311"/>
    </row>
    <row r="176" spans="1:11" ht="16.5" customHeight="1">
      <c r="A176" s="313"/>
      <c r="B176" s="314"/>
      <c r="C176" s="307"/>
      <c r="D176" s="309"/>
      <c r="E176" s="315"/>
      <c r="F176" s="316"/>
      <c r="G176" s="317"/>
      <c r="H176" s="321"/>
    </row>
    <row r="177" spans="1:8" ht="16.5" customHeight="1">
      <c r="A177" s="305"/>
      <c r="B177" s="307"/>
      <c r="C177" s="307"/>
      <c r="D177" s="309"/>
      <c r="E177" s="318"/>
      <c r="F177" s="319"/>
      <c r="G177" s="320"/>
      <c r="H177" s="311"/>
    </row>
    <row r="178" spans="1:8">
      <c r="A178" s="305"/>
      <c r="B178" s="307"/>
      <c r="C178" s="307"/>
      <c r="D178" s="309"/>
      <c r="E178" s="309"/>
      <c r="F178" s="309"/>
      <c r="G178" s="309"/>
      <c r="H178" s="311"/>
    </row>
    <row r="179" spans="1:8">
      <c r="A179" s="305"/>
      <c r="B179" s="307"/>
      <c r="C179" s="307"/>
      <c r="D179" s="309"/>
      <c r="E179" s="309"/>
      <c r="F179" s="309"/>
      <c r="G179" s="309"/>
      <c r="H179" s="311"/>
    </row>
    <row r="180" spans="1:8" ht="16.5" customHeight="1">
      <c r="A180" s="313"/>
      <c r="B180" s="314"/>
      <c r="C180" s="307"/>
      <c r="D180" s="309"/>
      <c r="E180" s="315"/>
      <c r="F180" s="316"/>
      <c r="G180" s="317"/>
      <c r="H180" s="311"/>
    </row>
    <row r="181" spans="1:8" ht="16.5" customHeight="1">
      <c r="A181" s="305"/>
      <c r="B181" s="307"/>
      <c r="C181" s="307"/>
      <c r="D181" s="309"/>
      <c r="E181" s="318"/>
      <c r="F181" s="319"/>
      <c r="G181" s="320"/>
      <c r="H181" s="311"/>
    </row>
    <row r="182" spans="1:8" ht="16.5" customHeight="1">
      <c r="A182" s="313"/>
      <c r="B182" s="314"/>
      <c r="C182" s="307"/>
      <c r="D182" s="309"/>
      <c r="E182" s="315"/>
      <c r="F182" s="316"/>
      <c r="G182" s="317"/>
      <c r="H182" s="311"/>
    </row>
    <row r="183" spans="1:8" ht="16.5" customHeight="1">
      <c r="A183" s="305"/>
      <c r="B183" s="307"/>
      <c r="C183" s="307"/>
      <c r="D183" s="309"/>
      <c r="E183" s="318"/>
      <c r="F183" s="319"/>
      <c r="G183" s="320"/>
      <c r="H183" s="311"/>
    </row>
    <row r="184" spans="1:8" ht="16.5" customHeight="1">
      <c r="A184" s="313"/>
      <c r="B184" s="314"/>
      <c r="C184" s="307"/>
      <c r="D184" s="309"/>
      <c r="E184" s="315"/>
      <c r="F184" s="316"/>
      <c r="G184" s="317"/>
      <c r="H184" s="321"/>
    </row>
    <row r="185" spans="1:8" ht="16.5" customHeight="1">
      <c r="A185" s="305"/>
      <c r="B185" s="307"/>
      <c r="C185" s="307"/>
      <c r="D185" s="309"/>
      <c r="E185" s="318"/>
      <c r="F185" s="319"/>
      <c r="G185" s="320"/>
      <c r="H185" s="311"/>
    </row>
    <row r="186" spans="1:8" ht="16.5" customHeight="1">
      <c r="A186" s="313"/>
      <c r="B186" s="314"/>
      <c r="C186" s="307"/>
      <c r="D186" s="309"/>
      <c r="E186" s="315"/>
      <c r="F186" s="316"/>
      <c r="G186" s="317"/>
      <c r="H186" s="321"/>
    </row>
    <row r="187" spans="1:8" ht="16.5" customHeight="1">
      <c r="A187" s="305"/>
      <c r="B187" s="307"/>
      <c r="C187" s="307"/>
      <c r="D187" s="309"/>
      <c r="E187" s="318"/>
      <c r="F187" s="319"/>
      <c r="G187" s="320"/>
      <c r="H187" s="311"/>
    </row>
    <row r="188" spans="1:8">
      <c r="A188" s="305"/>
      <c r="B188" s="307"/>
      <c r="C188" s="307"/>
      <c r="D188" s="309"/>
      <c r="E188" s="309"/>
      <c r="F188" s="309"/>
      <c r="G188" s="309"/>
      <c r="H188" s="311"/>
    </row>
    <row r="189" spans="1:8">
      <c r="A189" s="305"/>
      <c r="B189" s="307"/>
      <c r="C189" s="307"/>
      <c r="D189" s="309"/>
      <c r="E189" s="309"/>
      <c r="F189" s="309"/>
      <c r="G189" s="309"/>
      <c r="H189" s="311"/>
    </row>
    <row r="190" spans="1:8" ht="16.5" customHeight="1">
      <c r="A190" s="313"/>
      <c r="B190" s="314"/>
      <c r="C190" s="307"/>
      <c r="D190" s="309"/>
      <c r="E190" s="315"/>
      <c r="F190" s="316"/>
      <c r="G190" s="317"/>
      <c r="H190" s="311"/>
    </row>
    <row r="191" spans="1:8" ht="16.5" customHeight="1">
      <c r="A191" s="305"/>
      <c r="B191" s="307"/>
      <c r="C191" s="307"/>
      <c r="D191" s="309"/>
      <c r="E191" s="318"/>
      <c r="F191" s="319"/>
      <c r="G191" s="320"/>
      <c r="H191" s="311"/>
    </row>
    <row r="192" spans="1:8" ht="16.5" customHeight="1">
      <c r="A192" s="313"/>
      <c r="B192" s="314"/>
      <c r="C192" s="307"/>
      <c r="D192" s="309"/>
      <c r="E192" s="315"/>
      <c r="F192" s="316"/>
      <c r="G192" s="317"/>
      <c r="H192" s="321"/>
    </row>
    <row r="193" spans="1:8" ht="16.5" customHeight="1">
      <c r="A193" s="305"/>
      <c r="B193" s="307"/>
      <c r="C193" s="307"/>
      <c r="D193" s="309"/>
      <c r="E193" s="318"/>
      <c r="F193" s="319"/>
      <c r="G193" s="320"/>
      <c r="H193" s="311"/>
    </row>
    <row r="194" spans="1:8" ht="16.5" customHeight="1">
      <c r="A194" s="313"/>
      <c r="B194" s="314"/>
      <c r="C194" s="307"/>
      <c r="D194" s="309"/>
      <c r="E194" s="315"/>
      <c r="F194" s="316"/>
      <c r="G194" s="317"/>
      <c r="H194" s="321"/>
    </row>
    <row r="195" spans="1:8" ht="16.5" customHeight="1">
      <c r="A195" s="305"/>
      <c r="B195" s="307"/>
      <c r="C195" s="307"/>
      <c r="D195" s="309"/>
      <c r="E195" s="318"/>
      <c r="F195" s="319"/>
      <c r="G195" s="320"/>
      <c r="H195" s="311"/>
    </row>
    <row r="196" spans="1:8">
      <c r="A196" s="305"/>
      <c r="B196" s="307"/>
      <c r="C196" s="307"/>
      <c r="D196" s="309"/>
      <c r="E196" s="309"/>
      <c r="F196" s="309"/>
      <c r="G196" s="309"/>
      <c r="H196" s="311"/>
    </row>
    <row r="197" spans="1:8">
      <c r="A197" s="305"/>
      <c r="B197" s="307"/>
      <c r="C197" s="307"/>
      <c r="D197" s="309"/>
      <c r="E197" s="309"/>
      <c r="F197" s="309"/>
      <c r="G197" s="309"/>
      <c r="H197" s="311"/>
    </row>
    <row r="198" spans="1:8">
      <c r="A198" s="305"/>
      <c r="B198" s="307"/>
      <c r="C198" s="307"/>
      <c r="D198" s="309"/>
      <c r="E198" s="309"/>
      <c r="F198" s="309"/>
      <c r="G198" s="309"/>
      <c r="H198" s="311"/>
    </row>
    <row r="199" spans="1:8" ht="17.25" thickBot="1">
      <c r="A199" s="306"/>
      <c r="B199" s="308"/>
      <c r="C199" s="308"/>
      <c r="D199" s="310"/>
      <c r="E199" s="310"/>
      <c r="F199" s="310"/>
      <c r="G199" s="310"/>
      <c r="H199" s="312"/>
    </row>
  </sheetData>
  <mergeCells count="577">
    <mergeCell ref="A198:A199"/>
    <mergeCell ref="B198:B199"/>
    <mergeCell ref="C198:C199"/>
    <mergeCell ref="D198:D199"/>
    <mergeCell ref="E198:G199"/>
    <mergeCell ref="H198:H199"/>
    <mergeCell ref="A196:A197"/>
    <mergeCell ref="B196:B197"/>
    <mergeCell ref="C196:C197"/>
    <mergeCell ref="D196:D197"/>
    <mergeCell ref="E196:G197"/>
    <mergeCell ref="H196:H197"/>
    <mergeCell ref="A194:A195"/>
    <mergeCell ref="B194:B195"/>
    <mergeCell ref="C194:C195"/>
    <mergeCell ref="D194:D195"/>
    <mergeCell ref="E194:G195"/>
    <mergeCell ref="H194:H195"/>
    <mergeCell ref="A192:A193"/>
    <mergeCell ref="B192:B193"/>
    <mergeCell ref="C192:C193"/>
    <mergeCell ref="D192:D193"/>
    <mergeCell ref="E192:G193"/>
    <mergeCell ref="H192:H193"/>
    <mergeCell ref="A190:A191"/>
    <mergeCell ref="B190:B191"/>
    <mergeCell ref="C190:C191"/>
    <mergeCell ref="D190:D191"/>
    <mergeCell ref="E190:G191"/>
    <mergeCell ref="H190:H191"/>
    <mergeCell ref="A188:A189"/>
    <mergeCell ref="B188:B189"/>
    <mergeCell ref="C188:C189"/>
    <mergeCell ref="D188:D189"/>
    <mergeCell ref="E188:G189"/>
    <mergeCell ref="H188:H189"/>
    <mergeCell ref="A186:A187"/>
    <mergeCell ref="B186:B187"/>
    <mergeCell ref="C186:C187"/>
    <mergeCell ref="D186:D187"/>
    <mergeCell ref="E186:G187"/>
    <mergeCell ref="H186:H187"/>
    <mergeCell ref="A184:A185"/>
    <mergeCell ref="B184:B185"/>
    <mergeCell ref="C184:C185"/>
    <mergeCell ref="D184:D185"/>
    <mergeCell ref="E184:G185"/>
    <mergeCell ref="H184:H185"/>
    <mergeCell ref="A182:A183"/>
    <mergeCell ref="B182:B183"/>
    <mergeCell ref="C182:C183"/>
    <mergeCell ref="D182:D183"/>
    <mergeCell ref="E182:G183"/>
    <mergeCell ref="H182:H183"/>
    <mergeCell ref="A180:A181"/>
    <mergeCell ref="B180:B181"/>
    <mergeCell ref="C180:C181"/>
    <mergeCell ref="D180:D181"/>
    <mergeCell ref="E180:G181"/>
    <mergeCell ref="H180:H181"/>
    <mergeCell ref="A178:A179"/>
    <mergeCell ref="B178:B179"/>
    <mergeCell ref="C178:C179"/>
    <mergeCell ref="D178:D179"/>
    <mergeCell ref="E178:G179"/>
    <mergeCell ref="H178:H179"/>
    <mergeCell ref="A176:A177"/>
    <mergeCell ref="B176:B177"/>
    <mergeCell ref="C176:C177"/>
    <mergeCell ref="D176:D177"/>
    <mergeCell ref="E176:G177"/>
    <mergeCell ref="H176:H177"/>
    <mergeCell ref="A174:A175"/>
    <mergeCell ref="B174:B175"/>
    <mergeCell ref="C174:C175"/>
    <mergeCell ref="D174:D175"/>
    <mergeCell ref="E174:G175"/>
    <mergeCell ref="H174:H175"/>
    <mergeCell ref="A172:A173"/>
    <mergeCell ref="B172:B173"/>
    <mergeCell ref="C172:C173"/>
    <mergeCell ref="D172:D173"/>
    <mergeCell ref="E172:G173"/>
    <mergeCell ref="H172:H173"/>
    <mergeCell ref="A170:A171"/>
    <mergeCell ref="B170:B171"/>
    <mergeCell ref="C170:C171"/>
    <mergeCell ref="D170:D171"/>
    <mergeCell ref="E170:G171"/>
    <mergeCell ref="H170:H171"/>
    <mergeCell ref="A168:A169"/>
    <mergeCell ref="B168:B169"/>
    <mergeCell ref="C168:C169"/>
    <mergeCell ref="D168:D169"/>
    <mergeCell ref="E168:G169"/>
    <mergeCell ref="H168:H169"/>
    <mergeCell ref="A166:A167"/>
    <mergeCell ref="B166:B167"/>
    <mergeCell ref="C166:C167"/>
    <mergeCell ref="D166:D167"/>
    <mergeCell ref="E166:G167"/>
    <mergeCell ref="H166:H167"/>
    <mergeCell ref="A164:A165"/>
    <mergeCell ref="B164:B165"/>
    <mergeCell ref="C164:C165"/>
    <mergeCell ref="D164:D165"/>
    <mergeCell ref="E164:G165"/>
    <mergeCell ref="H164:H165"/>
    <mergeCell ref="A162:A163"/>
    <mergeCell ref="B162:B163"/>
    <mergeCell ref="C162:C163"/>
    <mergeCell ref="D162:D163"/>
    <mergeCell ref="E162:G163"/>
    <mergeCell ref="H162:H163"/>
    <mergeCell ref="A160:A161"/>
    <mergeCell ref="B160:B161"/>
    <mergeCell ref="C160:C161"/>
    <mergeCell ref="D160:D161"/>
    <mergeCell ref="E160:G161"/>
    <mergeCell ref="H160:H161"/>
    <mergeCell ref="A158:A159"/>
    <mergeCell ref="B158:B159"/>
    <mergeCell ref="C158:C159"/>
    <mergeCell ref="D158:D159"/>
    <mergeCell ref="E158:G159"/>
    <mergeCell ref="H158:H159"/>
    <mergeCell ref="A156:A157"/>
    <mergeCell ref="B156:B157"/>
    <mergeCell ref="C156:C157"/>
    <mergeCell ref="D156:D157"/>
    <mergeCell ref="E156:G157"/>
    <mergeCell ref="H156:H157"/>
    <mergeCell ref="A154:A155"/>
    <mergeCell ref="B154:B155"/>
    <mergeCell ref="C154:C155"/>
    <mergeCell ref="D154:D155"/>
    <mergeCell ref="E154:G155"/>
    <mergeCell ref="H154:H155"/>
    <mergeCell ref="A152:A153"/>
    <mergeCell ref="B152:B153"/>
    <mergeCell ref="C152:C153"/>
    <mergeCell ref="D152:D153"/>
    <mergeCell ref="E152:G153"/>
    <mergeCell ref="H152:H153"/>
    <mergeCell ref="A150:A151"/>
    <mergeCell ref="B150:B151"/>
    <mergeCell ref="C150:C151"/>
    <mergeCell ref="D150:D151"/>
    <mergeCell ref="E150:G151"/>
    <mergeCell ref="H150:H151"/>
    <mergeCell ref="A148:A149"/>
    <mergeCell ref="B148:B149"/>
    <mergeCell ref="C148:C149"/>
    <mergeCell ref="D148:D149"/>
    <mergeCell ref="E148:G149"/>
    <mergeCell ref="H148:H149"/>
    <mergeCell ref="A146:A147"/>
    <mergeCell ref="B146:B147"/>
    <mergeCell ref="C146:C147"/>
    <mergeCell ref="D146:D147"/>
    <mergeCell ref="E146:G147"/>
    <mergeCell ref="H146:H147"/>
    <mergeCell ref="A144:A145"/>
    <mergeCell ref="B144:B145"/>
    <mergeCell ref="C144:C145"/>
    <mergeCell ref="D144:D145"/>
    <mergeCell ref="E144:G145"/>
    <mergeCell ref="H144:H145"/>
    <mergeCell ref="A142:A143"/>
    <mergeCell ref="B142:B143"/>
    <mergeCell ref="C142:C143"/>
    <mergeCell ref="D142:D143"/>
    <mergeCell ref="E142:G143"/>
    <mergeCell ref="H142:H143"/>
    <mergeCell ref="A140:A141"/>
    <mergeCell ref="B140:B141"/>
    <mergeCell ref="C140:C141"/>
    <mergeCell ref="D140:D141"/>
    <mergeCell ref="E140:G141"/>
    <mergeCell ref="H140:H141"/>
    <mergeCell ref="A138:A139"/>
    <mergeCell ref="B138:B139"/>
    <mergeCell ref="C138:C139"/>
    <mergeCell ref="D138:D139"/>
    <mergeCell ref="E138:G139"/>
    <mergeCell ref="H138:H139"/>
    <mergeCell ref="A136:A137"/>
    <mergeCell ref="B136:H137"/>
    <mergeCell ref="A134:A135"/>
    <mergeCell ref="B134:B135"/>
    <mergeCell ref="C134:C135"/>
    <mergeCell ref="D134:D135"/>
    <mergeCell ref="E134:G135"/>
    <mergeCell ref="H134:H135"/>
    <mergeCell ref="A132:A133"/>
    <mergeCell ref="B132:B133"/>
    <mergeCell ref="C132:C133"/>
    <mergeCell ref="D132:D133"/>
    <mergeCell ref="E132:G133"/>
    <mergeCell ref="H132:H133"/>
    <mergeCell ref="A130:A131"/>
    <mergeCell ref="B130:B131"/>
    <mergeCell ref="C130:C131"/>
    <mergeCell ref="D130:D131"/>
    <mergeCell ref="E130:G131"/>
    <mergeCell ref="H130:H131"/>
    <mergeCell ref="A128:A129"/>
    <mergeCell ref="B128:B129"/>
    <mergeCell ref="C128:C129"/>
    <mergeCell ref="D128:D129"/>
    <mergeCell ref="E128:G129"/>
    <mergeCell ref="H128:H129"/>
    <mergeCell ref="A126:A127"/>
    <mergeCell ref="B126:B127"/>
    <mergeCell ref="C126:C127"/>
    <mergeCell ref="D126:D127"/>
    <mergeCell ref="E126:G127"/>
    <mergeCell ref="H126:H127"/>
    <mergeCell ref="A124:A125"/>
    <mergeCell ref="B124:B125"/>
    <mergeCell ref="C124:C125"/>
    <mergeCell ref="D124:D125"/>
    <mergeCell ref="E124:G125"/>
    <mergeCell ref="H124:H125"/>
    <mergeCell ref="A118:A119"/>
    <mergeCell ref="B118:B119"/>
    <mergeCell ref="C118:C119"/>
    <mergeCell ref="D118:D119"/>
    <mergeCell ref="E118:G119"/>
    <mergeCell ref="H118:H119"/>
    <mergeCell ref="A122:A123"/>
    <mergeCell ref="B122:B123"/>
    <mergeCell ref="C122:C123"/>
    <mergeCell ref="D122:D123"/>
    <mergeCell ref="E122:G123"/>
    <mergeCell ref="H122:H123"/>
    <mergeCell ref="A120:A121"/>
    <mergeCell ref="B120:B121"/>
    <mergeCell ref="C120:C121"/>
    <mergeCell ref="D120:D121"/>
    <mergeCell ref="E120:G121"/>
    <mergeCell ref="H120:H121"/>
    <mergeCell ref="A116:A117"/>
    <mergeCell ref="B116:B117"/>
    <mergeCell ref="C116:C117"/>
    <mergeCell ref="D116:D117"/>
    <mergeCell ref="E116:G117"/>
    <mergeCell ref="H116:H117"/>
    <mergeCell ref="A114:A115"/>
    <mergeCell ref="B114:B115"/>
    <mergeCell ref="C114:C115"/>
    <mergeCell ref="D114:D115"/>
    <mergeCell ref="E114:G115"/>
    <mergeCell ref="H114:H115"/>
    <mergeCell ref="A112:A113"/>
    <mergeCell ref="B112:B113"/>
    <mergeCell ref="C112:C113"/>
    <mergeCell ref="D112:D113"/>
    <mergeCell ref="E112:G113"/>
    <mergeCell ref="H112:H113"/>
    <mergeCell ref="A110:A111"/>
    <mergeCell ref="B110:B111"/>
    <mergeCell ref="C110:C111"/>
    <mergeCell ref="D110:D111"/>
    <mergeCell ref="E110:G111"/>
    <mergeCell ref="H110:H111"/>
    <mergeCell ref="A104:A105"/>
    <mergeCell ref="A102:A103"/>
    <mergeCell ref="B102:B103"/>
    <mergeCell ref="C102:C103"/>
    <mergeCell ref="D102:D103"/>
    <mergeCell ref="E102:G103"/>
    <mergeCell ref="H102:H103"/>
    <mergeCell ref="B104:H105"/>
    <mergeCell ref="A108:A109"/>
    <mergeCell ref="B108:B109"/>
    <mergeCell ref="C108:C109"/>
    <mergeCell ref="D108:D109"/>
    <mergeCell ref="E108:G109"/>
    <mergeCell ref="H108:H109"/>
    <mergeCell ref="A106:A107"/>
    <mergeCell ref="B106:B107"/>
    <mergeCell ref="C106:C107"/>
    <mergeCell ref="D106:D107"/>
    <mergeCell ref="E106:G107"/>
    <mergeCell ref="H106:H107"/>
    <mergeCell ref="A100:A101"/>
    <mergeCell ref="B100:B101"/>
    <mergeCell ref="C100:C101"/>
    <mergeCell ref="D100:D101"/>
    <mergeCell ref="E100:G101"/>
    <mergeCell ref="H100:H101"/>
    <mergeCell ref="A98:A99"/>
    <mergeCell ref="B98:B99"/>
    <mergeCell ref="C98:C99"/>
    <mergeCell ref="D98:D99"/>
    <mergeCell ref="E98:G99"/>
    <mergeCell ref="H98:H99"/>
    <mergeCell ref="A96:A97"/>
    <mergeCell ref="B96:B97"/>
    <mergeCell ref="C96:C97"/>
    <mergeCell ref="D96:D97"/>
    <mergeCell ref="E96:G97"/>
    <mergeCell ref="H96:H97"/>
    <mergeCell ref="A94:A95"/>
    <mergeCell ref="B94:B95"/>
    <mergeCell ref="C94:C95"/>
    <mergeCell ref="D94:D95"/>
    <mergeCell ref="E94:G95"/>
    <mergeCell ref="H94:H95"/>
    <mergeCell ref="A92:A93"/>
    <mergeCell ref="B92:B93"/>
    <mergeCell ref="C92:C93"/>
    <mergeCell ref="D92:D93"/>
    <mergeCell ref="E92:G93"/>
    <mergeCell ref="H92:H93"/>
    <mergeCell ref="A90:A91"/>
    <mergeCell ref="B90:B91"/>
    <mergeCell ref="C90:C91"/>
    <mergeCell ref="D90:D91"/>
    <mergeCell ref="E90:G91"/>
    <mergeCell ref="H90:H91"/>
    <mergeCell ref="A88:A89"/>
    <mergeCell ref="B88:B89"/>
    <mergeCell ref="C88:C89"/>
    <mergeCell ref="D88:D89"/>
    <mergeCell ref="E88:G89"/>
    <mergeCell ref="H88:H89"/>
    <mergeCell ref="A86:A87"/>
    <mergeCell ref="B86:B87"/>
    <mergeCell ref="C86:C87"/>
    <mergeCell ref="D86:D87"/>
    <mergeCell ref="E86:G87"/>
    <mergeCell ref="H86:H87"/>
    <mergeCell ref="A82:A83"/>
    <mergeCell ref="B82:H83"/>
    <mergeCell ref="A84:A85"/>
    <mergeCell ref="B84:B85"/>
    <mergeCell ref="C84:C85"/>
    <mergeCell ref="D84:D85"/>
    <mergeCell ref="E84:G85"/>
    <mergeCell ref="H84:H85"/>
    <mergeCell ref="A80:A81"/>
    <mergeCell ref="B80:B81"/>
    <mergeCell ref="C80:C81"/>
    <mergeCell ref="D80:D81"/>
    <mergeCell ref="E80:G81"/>
    <mergeCell ref="H80:H81"/>
    <mergeCell ref="A78:A79"/>
    <mergeCell ref="B78:B79"/>
    <mergeCell ref="C78:C79"/>
    <mergeCell ref="D78:D79"/>
    <mergeCell ref="E78:G79"/>
    <mergeCell ref="H78:H79"/>
    <mergeCell ref="A76:A77"/>
    <mergeCell ref="B76:B77"/>
    <mergeCell ref="C76:C77"/>
    <mergeCell ref="D76:D77"/>
    <mergeCell ref="E76:G77"/>
    <mergeCell ref="H76:H77"/>
    <mergeCell ref="A74:A75"/>
    <mergeCell ref="B74:B75"/>
    <mergeCell ref="C74:C75"/>
    <mergeCell ref="D74:D75"/>
    <mergeCell ref="E74:G75"/>
    <mergeCell ref="H74:H75"/>
    <mergeCell ref="A72:A73"/>
    <mergeCell ref="B72:B73"/>
    <mergeCell ref="C72:C73"/>
    <mergeCell ref="D72:D73"/>
    <mergeCell ref="E72:G73"/>
    <mergeCell ref="H72:H73"/>
    <mergeCell ref="A70:A71"/>
    <mergeCell ref="B70:B71"/>
    <mergeCell ref="C70:C71"/>
    <mergeCell ref="D70:D71"/>
    <mergeCell ref="E70:G71"/>
    <mergeCell ref="H70:H71"/>
    <mergeCell ref="A68:A69"/>
    <mergeCell ref="B68:B69"/>
    <mergeCell ref="C68:C69"/>
    <mergeCell ref="D68:D69"/>
    <mergeCell ref="E68:G69"/>
    <mergeCell ref="H68:H69"/>
    <mergeCell ref="E65:G65"/>
    <mergeCell ref="A66:A67"/>
    <mergeCell ref="B66:B67"/>
    <mergeCell ref="C66:C67"/>
    <mergeCell ref="D66:D67"/>
    <mergeCell ref="E66:G67"/>
    <mergeCell ref="A61:A62"/>
    <mergeCell ref="B61:H62"/>
    <mergeCell ref="A63:A64"/>
    <mergeCell ref="B63:B64"/>
    <mergeCell ref="C63:C64"/>
    <mergeCell ref="D63:D64"/>
    <mergeCell ref="E63:G64"/>
    <mergeCell ref="H63:H64"/>
    <mergeCell ref="H66:H67"/>
    <mergeCell ref="A59:A60"/>
    <mergeCell ref="B59:B60"/>
    <mergeCell ref="C59:C60"/>
    <mergeCell ref="D59:D60"/>
    <mergeCell ref="E59:G60"/>
    <mergeCell ref="H59:H60"/>
    <mergeCell ref="A57:A58"/>
    <mergeCell ref="B57:B58"/>
    <mergeCell ref="C57:C58"/>
    <mergeCell ref="D57:D58"/>
    <mergeCell ref="E57:G58"/>
    <mergeCell ref="H57:H58"/>
    <mergeCell ref="A55:A56"/>
    <mergeCell ref="B55:B56"/>
    <mergeCell ref="C55:C56"/>
    <mergeCell ref="D55:D56"/>
    <mergeCell ref="E55:G56"/>
    <mergeCell ref="H55:H56"/>
    <mergeCell ref="A53:A54"/>
    <mergeCell ref="B53:B54"/>
    <mergeCell ref="C53:C54"/>
    <mergeCell ref="D53:D54"/>
    <mergeCell ref="E53:G54"/>
    <mergeCell ref="H53:H54"/>
    <mergeCell ref="A51:A52"/>
    <mergeCell ref="B51:B52"/>
    <mergeCell ref="C51:C52"/>
    <mergeCell ref="D51:D52"/>
    <mergeCell ref="E51:G52"/>
    <mergeCell ref="H51:H52"/>
    <mergeCell ref="A49:A50"/>
    <mergeCell ref="B49:B50"/>
    <mergeCell ref="C49:C50"/>
    <mergeCell ref="D49:D50"/>
    <mergeCell ref="E49:G50"/>
    <mergeCell ref="H49:H50"/>
    <mergeCell ref="A47:A48"/>
    <mergeCell ref="B47:B48"/>
    <mergeCell ref="C47:C48"/>
    <mergeCell ref="D47:D48"/>
    <mergeCell ref="E47:G48"/>
    <mergeCell ref="H47:H48"/>
    <mergeCell ref="A45:A46"/>
    <mergeCell ref="B45:B46"/>
    <mergeCell ref="C45:C46"/>
    <mergeCell ref="D45:D46"/>
    <mergeCell ref="E45:G46"/>
    <mergeCell ref="H45:H46"/>
    <mergeCell ref="A43:A44"/>
    <mergeCell ref="B43:B44"/>
    <mergeCell ref="C43:C44"/>
    <mergeCell ref="D43:D44"/>
    <mergeCell ref="E43:G44"/>
    <mergeCell ref="H43:H44"/>
    <mergeCell ref="A41:A42"/>
    <mergeCell ref="B41:B42"/>
    <mergeCell ref="C41:C42"/>
    <mergeCell ref="D41:D42"/>
    <mergeCell ref="E41:G42"/>
    <mergeCell ref="H41:H42"/>
    <mergeCell ref="A39:A40"/>
    <mergeCell ref="B39:B40"/>
    <mergeCell ref="C39:C40"/>
    <mergeCell ref="D39:D40"/>
    <mergeCell ref="E39:G40"/>
    <mergeCell ref="H39:H40"/>
    <mergeCell ref="A37:A38"/>
    <mergeCell ref="B37:B38"/>
    <mergeCell ref="C37:C38"/>
    <mergeCell ref="D37:D38"/>
    <mergeCell ref="E37:G38"/>
    <mergeCell ref="H37:H38"/>
    <mergeCell ref="A35:A36"/>
    <mergeCell ref="B35:B36"/>
    <mergeCell ref="C35:C36"/>
    <mergeCell ref="D35:D36"/>
    <mergeCell ref="E35:G36"/>
    <mergeCell ref="H35:H36"/>
    <mergeCell ref="A32:A34"/>
    <mergeCell ref="B32:B34"/>
    <mergeCell ref="C32:C34"/>
    <mergeCell ref="D32:D34"/>
    <mergeCell ref="E32:G34"/>
    <mergeCell ref="H32:H34"/>
    <mergeCell ref="A30:A31"/>
    <mergeCell ref="B30:B31"/>
    <mergeCell ref="C30:C31"/>
    <mergeCell ref="D30:D31"/>
    <mergeCell ref="E30:G31"/>
    <mergeCell ref="H30:H31"/>
    <mergeCell ref="A26:A27"/>
    <mergeCell ref="B26:H27"/>
    <mergeCell ref="A28:A29"/>
    <mergeCell ref="B28:B29"/>
    <mergeCell ref="C28:C29"/>
    <mergeCell ref="D28:D29"/>
    <mergeCell ref="E28:G29"/>
    <mergeCell ref="H28:H29"/>
    <mergeCell ref="A24:A25"/>
    <mergeCell ref="B24:B25"/>
    <mergeCell ref="C24:C25"/>
    <mergeCell ref="D24:D25"/>
    <mergeCell ref="E24:G25"/>
    <mergeCell ref="H24:H25"/>
    <mergeCell ref="A22:A23"/>
    <mergeCell ref="B22:B23"/>
    <mergeCell ref="C22:C23"/>
    <mergeCell ref="D22:D23"/>
    <mergeCell ref="E22:G23"/>
    <mergeCell ref="H22:H23"/>
    <mergeCell ref="A20:A21"/>
    <mergeCell ref="B20:B21"/>
    <mergeCell ref="C20:C21"/>
    <mergeCell ref="D20:D21"/>
    <mergeCell ref="E20:G21"/>
    <mergeCell ref="H20:H21"/>
    <mergeCell ref="A18:A19"/>
    <mergeCell ref="B18:B19"/>
    <mergeCell ref="C18:C19"/>
    <mergeCell ref="D18:D19"/>
    <mergeCell ref="E18:G19"/>
    <mergeCell ref="H18:H19"/>
    <mergeCell ref="A16:A17"/>
    <mergeCell ref="B16:B17"/>
    <mergeCell ref="C16:C17"/>
    <mergeCell ref="D16:D17"/>
    <mergeCell ref="E16:G17"/>
    <mergeCell ref="H16:H17"/>
    <mergeCell ref="A14:A15"/>
    <mergeCell ref="B14:B15"/>
    <mergeCell ref="C14:C15"/>
    <mergeCell ref="D14:D15"/>
    <mergeCell ref="E14:G15"/>
    <mergeCell ref="H14:H15"/>
    <mergeCell ref="A12:A13"/>
    <mergeCell ref="B12:B13"/>
    <mergeCell ref="C12:C13"/>
    <mergeCell ref="D12:D13"/>
    <mergeCell ref="E12:G13"/>
    <mergeCell ref="H12:H13"/>
    <mergeCell ref="A10:A11"/>
    <mergeCell ref="B10:B11"/>
    <mergeCell ref="C10:C11"/>
    <mergeCell ref="D10:D11"/>
    <mergeCell ref="E10:G11"/>
    <mergeCell ref="H10:H11"/>
    <mergeCell ref="A8:A9"/>
    <mergeCell ref="B8:B9"/>
    <mergeCell ref="C8:C9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A3:H3"/>
    <mergeCell ref="A4:A5"/>
    <mergeCell ref="B4:B5"/>
    <mergeCell ref="C4:C5"/>
    <mergeCell ref="D4:D5"/>
    <mergeCell ref="E4:G5"/>
    <mergeCell ref="H4:H5"/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</mergeCells>
  <phoneticPr fontId="1" type="noConversion"/>
  <pageMargins left="0" right="0" top="0" bottom="0" header="0" footer="0"/>
  <pageSetup paperSize="9" scale="36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83"/>
  <sheetViews>
    <sheetView showGridLines="0" zoomScale="115" zoomScaleNormal="115" workbookViewId="0">
      <pane xSplit="8" ySplit="2" topLeftCell="I99" activePane="bottomRight" state="frozen"/>
      <selection pane="topRight" activeCell="I1" sqref="I1"/>
      <selection pane="bottomLeft" activeCell="A3" sqref="A3"/>
      <selection pane="bottomRight" activeCell="D95" sqref="D95:D96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0" max="10" width="13.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  <col min="18" max="18" width="9.5" bestFit="1" customWidth="1"/>
  </cols>
  <sheetData>
    <row r="1" spans="1:18" ht="35.25" customHeight="1" thickBot="1">
      <c r="A1" s="388" t="s">
        <v>2894</v>
      </c>
      <c r="B1" s="389"/>
      <c r="C1" s="402" t="s">
        <v>27</v>
      </c>
      <c r="D1" s="403"/>
      <c r="E1" s="21" t="s">
        <v>26</v>
      </c>
      <c r="F1" s="20">
        <f>H1/31</f>
        <v>1276680.6451612904</v>
      </c>
      <c r="G1" s="21" t="s">
        <v>4</v>
      </c>
      <c r="H1" s="22">
        <f>SUM(D4:D183)</f>
        <v>39577100</v>
      </c>
      <c r="I1" s="392"/>
      <c r="J1" s="338"/>
      <c r="K1" s="394"/>
      <c r="L1" s="396"/>
      <c r="M1" s="377"/>
      <c r="N1" s="379"/>
      <c r="O1" s="381"/>
      <c r="P1" s="383"/>
      <c r="Q1" s="377"/>
      <c r="R1" s="376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385" t="s">
        <v>25</v>
      </c>
      <c r="F2" s="386"/>
      <c r="G2" s="387"/>
      <c r="H2" s="25" t="s">
        <v>5</v>
      </c>
      <c r="I2" s="393"/>
      <c r="J2" s="333"/>
      <c r="K2" s="395"/>
      <c r="L2" s="397"/>
      <c r="M2" s="378"/>
      <c r="N2" s="380"/>
      <c r="O2" s="382"/>
      <c r="P2" s="384"/>
      <c r="Q2" s="378"/>
      <c r="R2" s="376"/>
    </row>
    <row r="3" spans="1:18" ht="36" customHeight="1">
      <c r="A3" s="441" t="s">
        <v>2896</v>
      </c>
      <c r="B3" s="442"/>
      <c r="C3" s="442"/>
      <c r="D3" s="442"/>
      <c r="E3" s="442"/>
      <c r="F3" s="442"/>
      <c r="G3" s="442"/>
      <c r="H3" s="443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322" t="s">
        <v>2875</v>
      </c>
      <c r="B4" s="444" t="s">
        <v>2876</v>
      </c>
      <c r="C4" s="341"/>
      <c r="D4" s="326">
        <v>270000</v>
      </c>
      <c r="E4" s="327" t="s">
        <v>2877</v>
      </c>
      <c r="F4" s="328"/>
      <c r="G4" s="329"/>
      <c r="H4" s="398" t="s">
        <v>2879</v>
      </c>
      <c r="J4" s="42"/>
    </row>
    <row r="5" spans="1:18" ht="16.5" customHeight="1">
      <c r="A5" s="323"/>
      <c r="B5" s="445"/>
      <c r="C5" s="342"/>
      <c r="D5" s="326"/>
      <c r="E5" s="330"/>
      <c r="F5" s="331"/>
      <c r="G5" s="332"/>
      <c r="H5" s="399"/>
      <c r="J5" s="43"/>
    </row>
    <row r="6" spans="1:18" ht="16.5" customHeight="1">
      <c r="A6" s="322" t="s">
        <v>2878</v>
      </c>
      <c r="B6" s="439" t="s">
        <v>2888</v>
      </c>
      <c r="C6" s="341"/>
      <c r="D6" s="326">
        <v>649000</v>
      </c>
      <c r="E6" s="327"/>
      <c r="F6" s="345"/>
      <c r="G6" s="346"/>
      <c r="H6" s="398" t="s">
        <v>2889</v>
      </c>
      <c r="J6" s="43"/>
    </row>
    <row r="7" spans="1:18" ht="16.5" customHeight="1">
      <c r="A7" s="323"/>
      <c r="B7" s="440"/>
      <c r="C7" s="352"/>
      <c r="D7" s="326"/>
      <c r="E7" s="347"/>
      <c r="F7" s="348"/>
      <c r="G7" s="349"/>
      <c r="H7" s="399"/>
      <c r="J7" s="43"/>
    </row>
    <row r="8" spans="1:18" ht="16.5" customHeight="1">
      <c r="A8" s="322" t="s">
        <v>2878</v>
      </c>
      <c r="B8" s="439" t="s">
        <v>2890</v>
      </c>
      <c r="C8" s="353"/>
      <c r="D8" s="343">
        <v>253000</v>
      </c>
      <c r="E8" s="327" t="s">
        <v>2893</v>
      </c>
      <c r="F8" s="345"/>
      <c r="G8" s="346"/>
      <c r="H8" s="398" t="s">
        <v>2880</v>
      </c>
      <c r="J8" s="43"/>
    </row>
    <row r="9" spans="1:18" ht="24" customHeight="1">
      <c r="A9" s="323"/>
      <c r="B9" s="440"/>
      <c r="C9" s="352"/>
      <c r="D9" s="344"/>
      <c r="E9" s="347"/>
      <c r="F9" s="348"/>
      <c r="G9" s="349"/>
      <c r="H9" s="399"/>
      <c r="J9" s="43"/>
    </row>
    <row r="10" spans="1:18" ht="16.5" customHeight="1">
      <c r="A10" s="322" t="s">
        <v>2882</v>
      </c>
      <c r="B10" s="444" t="s">
        <v>2891</v>
      </c>
      <c r="C10" s="324"/>
      <c r="D10" s="343">
        <v>16000</v>
      </c>
      <c r="E10" s="327" t="s">
        <v>2892</v>
      </c>
      <c r="F10" s="328"/>
      <c r="G10" s="329"/>
      <c r="H10" s="398" t="s">
        <v>2881</v>
      </c>
      <c r="J10" s="43"/>
      <c r="L10">
        <v>2</v>
      </c>
    </row>
    <row r="11" spans="1:18" ht="30.75" customHeight="1">
      <c r="A11" s="323"/>
      <c r="B11" s="445"/>
      <c r="C11" s="325"/>
      <c r="D11" s="344"/>
      <c r="E11" s="330"/>
      <c r="F11" s="331"/>
      <c r="G11" s="332"/>
      <c r="H11" s="399"/>
      <c r="J11" s="43"/>
      <c r="L11">
        <v>3</v>
      </c>
    </row>
    <row r="12" spans="1:18" ht="16.5" customHeight="1">
      <c r="A12" s="322" t="s">
        <v>2883</v>
      </c>
      <c r="B12" s="439" t="s">
        <v>2885</v>
      </c>
      <c r="C12" s="341"/>
      <c r="D12" s="326">
        <v>420000</v>
      </c>
      <c r="E12" s="562" t="s">
        <v>2886</v>
      </c>
      <c r="F12" s="582"/>
      <c r="G12" s="583"/>
      <c r="H12" s="398" t="s">
        <v>2887</v>
      </c>
      <c r="J12" s="43"/>
      <c r="L12">
        <v>4</v>
      </c>
      <c r="M12">
        <v>10</v>
      </c>
    </row>
    <row r="13" spans="1:18" ht="16.5" customHeight="1">
      <c r="A13" s="323"/>
      <c r="B13" s="440"/>
      <c r="C13" s="342"/>
      <c r="D13" s="326"/>
      <c r="E13" s="584"/>
      <c r="F13" s="585"/>
      <c r="G13" s="586"/>
      <c r="H13" s="399"/>
      <c r="J13" s="43"/>
      <c r="L13">
        <v>1</v>
      </c>
    </row>
    <row r="14" spans="1:18" ht="16.5" customHeight="1">
      <c r="A14" s="322" t="s">
        <v>2884</v>
      </c>
      <c r="B14" s="439" t="s">
        <v>2891</v>
      </c>
      <c r="C14" s="341"/>
      <c r="D14" s="343">
        <v>210000</v>
      </c>
      <c r="E14" s="327"/>
      <c r="F14" s="345"/>
      <c r="G14" s="346"/>
      <c r="H14" s="398" t="s">
        <v>2895</v>
      </c>
    </row>
    <row r="15" spans="1:18" ht="16.5" customHeight="1">
      <c r="A15" s="323"/>
      <c r="B15" s="440"/>
      <c r="C15" s="342"/>
      <c r="D15" s="344"/>
      <c r="E15" s="347"/>
      <c r="F15" s="348"/>
      <c r="G15" s="349"/>
      <c r="H15" s="399"/>
      <c r="L15">
        <v>4</v>
      </c>
      <c r="M15">
        <v>12</v>
      </c>
    </row>
    <row r="16" spans="1:18" ht="16.5" customHeight="1">
      <c r="A16" s="322"/>
      <c r="B16" s="658" t="s">
        <v>2963</v>
      </c>
      <c r="C16" s="659"/>
      <c r="D16" s="659"/>
      <c r="E16" s="659"/>
      <c r="F16" s="659"/>
      <c r="G16" s="659"/>
      <c r="H16" s="660"/>
      <c r="J16" s="48">
        <v>12980000</v>
      </c>
      <c r="L16">
        <v>3</v>
      </c>
    </row>
    <row r="17" spans="1:12" ht="39" customHeight="1">
      <c r="A17" s="323"/>
      <c r="B17" s="661"/>
      <c r="C17" s="662"/>
      <c r="D17" s="662"/>
      <c r="E17" s="662"/>
      <c r="F17" s="662"/>
      <c r="G17" s="662"/>
      <c r="H17" s="663"/>
      <c r="J17" s="48">
        <v>1045000</v>
      </c>
      <c r="L17">
        <v>4</v>
      </c>
    </row>
    <row r="18" spans="1:12" ht="16.5" customHeight="1">
      <c r="A18" s="322" t="s">
        <v>2897</v>
      </c>
      <c r="B18" s="444" t="s">
        <v>2898</v>
      </c>
      <c r="C18" s="341"/>
      <c r="D18" s="326">
        <v>410000</v>
      </c>
      <c r="E18" s="327" t="s">
        <v>2910</v>
      </c>
      <c r="F18" s="328"/>
      <c r="G18" s="329"/>
      <c r="H18" s="360" t="s">
        <v>2961</v>
      </c>
      <c r="J18" s="48">
        <v>880000</v>
      </c>
      <c r="L18">
        <v>1</v>
      </c>
    </row>
    <row r="19" spans="1:12" ht="16.5" customHeight="1">
      <c r="A19" s="323"/>
      <c r="B19" s="445"/>
      <c r="C19" s="342"/>
      <c r="D19" s="326"/>
      <c r="E19" s="330"/>
      <c r="F19" s="331"/>
      <c r="G19" s="332"/>
      <c r="H19" s="359"/>
    </row>
    <row r="20" spans="1:12" ht="16.5" customHeight="1">
      <c r="A20" s="322" t="s">
        <v>2899</v>
      </c>
      <c r="B20" s="496" t="s">
        <v>2903</v>
      </c>
      <c r="C20" s="341"/>
      <c r="D20" s="326">
        <v>670000</v>
      </c>
      <c r="E20" s="327" t="s">
        <v>2909</v>
      </c>
      <c r="F20" s="328"/>
      <c r="G20" s="329"/>
      <c r="H20" s="360" t="s">
        <v>2911</v>
      </c>
    </row>
    <row r="21" spans="1:12" ht="26.25" customHeight="1">
      <c r="A21" s="323"/>
      <c r="B21" s="497"/>
      <c r="C21" s="342"/>
      <c r="D21" s="326"/>
      <c r="E21" s="330"/>
      <c r="F21" s="331"/>
      <c r="G21" s="332"/>
      <c r="H21" s="359"/>
    </row>
    <row r="22" spans="1:12" ht="16.5" customHeight="1">
      <c r="A22" s="322" t="s">
        <v>2899</v>
      </c>
      <c r="B22" s="496" t="s">
        <v>2904</v>
      </c>
      <c r="C22" s="324"/>
      <c r="D22" s="326">
        <v>200000</v>
      </c>
      <c r="E22" s="327"/>
      <c r="F22" s="328"/>
      <c r="G22" s="329"/>
      <c r="H22" s="360" t="s">
        <v>2960</v>
      </c>
      <c r="J22" s="57"/>
    </row>
    <row r="23" spans="1:12" ht="16.5" customHeight="1">
      <c r="A23" s="323"/>
      <c r="B23" s="497"/>
      <c r="C23" s="325"/>
      <c r="D23" s="326"/>
      <c r="E23" s="330"/>
      <c r="F23" s="331"/>
      <c r="G23" s="332"/>
      <c r="H23" s="359"/>
      <c r="J23" s="57"/>
    </row>
    <row r="24" spans="1:12" ht="16.5" customHeight="1">
      <c r="A24" s="322" t="s">
        <v>2899</v>
      </c>
      <c r="B24" s="596" t="s">
        <v>2905</v>
      </c>
      <c r="C24" s="341"/>
      <c r="D24" s="343">
        <v>220000</v>
      </c>
      <c r="E24" s="327" t="s">
        <v>2908</v>
      </c>
      <c r="F24" s="328"/>
      <c r="G24" s="329"/>
      <c r="H24" s="400" t="s">
        <v>2914</v>
      </c>
    </row>
    <row r="25" spans="1:12" ht="16.5" customHeight="1">
      <c r="A25" s="323"/>
      <c r="B25" s="597"/>
      <c r="C25" s="342"/>
      <c r="D25" s="344"/>
      <c r="E25" s="330"/>
      <c r="F25" s="331"/>
      <c r="G25" s="332"/>
      <c r="H25" s="401"/>
    </row>
    <row r="26" spans="1:12" ht="16.5" customHeight="1">
      <c r="A26" s="322" t="s">
        <v>2899</v>
      </c>
      <c r="B26" s="596" t="s">
        <v>2900</v>
      </c>
      <c r="C26" s="324"/>
      <c r="D26" s="343">
        <v>270000</v>
      </c>
      <c r="E26" s="562" t="s">
        <v>2907</v>
      </c>
      <c r="F26" s="563"/>
      <c r="G26" s="564"/>
      <c r="H26" s="400" t="s">
        <v>2914</v>
      </c>
    </row>
    <row r="27" spans="1:12" ht="41.25" customHeight="1">
      <c r="A27" s="323"/>
      <c r="B27" s="597"/>
      <c r="C27" s="325"/>
      <c r="D27" s="344"/>
      <c r="E27" s="565"/>
      <c r="F27" s="566"/>
      <c r="G27" s="567"/>
      <c r="H27" s="401"/>
    </row>
    <row r="28" spans="1:12" ht="16.5" customHeight="1">
      <c r="A28" s="322" t="s">
        <v>2901</v>
      </c>
      <c r="B28" s="496" t="s">
        <v>2902</v>
      </c>
      <c r="C28" s="341"/>
      <c r="D28" s="343">
        <v>180000</v>
      </c>
      <c r="E28" s="327" t="s">
        <v>2906</v>
      </c>
      <c r="F28" s="328"/>
      <c r="G28" s="329"/>
      <c r="H28" s="400" t="s">
        <v>2913</v>
      </c>
    </row>
    <row r="29" spans="1:12" ht="16.5" customHeight="1">
      <c r="A29" s="323"/>
      <c r="B29" s="497"/>
      <c r="C29" s="342"/>
      <c r="D29" s="344"/>
      <c r="E29" s="330"/>
      <c r="F29" s="331"/>
      <c r="G29" s="332"/>
      <c r="H29" s="401"/>
    </row>
    <row r="30" spans="1:12" ht="16.5" customHeight="1">
      <c r="A30" s="335" t="s">
        <v>2912</v>
      </c>
      <c r="B30" s="496" t="s">
        <v>2917</v>
      </c>
      <c r="C30" s="325" t="s">
        <v>2959</v>
      </c>
      <c r="D30" s="326">
        <v>290000</v>
      </c>
      <c r="E30" s="327"/>
      <c r="F30" s="328"/>
      <c r="G30" s="329"/>
      <c r="H30" s="359" t="s">
        <v>2916</v>
      </c>
    </row>
    <row r="31" spans="1:12" ht="18.75" customHeight="1">
      <c r="A31" s="336"/>
      <c r="B31" s="497"/>
      <c r="C31" s="325"/>
      <c r="D31" s="326"/>
      <c r="E31" s="330"/>
      <c r="F31" s="331"/>
      <c r="G31" s="332"/>
      <c r="H31" s="359"/>
    </row>
    <row r="32" spans="1:12" ht="16.5" customHeight="1">
      <c r="A32" s="322" t="s">
        <v>2918</v>
      </c>
      <c r="B32" s="496" t="s">
        <v>2953</v>
      </c>
      <c r="C32" s="325" t="s">
        <v>2954</v>
      </c>
      <c r="D32" s="326">
        <v>650000</v>
      </c>
      <c r="E32" s="562" t="s">
        <v>2919</v>
      </c>
      <c r="F32" s="582"/>
      <c r="G32" s="583"/>
      <c r="H32" s="359" t="s">
        <v>2915</v>
      </c>
    </row>
    <row r="33" spans="1:18" ht="24.75" customHeight="1">
      <c r="A33" s="323"/>
      <c r="B33" s="497"/>
      <c r="C33" s="325"/>
      <c r="D33" s="326"/>
      <c r="E33" s="584"/>
      <c r="F33" s="585"/>
      <c r="G33" s="586"/>
      <c r="H33" s="359"/>
    </row>
    <row r="34" spans="1:18" ht="16.5" customHeight="1">
      <c r="A34" s="322" t="s">
        <v>2920</v>
      </c>
      <c r="B34" s="496" t="s">
        <v>2921</v>
      </c>
      <c r="C34" s="325"/>
      <c r="D34" s="326">
        <v>310000</v>
      </c>
      <c r="E34" s="327" t="s">
        <v>2955</v>
      </c>
      <c r="F34" s="328"/>
      <c r="G34" s="329"/>
      <c r="H34" s="360" t="s">
        <v>2922</v>
      </c>
    </row>
    <row r="35" spans="1:18" ht="55.5" customHeight="1">
      <c r="A35" s="323"/>
      <c r="B35" s="497"/>
      <c r="C35" s="325"/>
      <c r="D35" s="326"/>
      <c r="E35" s="330"/>
      <c r="F35" s="331"/>
      <c r="G35" s="332"/>
      <c r="H35" s="359"/>
    </row>
    <row r="36" spans="1:18" ht="16.5" customHeight="1">
      <c r="A36" s="322" t="s">
        <v>2925</v>
      </c>
      <c r="B36" s="496" t="s">
        <v>2931</v>
      </c>
      <c r="C36" s="341"/>
      <c r="D36" s="343">
        <v>20405000</v>
      </c>
      <c r="E36" s="327"/>
      <c r="F36" s="345"/>
      <c r="G36" s="346"/>
      <c r="H36" s="360" t="s">
        <v>1524</v>
      </c>
    </row>
    <row r="37" spans="1:18" ht="16.5" customHeight="1">
      <c r="A37" s="323"/>
      <c r="B37" s="497"/>
      <c r="C37" s="352"/>
      <c r="D37" s="344"/>
      <c r="E37" s="347"/>
      <c r="F37" s="348"/>
      <c r="G37" s="349"/>
      <c r="H37" s="359"/>
    </row>
    <row r="38" spans="1:18" ht="16.5" customHeight="1">
      <c r="A38" s="322" t="s">
        <v>2925</v>
      </c>
      <c r="B38" s="496" t="s">
        <v>2930</v>
      </c>
      <c r="C38" s="324"/>
      <c r="D38" s="326">
        <v>80000</v>
      </c>
      <c r="E38" s="327"/>
      <c r="F38" s="328"/>
      <c r="G38" s="329"/>
      <c r="H38" s="360" t="s">
        <v>2929</v>
      </c>
    </row>
    <row r="39" spans="1:18" ht="16.5" customHeight="1">
      <c r="A39" s="323"/>
      <c r="B39" s="497"/>
      <c r="C39" s="325"/>
      <c r="D39" s="326"/>
      <c r="E39" s="330"/>
      <c r="F39" s="331"/>
      <c r="G39" s="332"/>
      <c r="H39" s="359"/>
      <c r="J39" t="s">
        <v>2926</v>
      </c>
    </row>
    <row r="40" spans="1:18" ht="16.5" customHeight="1">
      <c r="A40" s="322" t="s">
        <v>2927</v>
      </c>
      <c r="B40" s="496" t="s">
        <v>2948</v>
      </c>
      <c r="C40" s="324"/>
      <c r="D40" s="343">
        <v>120000</v>
      </c>
      <c r="E40" s="327" t="s">
        <v>2949</v>
      </c>
      <c r="F40" s="328"/>
      <c r="G40" s="329"/>
      <c r="H40" s="359" t="s">
        <v>2928</v>
      </c>
    </row>
    <row r="41" spans="1:18" ht="36.75" customHeight="1">
      <c r="A41" s="323"/>
      <c r="B41" s="497"/>
      <c r="C41" s="325"/>
      <c r="D41" s="344"/>
      <c r="E41" s="330"/>
      <c r="F41" s="331"/>
      <c r="G41" s="332"/>
      <c r="H41" s="359"/>
    </row>
    <row r="42" spans="1:18" ht="64.5" customHeight="1">
      <c r="A42" s="73"/>
      <c r="B42" s="718" t="s">
        <v>2975</v>
      </c>
      <c r="C42" s="719"/>
      <c r="D42" s="719"/>
      <c r="E42" s="719"/>
      <c r="F42" s="719"/>
      <c r="G42" s="719"/>
      <c r="H42" s="720"/>
    </row>
    <row r="43" spans="1:18">
      <c r="A43" s="322" t="s">
        <v>2932</v>
      </c>
      <c r="B43" s="498" t="s">
        <v>2934</v>
      </c>
      <c r="C43" s="324" t="s">
        <v>2935</v>
      </c>
      <c r="D43" s="343">
        <v>330000</v>
      </c>
      <c r="E43" s="574" t="s">
        <v>2936</v>
      </c>
      <c r="F43" s="575"/>
      <c r="G43" s="575"/>
      <c r="H43" s="359" t="s">
        <v>2933</v>
      </c>
    </row>
    <row r="44" spans="1:18" ht="32.25" customHeight="1">
      <c r="A44" s="323"/>
      <c r="B44" s="499"/>
      <c r="C44" s="325"/>
      <c r="D44" s="344"/>
      <c r="E44" s="575"/>
      <c r="F44" s="575"/>
      <c r="G44" s="575"/>
      <c r="H44" s="359"/>
      <c r="R44" t="s">
        <v>2977</v>
      </c>
    </row>
    <row r="45" spans="1:18">
      <c r="A45" s="322" t="s">
        <v>2937</v>
      </c>
      <c r="B45" s="498" t="s">
        <v>2938</v>
      </c>
      <c r="C45" s="324"/>
      <c r="D45" s="343">
        <v>452100</v>
      </c>
      <c r="E45" s="337" t="s">
        <v>2939</v>
      </c>
      <c r="F45" s="326"/>
      <c r="G45" s="326"/>
      <c r="H45" s="360" t="s">
        <v>1524</v>
      </c>
    </row>
    <row r="46" spans="1:18">
      <c r="A46" s="323"/>
      <c r="B46" s="499"/>
      <c r="C46" s="325"/>
      <c r="D46" s="344"/>
      <c r="E46" s="326"/>
      <c r="F46" s="326"/>
      <c r="G46" s="326"/>
      <c r="H46" s="359"/>
    </row>
    <row r="47" spans="1:18">
      <c r="A47" s="322" t="s">
        <v>2942</v>
      </c>
      <c r="B47" s="498" t="s">
        <v>2945</v>
      </c>
      <c r="C47" s="324"/>
      <c r="D47" s="343">
        <v>40000</v>
      </c>
      <c r="E47" s="337" t="s">
        <v>2946</v>
      </c>
      <c r="F47" s="326"/>
      <c r="G47" s="326"/>
      <c r="H47" s="359" t="s">
        <v>2947</v>
      </c>
    </row>
    <row r="48" spans="1:18">
      <c r="A48" s="323"/>
      <c r="B48" s="499"/>
      <c r="C48" s="325"/>
      <c r="D48" s="344"/>
      <c r="E48" s="326"/>
      <c r="F48" s="326"/>
      <c r="G48" s="326"/>
      <c r="H48" s="359"/>
    </row>
    <row r="49" spans="1:8">
      <c r="A49" s="322" t="s">
        <v>2942</v>
      </c>
      <c r="B49" s="498" t="s">
        <v>2962</v>
      </c>
      <c r="C49" s="324"/>
      <c r="D49" s="326">
        <v>2100000</v>
      </c>
      <c r="E49" s="337" t="s">
        <v>2951</v>
      </c>
      <c r="F49" s="326"/>
      <c r="G49" s="326"/>
      <c r="H49" s="359" t="s">
        <v>2964</v>
      </c>
    </row>
    <row r="50" spans="1:8" ht="15.75" customHeight="1">
      <c r="A50" s="323"/>
      <c r="B50" s="499"/>
      <c r="C50" s="325"/>
      <c r="D50" s="326"/>
      <c r="E50" s="326"/>
      <c r="F50" s="326"/>
      <c r="G50" s="326"/>
      <c r="H50" s="359"/>
    </row>
    <row r="51" spans="1:8" ht="54.75" customHeight="1">
      <c r="A51" s="54" t="s">
        <v>2943</v>
      </c>
      <c r="B51" s="64" t="s">
        <v>2944</v>
      </c>
      <c r="C51" s="70" t="s">
        <v>2950</v>
      </c>
      <c r="D51" s="71">
        <v>560000</v>
      </c>
      <c r="E51" s="721" t="s">
        <v>2940</v>
      </c>
      <c r="F51" s="722"/>
      <c r="G51" s="723"/>
      <c r="H51" s="72" t="s">
        <v>2941</v>
      </c>
    </row>
    <row r="52" spans="1:8">
      <c r="A52" s="322" t="s">
        <v>2952</v>
      </c>
      <c r="B52" s="324" t="s">
        <v>2956</v>
      </c>
      <c r="C52" s="325" t="s">
        <v>2959</v>
      </c>
      <c r="D52" s="326">
        <v>20000</v>
      </c>
      <c r="E52" s="337" t="s">
        <v>2957</v>
      </c>
      <c r="F52" s="326"/>
      <c r="G52" s="326"/>
      <c r="H52" s="359" t="s">
        <v>2958</v>
      </c>
    </row>
    <row r="53" spans="1:8">
      <c r="A53" s="323"/>
      <c r="B53" s="325"/>
      <c r="C53" s="325"/>
      <c r="D53" s="326"/>
      <c r="E53" s="326"/>
      <c r="F53" s="326"/>
      <c r="G53" s="326"/>
      <c r="H53" s="359"/>
    </row>
    <row r="54" spans="1:8" ht="16.5" customHeight="1">
      <c r="A54" s="322" t="s">
        <v>2965</v>
      </c>
      <c r="B54" s="324" t="s">
        <v>2966</v>
      </c>
      <c r="C54" s="324"/>
      <c r="D54" s="326">
        <v>330000</v>
      </c>
      <c r="E54" s="337"/>
      <c r="F54" s="326"/>
      <c r="G54" s="326"/>
      <c r="H54" s="360" t="s">
        <v>2967</v>
      </c>
    </row>
    <row r="55" spans="1:8">
      <c r="A55" s="323"/>
      <c r="B55" s="325"/>
      <c r="C55" s="325"/>
      <c r="D55" s="326"/>
      <c r="E55" s="326"/>
      <c r="F55" s="326"/>
      <c r="G55" s="326"/>
      <c r="H55" s="359"/>
    </row>
    <row r="56" spans="1:8">
      <c r="A56" s="322" t="s">
        <v>2968</v>
      </c>
      <c r="B56" s="324" t="s">
        <v>2969</v>
      </c>
      <c r="C56" s="325"/>
      <c r="D56" s="326">
        <v>1700000</v>
      </c>
      <c r="E56" s="337"/>
      <c r="F56" s="326"/>
      <c r="G56" s="326"/>
      <c r="H56" s="359" t="s">
        <v>2970</v>
      </c>
    </row>
    <row r="57" spans="1:8">
      <c r="A57" s="323"/>
      <c r="B57" s="325"/>
      <c r="C57" s="325"/>
      <c r="D57" s="326"/>
      <c r="E57" s="326"/>
      <c r="F57" s="326"/>
      <c r="G57" s="326"/>
      <c r="H57" s="359"/>
    </row>
    <row r="58" spans="1:8" ht="51.75" customHeight="1">
      <c r="A58" s="73"/>
      <c r="B58" s="724" t="s">
        <v>3036</v>
      </c>
      <c r="C58" s="725"/>
      <c r="D58" s="725"/>
      <c r="E58" s="725"/>
      <c r="F58" s="725"/>
      <c r="G58" s="725"/>
      <c r="H58" s="726"/>
    </row>
    <row r="59" spans="1:8">
      <c r="A59" s="322" t="s">
        <v>2971</v>
      </c>
      <c r="B59" s="324" t="s">
        <v>2974</v>
      </c>
      <c r="C59" s="324"/>
      <c r="D59" s="326">
        <v>1310000</v>
      </c>
      <c r="E59" s="574" t="s">
        <v>2976</v>
      </c>
      <c r="F59" s="575"/>
      <c r="G59" s="575"/>
      <c r="H59" s="360" t="s">
        <v>2979</v>
      </c>
    </row>
    <row r="60" spans="1:8">
      <c r="A60" s="323"/>
      <c r="B60" s="325"/>
      <c r="C60" s="325"/>
      <c r="D60" s="326"/>
      <c r="E60" s="575"/>
      <c r="F60" s="575"/>
      <c r="G60" s="575"/>
      <c r="H60" s="359"/>
    </row>
    <row r="61" spans="1:8">
      <c r="A61" s="322" t="s">
        <v>2972</v>
      </c>
      <c r="B61" s="324" t="s">
        <v>2973</v>
      </c>
      <c r="C61" s="325"/>
      <c r="D61" s="326">
        <v>120000</v>
      </c>
      <c r="E61" s="337"/>
      <c r="F61" s="326"/>
      <c r="G61" s="326"/>
      <c r="H61" s="359"/>
    </row>
    <row r="62" spans="1:8">
      <c r="A62" s="323"/>
      <c r="B62" s="325"/>
      <c r="C62" s="325"/>
      <c r="D62" s="326"/>
      <c r="E62" s="326"/>
      <c r="F62" s="326"/>
      <c r="G62" s="326"/>
      <c r="H62" s="359"/>
    </row>
    <row r="63" spans="1:8">
      <c r="A63" s="323" t="s">
        <v>2978</v>
      </c>
      <c r="B63" s="324" t="s">
        <v>2980</v>
      </c>
      <c r="C63" s="325"/>
      <c r="D63" s="326">
        <v>890000</v>
      </c>
      <c r="E63" s="337" t="s">
        <v>2987</v>
      </c>
      <c r="F63" s="326"/>
      <c r="G63" s="326"/>
      <c r="H63" s="359" t="s">
        <v>2983</v>
      </c>
    </row>
    <row r="64" spans="1:8" ht="42.75" customHeight="1">
      <c r="A64" s="323"/>
      <c r="B64" s="325"/>
      <c r="C64" s="325"/>
      <c r="D64" s="326"/>
      <c r="E64" s="326"/>
      <c r="F64" s="326"/>
      <c r="G64" s="326"/>
      <c r="H64" s="359"/>
    </row>
    <row r="65" spans="1:8" ht="16.5" customHeight="1">
      <c r="A65" s="323" t="s">
        <v>2978</v>
      </c>
      <c r="B65" s="324" t="s">
        <v>2981</v>
      </c>
      <c r="C65" s="325"/>
      <c r="D65" s="326">
        <v>440000</v>
      </c>
      <c r="E65" s="337" t="s">
        <v>2988</v>
      </c>
      <c r="F65" s="326"/>
      <c r="G65" s="326"/>
      <c r="H65" s="359" t="s">
        <v>2982</v>
      </c>
    </row>
    <row r="66" spans="1:8">
      <c r="A66" s="323"/>
      <c r="B66" s="325"/>
      <c r="C66" s="325"/>
      <c r="D66" s="326"/>
      <c r="E66" s="326"/>
      <c r="F66" s="326"/>
      <c r="G66" s="326"/>
      <c r="H66" s="359"/>
    </row>
    <row r="67" spans="1:8">
      <c r="A67" s="322" t="s">
        <v>2985</v>
      </c>
      <c r="B67" s="324" t="s">
        <v>2986</v>
      </c>
      <c r="C67" s="325"/>
      <c r="D67" s="326">
        <v>50000</v>
      </c>
      <c r="E67" s="337" t="s">
        <v>2989</v>
      </c>
      <c r="F67" s="326"/>
      <c r="G67" s="326"/>
      <c r="H67" s="359" t="s">
        <v>2984</v>
      </c>
    </row>
    <row r="68" spans="1:8">
      <c r="A68" s="323"/>
      <c r="B68" s="325"/>
      <c r="C68" s="325"/>
      <c r="D68" s="326"/>
      <c r="E68" s="326"/>
      <c r="F68" s="326"/>
      <c r="G68" s="326"/>
      <c r="H68" s="359"/>
    </row>
    <row r="69" spans="1:8">
      <c r="A69" s="322" t="s">
        <v>2990</v>
      </c>
      <c r="B69" s="325" t="s">
        <v>2991</v>
      </c>
      <c r="C69" s="325"/>
      <c r="D69" s="326">
        <v>159000</v>
      </c>
      <c r="E69" s="337"/>
      <c r="F69" s="326"/>
      <c r="G69" s="326"/>
      <c r="H69" s="359" t="s">
        <v>2992</v>
      </c>
    </row>
    <row r="70" spans="1:8" ht="30.75" customHeight="1">
      <c r="A70" s="323"/>
      <c r="B70" s="325"/>
      <c r="C70" s="325"/>
      <c r="D70" s="326"/>
      <c r="E70" s="326"/>
      <c r="F70" s="326"/>
      <c r="G70" s="326"/>
      <c r="H70" s="359"/>
    </row>
    <row r="71" spans="1:8">
      <c r="A71" s="322" t="s">
        <v>2993</v>
      </c>
      <c r="B71" s="324" t="s">
        <v>2994</v>
      </c>
      <c r="C71" s="325"/>
      <c r="D71" s="326">
        <v>1315000</v>
      </c>
      <c r="E71" s="574" t="s">
        <v>2995</v>
      </c>
      <c r="F71" s="575"/>
      <c r="G71" s="575"/>
      <c r="H71" s="359" t="s">
        <v>3009</v>
      </c>
    </row>
    <row r="72" spans="1:8">
      <c r="A72" s="323"/>
      <c r="B72" s="325"/>
      <c r="C72" s="325"/>
      <c r="D72" s="326"/>
      <c r="E72" s="575"/>
      <c r="F72" s="575"/>
      <c r="G72" s="575"/>
      <c r="H72" s="359"/>
    </row>
    <row r="73" spans="1:8">
      <c r="A73" s="322" t="s">
        <v>2993</v>
      </c>
      <c r="B73" s="324" t="s">
        <v>3014</v>
      </c>
      <c r="C73" s="325"/>
      <c r="D73" s="326">
        <v>320000</v>
      </c>
      <c r="E73" s="574" t="s">
        <v>3013</v>
      </c>
      <c r="F73" s="727"/>
      <c r="G73" s="727"/>
      <c r="H73" s="359" t="s">
        <v>3003</v>
      </c>
    </row>
    <row r="74" spans="1:8" s="30" customFormat="1">
      <c r="A74" s="323"/>
      <c r="B74" s="325"/>
      <c r="C74" s="325"/>
      <c r="D74" s="326"/>
      <c r="E74" s="727"/>
      <c r="F74" s="727"/>
      <c r="G74" s="727"/>
      <c r="H74" s="359"/>
    </row>
    <row r="75" spans="1:8">
      <c r="A75" s="322" t="s">
        <v>2993</v>
      </c>
      <c r="B75" s="324" t="s">
        <v>3000</v>
      </c>
      <c r="C75" s="325"/>
      <c r="D75" s="326">
        <v>230000</v>
      </c>
      <c r="E75" s="337" t="s">
        <v>3015</v>
      </c>
      <c r="F75" s="326"/>
      <c r="G75" s="326"/>
      <c r="H75" s="400" t="s">
        <v>3002</v>
      </c>
    </row>
    <row r="76" spans="1:8">
      <c r="A76" s="323"/>
      <c r="B76" s="325"/>
      <c r="C76" s="325"/>
      <c r="D76" s="326"/>
      <c r="E76" s="326"/>
      <c r="F76" s="326"/>
      <c r="G76" s="326"/>
      <c r="H76" s="401"/>
    </row>
    <row r="77" spans="1:8">
      <c r="A77" s="322" t="s">
        <v>2993</v>
      </c>
      <c r="B77" s="324" t="s">
        <v>3001</v>
      </c>
      <c r="C77" s="325"/>
      <c r="D77" s="326">
        <v>330000</v>
      </c>
      <c r="E77" s="337" t="s">
        <v>3016</v>
      </c>
      <c r="F77" s="326"/>
      <c r="G77" s="326"/>
      <c r="H77" s="359" t="s">
        <v>3003</v>
      </c>
    </row>
    <row r="78" spans="1:8" ht="27.75" customHeight="1">
      <c r="A78" s="323"/>
      <c r="B78" s="325"/>
      <c r="C78" s="325"/>
      <c r="D78" s="326"/>
      <c r="E78" s="326"/>
      <c r="F78" s="326"/>
      <c r="G78" s="326"/>
      <c r="H78" s="359"/>
    </row>
    <row r="79" spans="1:8">
      <c r="A79" s="322" t="s">
        <v>2993</v>
      </c>
      <c r="B79" s="324" t="s">
        <v>2996</v>
      </c>
      <c r="C79" s="325"/>
      <c r="D79" s="326">
        <v>50000</v>
      </c>
      <c r="E79" s="326" t="s">
        <v>2999</v>
      </c>
      <c r="F79" s="326"/>
      <c r="G79" s="326"/>
      <c r="H79" s="359" t="s">
        <v>2997</v>
      </c>
    </row>
    <row r="80" spans="1:8">
      <c r="A80" s="323"/>
      <c r="B80" s="325"/>
      <c r="C80" s="325"/>
      <c r="D80" s="326"/>
      <c r="E80" s="326"/>
      <c r="F80" s="326"/>
      <c r="G80" s="326"/>
      <c r="H80" s="359"/>
    </row>
    <row r="81" spans="1:8">
      <c r="A81" s="322" t="s">
        <v>2993</v>
      </c>
      <c r="B81" s="324" t="s">
        <v>2996</v>
      </c>
      <c r="C81" s="325"/>
      <c r="D81" s="326">
        <v>4000</v>
      </c>
      <c r="E81" s="337"/>
      <c r="F81" s="326"/>
      <c r="G81" s="326"/>
      <c r="H81" s="360" t="s">
        <v>2998</v>
      </c>
    </row>
    <row r="82" spans="1:8" s="30" customFormat="1">
      <c r="A82" s="323"/>
      <c r="B82" s="325"/>
      <c r="C82" s="325"/>
      <c r="D82" s="326"/>
      <c r="E82" s="326"/>
      <c r="F82" s="326"/>
      <c r="G82" s="326"/>
      <c r="H82" s="359"/>
    </row>
    <row r="83" spans="1:8">
      <c r="A83" s="323" t="s">
        <v>3004</v>
      </c>
      <c r="B83" s="325" t="s">
        <v>3011</v>
      </c>
      <c r="C83" s="325"/>
      <c r="D83" s="326">
        <v>310000</v>
      </c>
      <c r="E83" s="574" t="s">
        <v>3012</v>
      </c>
      <c r="F83" s="575"/>
      <c r="G83" s="575"/>
      <c r="H83" s="360" t="s">
        <v>3009</v>
      </c>
    </row>
    <row r="84" spans="1:8">
      <c r="A84" s="323"/>
      <c r="B84" s="325"/>
      <c r="C84" s="325"/>
      <c r="D84" s="326"/>
      <c r="E84" s="575"/>
      <c r="F84" s="575"/>
      <c r="G84" s="575"/>
      <c r="H84" s="359"/>
    </row>
    <row r="85" spans="1:8">
      <c r="A85" s="322" t="s">
        <v>3005</v>
      </c>
      <c r="B85" s="325" t="s">
        <v>3010</v>
      </c>
      <c r="C85" s="325" t="s">
        <v>3022</v>
      </c>
      <c r="D85" s="326">
        <v>180000</v>
      </c>
      <c r="E85" s="337"/>
      <c r="F85" s="326"/>
      <c r="G85" s="326"/>
      <c r="H85" s="360" t="s">
        <v>3024</v>
      </c>
    </row>
    <row r="86" spans="1:8">
      <c r="A86" s="323"/>
      <c r="B86" s="325"/>
      <c r="C86" s="325"/>
      <c r="D86" s="326"/>
      <c r="E86" s="326"/>
      <c r="F86" s="326"/>
      <c r="G86" s="326"/>
      <c r="H86" s="359"/>
    </row>
    <row r="87" spans="1:8">
      <c r="A87" s="322" t="s">
        <v>3005</v>
      </c>
      <c r="B87" s="324" t="s">
        <v>3006</v>
      </c>
      <c r="C87" s="325" t="s">
        <v>3021</v>
      </c>
      <c r="D87" s="326">
        <v>100000</v>
      </c>
      <c r="E87" s="337" t="s">
        <v>3019</v>
      </c>
      <c r="F87" s="326"/>
      <c r="G87" s="326"/>
      <c r="H87" s="360" t="s">
        <v>3007</v>
      </c>
    </row>
    <row r="88" spans="1:8" s="30" customFormat="1">
      <c r="A88" s="323"/>
      <c r="B88" s="325"/>
      <c r="C88" s="325"/>
      <c r="D88" s="326"/>
      <c r="E88" s="326"/>
      <c r="F88" s="326"/>
      <c r="G88" s="326"/>
      <c r="H88" s="359"/>
    </row>
    <row r="89" spans="1:8">
      <c r="A89" s="322" t="s">
        <v>3005</v>
      </c>
      <c r="B89" s="324" t="s">
        <v>3006</v>
      </c>
      <c r="C89" s="325"/>
      <c r="D89" s="326">
        <v>135000</v>
      </c>
      <c r="E89" s="326" t="s">
        <v>3020</v>
      </c>
      <c r="F89" s="326"/>
      <c r="G89" s="326"/>
      <c r="H89" s="360" t="s">
        <v>3008</v>
      </c>
    </row>
    <row r="90" spans="1:8">
      <c r="A90" s="323"/>
      <c r="B90" s="325"/>
      <c r="C90" s="325"/>
      <c r="D90" s="326"/>
      <c r="E90" s="326"/>
      <c r="F90" s="326"/>
      <c r="G90" s="326"/>
      <c r="H90" s="359"/>
    </row>
    <row r="91" spans="1:8">
      <c r="A91" s="322" t="s">
        <v>3005</v>
      </c>
      <c r="B91" s="325" t="s">
        <v>3010</v>
      </c>
      <c r="C91" s="325" t="s">
        <v>3022</v>
      </c>
      <c r="D91" s="326">
        <v>73000</v>
      </c>
      <c r="E91" s="337" t="s">
        <v>3018</v>
      </c>
      <c r="F91" s="326"/>
      <c r="G91" s="326"/>
      <c r="H91" s="360" t="s">
        <v>3017</v>
      </c>
    </row>
    <row r="92" spans="1:8" s="30" customFormat="1">
      <c r="A92" s="323"/>
      <c r="B92" s="325"/>
      <c r="C92" s="325"/>
      <c r="D92" s="326"/>
      <c r="E92" s="326"/>
      <c r="F92" s="326"/>
      <c r="G92" s="326"/>
      <c r="H92" s="359"/>
    </row>
    <row r="93" spans="1:8">
      <c r="A93" s="322" t="s">
        <v>3023</v>
      </c>
      <c r="B93" s="325"/>
      <c r="C93" s="325"/>
      <c r="D93" s="326">
        <v>780000</v>
      </c>
      <c r="E93" s="337"/>
      <c r="F93" s="326"/>
      <c r="G93" s="326"/>
      <c r="H93" s="360" t="s">
        <v>3030</v>
      </c>
    </row>
    <row r="94" spans="1:8">
      <c r="A94" s="323"/>
      <c r="B94" s="325"/>
      <c r="C94" s="325"/>
      <c r="D94" s="326"/>
      <c r="E94" s="326"/>
      <c r="F94" s="326"/>
      <c r="G94" s="326"/>
      <c r="H94" s="359"/>
    </row>
    <row r="95" spans="1:8">
      <c r="A95" s="322" t="s">
        <v>3025</v>
      </c>
      <c r="B95" s="324" t="s">
        <v>3026</v>
      </c>
      <c r="C95" s="325"/>
      <c r="D95" s="326">
        <v>143000</v>
      </c>
      <c r="E95" s="337"/>
      <c r="F95" s="326"/>
      <c r="G95" s="326"/>
      <c r="H95" s="360" t="s">
        <v>3030</v>
      </c>
    </row>
    <row r="96" spans="1:8">
      <c r="A96" s="323"/>
      <c r="B96" s="325"/>
      <c r="C96" s="325"/>
      <c r="D96" s="326"/>
      <c r="E96" s="326"/>
      <c r="F96" s="326"/>
      <c r="G96" s="326"/>
      <c r="H96" s="359"/>
    </row>
    <row r="97" spans="1:8" ht="39.75" customHeight="1">
      <c r="A97" s="74"/>
      <c r="B97" s="728" t="s">
        <v>3037</v>
      </c>
      <c r="C97" s="725"/>
      <c r="D97" s="725"/>
      <c r="E97" s="725"/>
      <c r="F97" s="725"/>
      <c r="G97" s="725"/>
      <c r="H97" s="726"/>
    </row>
    <row r="98" spans="1:8" ht="16.5" customHeight="1">
      <c r="A98" s="322" t="s">
        <v>3027</v>
      </c>
      <c r="B98" s="324" t="s">
        <v>3028</v>
      </c>
      <c r="C98" s="324"/>
      <c r="D98" s="326">
        <v>120000</v>
      </c>
      <c r="E98" s="327" t="s">
        <v>3029</v>
      </c>
      <c r="F98" s="328"/>
      <c r="G98" s="329"/>
      <c r="H98" s="360" t="s">
        <v>3030</v>
      </c>
    </row>
    <row r="99" spans="1:8" ht="46.5" customHeight="1">
      <c r="A99" s="323"/>
      <c r="B99" s="325"/>
      <c r="C99" s="325"/>
      <c r="D99" s="326"/>
      <c r="E99" s="330"/>
      <c r="F99" s="331"/>
      <c r="G99" s="332"/>
      <c r="H99" s="359"/>
    </row>
    <row r="100" spans="1:8" ht="16.5" customHeight="1">
      <c r="A100" s="322" t="s">
        <v>3031</v>
      </c>
      <c r="B100" s="324" t="s">
        <v>3032</v>
      </c>
      <c r="C100" s="325"/>
      <c r="D100" s="326">
        <v>158000</v>
      </c>
      <c r="E100" s="326"/>
      <c r="F100" s="326"/>
      <c r="G100" s="326"/>
      <c r="H100" s="400" t="s">
        <v>3035</v>
      </c>
    </row>
    <row r="101" spans="1:8" ht="16.5" customHeight="1">
      <c r="A101" s="323"/>
      <c r="B101" s="325"/>
      <c r="C101" s="325"/>
      <c r="D101" s="326"/>
      <c r="E101" s="326"/>
      <c r="F101" s="326"/>
      <c r="G101" s="326"/>
      <c r="H101" s="401"/>
    </row>
    <row r="102" spans="1:8" ht="16.5" customHeight="1">
      <c r="A102" s="322" t="s">
        <v>3031</v>
      </c>
      <c r="B102" s="324" t="s">
        <v>3033</v>
      </c>
      <c r="C102" s="325"/>
      <c r="D102" s="326">
        <v>120000</v>
      </c>
      <c r="E102" s="337"/>
      <c r="F102" s="326"/>
      <c r="G102" s="326"/>
      <c r="H102" s="400" t="s">
        <v>3034</v>
      </c>
    </row>
    <row r="103" spans="1:8" ht="16.5" customHeight="1">
      <c r="A103" s="323"/>
      <c r="B103" s="325"/>
      <c r="C103" s="325"/>
      <c r="D103" s="326"/>
      <c r="E103" s="326"/>
      <c r="F103" s="326"/>
      <c r="G103" s="326"/>
      <c r="H103" s="401"/>
    </row>
    <row r="104" spans="1:8" ht="16.5" customHeight="1">
      <c r="A104" s="336" t="s">
        <v>3038</v>
      </c>
      <c r="B104" s="324" t="s">
        <v>3044</v>
      </c>
      <c r="C104" s="324"/>
      <c r="D104" s="326">
        <v>880000</v>
      </c>
      <c r="E104" s="327"/>
      <c r="F104" s="328"/>
      <c r="G104" s="329"/>
      <c r="H104" s="360" t="s">
        <v>3040</v>
      </c>
    </row>
    <row r="105" spans="1:8" ht="16.5" customHeight="1">
      <c r="A105" s="323"/>
      <c r="B105" s="325"/>
      <c r="C105" s="325"/>
      <c r="D105" s="326"/>
      <c r="E105" s="330"/>
      <c r="F105" s="331"/>
      <c r="G105" s="332"/>
      <c r="H105" s="359"/>
    </row>
    <row r="106" spans="1:8" ht="16.5" customHeight="1">
      <c r="A106" s="322" t="s">
        <v>3039</v>
      </c>
      <c r="B106" s="324" t="s">
        <v>3043</v>
      </c>
      <c r="C106" s="325"/>
      <c r="D106" s="326">
        <v>120000</v>
      </c>
      <c r="E106" s="327"/>
      <c r="F106" s="328"/>
      <c r="G106" s="329"/>
      <c r="H106" s="400" t="s">
        <v>3041</v>
      </c>
    </row>
    <row r="107" spans="1:8" ht="16.5" customHeight="1">
      <c r="A107" s="323"/>
      <c r="B107" s="325"/>
      <c r="C107" s="325"/>
      <c r="D107" s="326"/>
      <c r="E107" s="330"/>
      <c r="F107" s="331"/>
      <c r="G107" s="332"/>
      <c r="H107" s="401"/>
    </row>
    <row r="108" spans="1:8" ht="16.5" customHeight="1">
      <c r="A108" s="322" t="s">
        <v>3038</v>
      </c>
      <c r="B108" s="324" t="s">
        <v>3043</v>
      </c>
      <c r="C108" s="324"/>
      <c r="D108" s="326">
        <v>85000</v>
      </c>
      <c r="E108" s="327"/>
      <c r="F108" s="328"/>
      <c r="G108" s="329"/>
      <c r="H108" s="400" t="s">
        <v>3042</v>
      </c>
    </row>
    <row r="109" spans="1:8" ht="16.5" customHeight="1">
      <c r="A109" s="323"/>
      <c r="B109" s="325"/>
      <c r="C109" s="325"/>
      <c r="D109" s="326"/>
      <c r="E109" s="330"/>
      <c r="F109" s="331"/>
      <c r="G109" s="332"/>
      <c r="H109" s="401"/>
    </row>
    <row r="110" spans="1:8" ht="16.5" customHeight="1">
      <c r="A110" s="322"/>
      <c r="B110" s="324"/>
      <c r="C110" s="325"/>
      <c r="D110" s="326"/>
      <c r="E110" s="327"/>
      <c r="F110" s="328"/>
      <c r="G110" s="329"/>
      <c r="H110" s="359"/>
    </row>
    <row r="111" spans="1:8" ht="16.5" customHeight="1">
      <c r="A111" s="323"/>
      <c r="B111" s="325"/>
      <c r="C111" s="325"/>
      <c r="D111" s="326"/>
      <c r="E111" s="330"/>
      <c r="F111" s="331"/>
      <c r="G111" s="332"/>
      <c r="H111" s="359"/>
    </row>
    <row r="112" spans="1:8" ht="16.5" customHeight="1">
      <c r="A112" s="322"/>
      <c r="B112" s="644" t="s">
        <v>3154</v>
      </c>
      <c r="C112" s="645"/>
      <c r="D112" s="645"/>
      <c r="E112" s="645"/>
      <c r="F112" s="645"/>
      <c r="G112" s="645"/>
      <c r="H112" s="646"/>
    </row>
    <row r="113" spans="1:11" ht="30" customHeight="1">
      <c r="A113" s="323"/>
      <c r="B113" s="647"/>
      <c r="C113" s="648"/>
      <c r="D113" s="648"/>
      <c r="E113" s="648"/>
      <c r="F113" s="648"/>
      <c r="G113" s="648"/>
      <c r="H113" s="649"/>
    </row>
    <row r="114" spans="1:11" ht="16.5" customHeight="1">
      <c r="A114" s="322"/>
      <c r="B114" s="324"/>
      <c r="C114" s="325"/>
      <c r="D114" s="326"/>
      <c r="E114" s="327"/>
      <c r="F114" s="328"/>
      <c r="G114" s="329"/>
      <c r="H114" s="359"/>
    </row>
    <row r="115" spans="1:11" ht="16.5" customHeight="1">
      <c r="A115" s="323"/>
      <c r="B115" s="325"/>
      <c r="C115" s="325"/>
      <c r="D115" s="326"/>
      <c r="E115" s="330"/>
      <c r="F115" s="331"/>
      <c r="G115" s="332"/>
      <c r="H115" s="359"/>
    </row>
    <row r="116" spans="1:11" ht="16.5" customHeight="1">
      <c r="A116" s="322"/>
      <c r="B116" s="324"/>
      <c r="C116" s="324"/>
      <c r="D116" s="326"/>
      <c r="E116" s="327"/>
      <c r="F116" s="328"/>
      <c r="G116" s="329"/>
      <c r="H116" s="359"/>
    </row>
    <row r="117" spans="1:11" ht="16.5" customHeight="1">
      <c r="A117" s="323"/>
      <c r="B117" s="325"/>
      <c r="C117" s="325"/>
      <c r="D117" s="326"/>
      <c r="E117" s="330"/>
      <c r="F117" s="331"/>
      <c r="G117" s="332"/>
      <c r="H117" s="359"/>
    </row>
    <row r="118" spans="1:11" ht="16.5" customHeight="1">
      <c r="A118" s="322"/>
      <c r="B118" s="324"/>
      <c r="C118" s="324"/>
      <c r="D118" s="326"/>
      <c r="E118" s="327"/>
      <c r="F118" s="328"/>
      <c r="G118" s="329"/>
      <c r="H118" s="333"/>
    </row>
    <row r="119" spans="1:11" ht="16.5" customHeight="1">
      <c r="A119" s="323"/>
      <c r="B119" s="325"/>
      <c r="C119" s="325"/>
      <c r="D119" s="326"/>
      <c r="E119" s="330"/>
      <c r="F119" s="331"/>
      <c r="G119" s="332"/>
      <c r="H119" s="333"/>
    </row>
    <row r="120" spans="1:11" ht="16.5" customHeight="1">
      <c r="A120" s="322"/>
      <c r="B120" s="324"/>
      <c r="C120" s="325"/>
      <c r="D120" s="326"/>
      <c r="E120" s="729"/>
      <c r="F120" s="730"/>
      <c r="G120" s="730"/>
      <c r="H120" s="359"/>
    </row>
    <row r="121" spans="1:11" ht="16.5" customHeight="1">
      <c r="A121" s="323"/>
      <c r="B121" s="325"/>
      <c r="C121" s="325"/>
      <c r="D121" s="326"/>
      <c r="E121" s="730"/>
      <c r="F121" s="730"/>
      <c r="G121" s="730"/>
      <c r="H121" s="359"/>
    </row>
    <row r="122" spans="1:11" ht="16.5" customHeight="1">
      <c r="A122" s="322"/>
      <c r="B122" s="324"/>
      <c r="C122" s="324"/>
      <c r="D122" s="326"/>
      <c r="E122" s="337"/>
      <c r="F122" s="326"/>
      <c r="G122" s="326"/>
      <c r="H122" s="359"/>
    </row>
    <row r="123" spans="1:11" ht="16.5" customHeight="1">
      <c r="A123" s="323"/>
      <c r="B123" s="325"/>
      <c r="C123" s="325"/>
      <c r="D123" s="326"/>
      <c r="E123" s="326"/>
      <c r="F123" s="326"/>
      <c r="G123" s="326"/>
      <c r="H123" s="359"/>
    </row>
    <row r="124" spans="1:11" ht="16.5" customHeight="1">
      <c r="A124" s="339"/>
      <c r="B124" s="324"/>
      <c r="C124" s="324"/>
      <c r="D124" s="326"/>
      <c r="E124" s="327"/>
      <c r="F124" s="328"/>
      <c r="G124" s="329"/>
      <c r="H124" s="359"/>
    </row>
    <row r="125" spans="1:11" ht="16.5" customHeight="1">
      <c r="A125" s="340"/>
      <c r="B125" s="325"/>
      <c r="C125" s="325"/>
      <c r="D125" s="326"/>
      <c r="E125" s="330"/>
      <c r="F125" s="331"/>
      <c r="G125" s="332"/>
      <c r="H125" s="359"/>
    </row>
    <row r="126" spans="1:11" ht="16.5" customHeight="1">
      <c r="A126" s="322"/>
      <c r="B126" s="324"/>
      <c r="C126" s="324"/>
      <c r="D126" s="326"/>
      <c r="E126" s="327"/>
      <c r="F126" s="328"/>
      <c r="G126" s="329"/>
      <c r="H126" s="333"/>
    </row>
    <row r="127" spans="1:11" ht="16.5" customHeight="1">
      <c r="A127" s="323"/>
      <c r="B127" s="325"/>
      <c r="C127" s="325"/>
      <c r="D127" s="326"/>
      <c r="E127" s="330"/>
      <c r="F127" s="331"/>
      <c r="G127" s="332"/>
      <c r="H127" s="333"/>
      <c r="K127" s="24"/>
    </row>
    <row r="128" spans="1:11" ht="16.5" customHeight="1">
      <c r="A128" s="322"/>
      <c r="B128" s="324"/>
      <c r="C128" s="324"/>
      <c r="D128" s="326"/>
      <c r="E128" s="327"/>
      <c r="F128" s="328"/>
      <c r="G128" s="329"/>
      <c r="H128" s="338"/>
    </row>
    <row r="129" spans="1:11" ht="16.5" customHeight="1">
      <c r="A129" s="323"/>
      <c r="B129" s="325"/>
      <c r="C129" s="325"/>
      <c r="D129" s="326"/>
      <c r="E129" s="330"/>
      <c r="F129" s="331"/>
      <c r="G129" s="332"/>
      <c r="H129" s="333"/>
      <c r="K129" s="24"/>
    </row>
    <row r="130" spans="1:11" ht="16.5" customHeight="1">
      <c r="A130" s="322"/>
      <c r="B130" s="324"/>
      <c r="C130" s="324"/>
      <c r="D130" s="326"/>
      <c r="E130" s="327"/>
      <c r="F130" s="328"/>
      <c r="G130" s="329"/>
      <c r="H130" s="333"/>
      <c r="K130" s="24"/>
    </row>
    <row r="131" spans="1:11" ht="16.5" customHeight="1">
      <c r="A131" s="323"/>
      <c r="B131" s="325"/>
      <c r="C131" s="325"/>
      <c r="D131" s="326"/>
      <c r="E131" s="330"/>
      <c r="F131" s="331"/>
      <c r="G131" s="332"/>
      <c r="H131" s="333"/>
      <c r="K131" s="24"/>
    </row>
    <row r="132" spans="1:11" ht="16.5" customHeight="1">
      <c r="A132" s="322"/>
      <c r="B132" s="324"/>
      <c r="C132" s="325"/>
      <c r="D132" s="326"/>
      <c r="E132" s="337"/>
      <c r="F132" s="326"/>
      <c r="G132" s="326"/>
      <c r="H132" s="333"/>
      <c r="K132" s="24"/>
    </row>
    <row r="133" spans="1:11" ht="16.5" customHeight="1">
      <c r="A133" s="323"/>
      <c r="B133" s="325"/>
      <c r="C133" s="325"/>
      <c r="D133" s="326"/>
      <c r="E133" s="326"/>
      <c r="F133" s="326"/>
      <c r="G133" s="326"/>
      <c r="H133" s="333"/>
      <c r="K133" s="24"/>
    </row>
    <row r="134" spans="1:11" ht="16.5" customHeight="1">
      <c r="A134" s="322"/>
      <c r="B134" s="324"/>
      <c r="C134" s="325"/>
      <c r="D134" s="326"/>
      <c r="E134" s="327"/>
      <c r="F134" s="328"/>
      <c r="G134" s="329"/>
      <c r="H134" s="338"/>
      <c r="I134" s="4"/>
    </row>
    <row r="135" spans="1:11" ht="16.5" customHeight="1">
      <c r="A135" s="323"/>
      <c r="B135" s="325"/>
      <c r="C135" s="325"/>
      <c r="D135" s="326"/>
      <c r="E135" s="330"/>
      <c r="F135" s="331"/>
      <c r="G135" s="332"/>
      <c r="H135" s="333"/>
    </row>
    <row r="136" spans="1:11" ht="16.5" customHeight="1">
      <c r="A136" s="322"/>
      <c r="B136" s="324"/>
      <c r="C136" s="325"/>
      <c r="D136" s="326"/>
      <c r="E136" s="327"/>
      <c r="F136" s="328"/>
      <c r="G136" s="329"/>
      <c r="H136" s="333"/>
    </row>
    <row r="137" spans="1:11" ht="16.5" customHeight="1">
      <c r="A137" s="323"/>
      <c r="B137" s="325"/>
      <c r="C137" s="325"/>
      <c r="D137" s="326"/>
      <c r="E137" s="330"/>
      <c r="F137" s="331"/>
      <c r="G137" s="332"/>
      <c r="H137" s="333"/>
    </row>
    <row r="138" spans="1:11" ht="16.5" customHeight="1">
      <c r="A138" s="322"/>
      <c r="B138" s="324"/>
      <c r="C138" s="325"/>
      <c r="D138" s="326"/>
      <c r="E138" s="327"/>
      <c r="F138" s="328"/>
      <c r="G138" s="329"/>
      <c r="H138" s="333"/>
    </row>
    <row r="139" spans="1:11" ht="16.5" customHeight="1">
      <c r="A139" s="323"/>
      <c r="B139" s="325"/>
      <c r="C139" s="325"/>
      <c r="D139" s="326"/>
      <c r="E139" s="330"/>
      <c r="F139" s="331"/>
      <c r="G139" s="332"/>
      <c r="H139" s="333"/>
    </row>
    <row r="140" spans="1:11" ht="16.5" customHeight="1">
      <c r="A140" s="322"/>
      <c r="B140" s="324"/>
      <c r="C140" s="325"/>
      <c r="D140" s="326"/>
      <c r="E140" s="327"/>
      <c r="F140" s="328"/>
      <c r="G140" s="329"/>
      <c r="H140" s="333"/>
    </row>
    <row r="141" spans="1:11" ht="16.5" customHeight="1">
      <c r="A141" s="323"/>
      <c r="B141" s="325"/>
      <c r="C141" s="325"/>
      <c r="D141" s="326"/>
      <c r="E141" s="330"/>
      <c r="F141" s="331"/>
      <c r="G141" s="332"/>
      <c r="H141" s="333"/>
    </row>
    <row r="142" spans="1:11" ht="16.5" customHeight="1">
      <c r="A142" s="322"/>
      <c r="B142" s="324"/>
      <c r="C142" s="325"/>
      <c r="D142" s="326"/>
      <c r="E142" s="327"/>
      <c r="F142" s="328"/>
      <c r="G142" s="329"/>
      <c r="H142" s="333"/>
    </row>
    <row r="143" spans="1:11" ht="16.5" customHeight="1">
      <c r="A143" s="323"/>
      <c r="B143" s="325"/>
      <c r="C143" s="325"/>
      <c r="D143" s="326"/>
      <c r="E143" s="330"/>
      <c r="F143" s="331"/>
      <c r="G143" s="332"/>
      <c r="H143" s="333"/>
    </row>
    <row r="144" spans="1:11" ht="16.5" customHeight="1">
      <c r="A144" s="322"/>
      <c r="B144" s="324"/>
      <c r="C144" s="326"/>
      <c r="D144" s="326"/>
      <c r="E144" s="327"/>
      <c r="F144" s="328"/>
      <c r="G144" s="329"/>
      <c r="H144" s="333"/>
    </row>
    <row r="145" spans="1:11" ht="16.5" customHeight="1">
      <c r="A145" s="323"/>
      <c r="B145" s="325"/>
      <c r="C145" s="326"/>
      <c r="D145" s="326"/>
      <c r="E145" s="330"/>
      <c r="F145" s="331"/>
      <c r="G145" s="332"/>
      <c r="H145" s="333"/>
    </row>
    <row r="146" spans="1:11" ht="16.5" customHeight="1">
      <c r="A146" s="322"/>
      <c r="B146" s="324"/>
      <c r="C146" s="325"/>
      <c r="D146" s="326"/>
      <c r="E146" s="337"/>
      <c r="F146" s="326"/>
      <c r="G146" s="326"/>
      <c r="H146" s="333"/>
      <c r="I146" s="3"/>
      <c r="K146" s="23"/>
    </row>
    <row r="147" spans="1:11" ht="16.5" customHeight="1">
      <c r="A147" s="323"/>
      <c r="B147" s="325"/>
      <c r="C147" s="325"/>
      <c r="D147" s="326"/>
      <c r="E147" s="326"/>
      <c r="F147" s="326"/>
      <c r="G147" s="326"/>
      <c r="H147" s="333"/>
    </row>
    <row r="148" spans="1:11" ht="16.5" customHeight="1">
      <c r="A148" s="322"/>
      <c r="B148" s="324"/>
      <c r="C148" s="325"/>
      <c r="D148" s="326"/>
      <c r="E148" s="327"/>
      <c r="F148" s="328"/>
      <c r="G148" s="329"/>
      <c r="H148" s="333"/>
    </row>
    <row r="149" spans="1:11" ht="16.5" customHeight="1">
      <c r="A149" s="323"/>
      <c r="B149" s="325"/>
      <c r="C149" s="325"/>
      <c r="D149" s="326"/>
      <c r="E149" s="330"/>
      <c r="F149" s="331"/>
      <c r="G149" s="332"/>
      <c r="H149" s="333"/>
    </row>
    <row r="150" spans="1:11" ht="16.5" customHeight="1">
      <c r="A150" s="322"/>
      <c r="B150" s="324"/>
      <c r="C150" s="324"/>
      <c r="D150" s="326"/>
      <c r="E150" s="327"/>
      <c r="F150" s="328"/>
      <c r="G150" s="329"/>
      <c r="H150" s="333"/>
    </row>
    <row r="151" spans="1:11" ht="16.5" customHeight="1">
      <c r="A151" s="323"/>
      <c r="B151" s="325"/>
      <c r="C151" s="325"/>
      <c r="D151" s="326"/>
      <c r="E151" s="330"/>
      <c r="F151" s="331"/>
      <c r="G151" s="332"/>
      <c r="H151" s="333"/>
    </row>
    <row r="152" spans="1:11" ht="16.5" customHeight="1">
      <c r="A152" s="335"/>
      <c r="B152" s="324"/>
      <c r="C152" s="325"/>
      <c r="D152" s="326"/>
      <c r="E152" s="327"/>
      <c r="F152" s="328"/>
      <c r="G152" s="329"/>
      <c r="H152" s="333"/>
    </row>
    <row r="153" spans="1:11" ht="16.5" customHeight="1">
      <c r="A153" s="336"/>
      <c r="B153" s="325"/>
      <c r="C153" s="325"/>
      <c r="D153" s="326"/>
      <c r="E153" s="330"/>
      <c r="F153" s="331"/>
      <c r="G153" s="332"/>
      <c r="H153" s="333"/>
    </row>
    <row r="154" spans="1:11" ht="16.5" customHeight="1">
      <c r="A154" s="334"/>
      <c r="B154" s="324"/>
      <c r="C154" s="324"/>
      <c r="D154" s="326"/>
      <c r="E154" s="327"/>
      <c r="F154" s="328"/>
      <c r="G154" s="329"/>
      <c r="H154" s="333"/>
    </row>
    <row r="155" spans="1:11" ht="16.5" customHeight="1">
      <c r="A155" s="323"/>
      <c r="B155" s="325"/>
      <c r="C155" s="325"/>
      <c r="D155" s="326"/>
      <c r="E155" s="330"/>
      <c r="F155" s="331"/>
      <c r="G155" s="332"/>
      <c r="H155" s="333"/>
    </row>
    <row r="156" spans="1:11" ht="16.5" customHeight="1">
      <c r="A156" s="322"/>
      <c r="B156" s="324"/>
      <c r="C156" s="325"/>
      <c r="D156" s="326"/>
      <c r="E156" s="327"/>
      <c r="F156" s="328"/>
      <c r="G156" s="329"/>
      <c r="H156" s="333"/>
    </row>
    <row r="157" spans="1:11" ht="16.5" customHeight="1">
      <c r="A157" s="323"/>
      <c r="B157" s="325"/>
      <c r="C157" s="325"/>
      <c r="D157" s="326"/>
      <c r="E157" s="330"/>
      <c r="F157" s="331"/>
      <c r="G157" s="332"/>
      <c r="H157" s="333"/>
    </row>
    <row r="158" spans="1:11" ht="16.5" customHeight="1">
      <c r="A158" s="313"/>
      <c r="B158" s="314"/>
      <c r="C158" s="307"/>
      <c r="D158" s="309"/>
      <c r="E158" s="315"/>
      <c r="F158" s="316"/>
      <c r="G158" s="317"/>
      <c r="H158" s="321"/>
    </row>
    <row r="159" spans="1:11" ht="16.5" customHeight="1">
      <c r="A159" s="305"/>
      <c r="B159" s="307"/>
      <c r="C159" s="307"/>
      <c r="D159" s="309"/>
      <c r="E159" s="318"/>
      <c r="F159" s="319"/>
      <c r="G159" s="320"/>
      <c r="H159" s="311"/>
    </row>
    <row r="160" spans="1:11" ht="16.5" customHeight="1">
      <c r="A160" s="313"/>
      <c r="B160" s="314"/>
      <c r="C160" s="307"/>
      <c r="D160" s="309"/>
      <c r="E160" s="315"/>
      <c r="F160" s="316"/>
      <c r="G160" s="317"/>
      <c r="H160" s="321"/>
    </row>
    <row r="161" spans="1:8" ht="16.5" customHeight="1">
      <c r="A161" s="305"/>
      <c r="B161" s="307"/>
      <c r="C161" s="307"/>
      <c r="D161" s="309"/>
      <c r="E161" s="318"/>
      <c r="F161" s="319"/>
      <c r="G161" s="320"/>
      <c r="H161" s="311"/>
    </row>
    <row r="162" spans="1:8">
      <c r="A162" s="305"/>
      <c r="B162" s="307"/>
      <c r="C162" s="307"/>
      <c r="D162" s="309"/>
      <c r="E162" s="309"/>
      <c r="F162" s="309"/>
      <c r="G162" s="309"/>
      <c r="H162" s="311"/>
    </row>
    <row r="163" spans="1:8">
      <c r="A163" s="305"/>
      <c r="B163" s="307"/>
      <c r="C163" s="307"/>
      <c r="D163" s="309"/>
      <c r="E163" s="309"/>
      <c r="F163" s="309"/>
      <c r="G163" s="309"/>
      <c r="H163" s="311"/>
    </row>
    <row r="164" spans="1:8" ht="16.5" customHeight="1">
      <c r="A164" s="313"/>
      <c r="B164" s="314"/>
      <c r="C164" s="307"/>
      <c r="D164" s="309"/>
      <c r="E164" s="315"/>
      <c r="F164" s="316"/>
      <c r="G164" s="317"/>
      <c r="H164" s="311"/>
    </row>
    <row r="165" spans="1:8" ht="16.5" customHeight="1">
      <c r="A165" s="305"/>
      <c r="B165" s="307"/>
      <c r="C165" s="307"/>
      <c r="D165" s="309"/>
      <c r="E165" s="318"/>
      <c r="F165" s="319"/>
      <c r="G165" s="320"/>
      <c r="H165" s="311"/>
    </row>
    <row r="166" spans="1:8" ht="16.5" customHeight="1">
      <c r="A166" s="313"/>
      <c r="B166" s="314"/>
      <c r="C166" s="307"/>
      <c r="D166" s="309"/>
      <c r="E166" s="315"/>
      <c r="F166" s="316"/>
      <c r="G166" s="317"/>
      <c r="H166" s="311"/>
    </row>
    <row r="167" spans="1:8" ht="16.5" customHeight="1">
      <c r="A167" s="305"/>
      <c r="B167" s="307"/>
      <c r="C167" s="307"/>
      <c r="D167" s="309"/>
      <c r="E167" s="318"/>
      <c r="F167" s="319"/>
      <c r="G167" s="320"/>
      <c r="H167" s="311"/>
    </row>
    <row r="168" spans="1:8" ht="16.5" customHeight="1">
      <c r="A168" s="313"/>
      <c r="B168" s="314"/>
      <c r="C168" s="307"/>
      <c r="D168" s="309"/>
      <c r="E168" s="315"/>
      <c r="F168" s="316"/>
      <c r="G168" s="317"/>
      <c r="H168" s="321"/>
    </row>
    <row r="169" spans="1:8" ht="16.5" customHeight="1">
      <c r="A169" s="305"/>
      <c r="B169" s="307"/>
      <c r="C169" s="307"/>
      <c r="D169" s="309"/>
      <c r="E169" s="318"/>
      <c r="F169" s="319"/>
      <c r="G169" s="320"/>
      <c r="H169" s="311"/>
    </row>
    <row r="170" spans="1:8" ht="16.5" customHeight="1">
      <c r="A170" s="313"/>
      <c r="B170" s="314"/>
      <c r="C170" s="307"/>
      <c r="D170" s="309"/>
      <c r="E170" s="315"/>
      <c r="F170" s="316"/>
      <c r="G170" s="317"/>
      <c r="H170" s="321"/>
    </row>
    <row r="171" spans="1:8" ht="16.5" customHeight="1">
      <c r="A171" s="305"/>
      <c r="B171" s="307"/>
      <c r="C171" s="307"/>
      <c r="D171" s="309"/>
      <c r="E171" s="318"/>
      <c r="F171" s="319"/>
      <c r="G171" s="320"/>
      <c r="H171" s="311"/>
    </row>
    <row r="172" spans="1:8">
      <c r="A172" s="305"/>
      <c r="B172" s="307"/>
      <c r="C172" s="307"/>
      <c r="D172" s="309"/>
      <c r="E172" s="309"/>
      <c r="F172" s="309"/>
      <c r="G172" s="309"/>
      <c r="H172" s="311"/>
    </row>
    <row r="173" spans="1:8">
      <c r="A173" s="305"/>
      <c r="B173" s="307"/>
      <c r="C173" s="307"/>
      <c r="D173" s="309"/>
      <c r="E173" s="309"/>
      <c r="F173" s="309"/>
      <c r="G173" s="309"/>
      <c r="H173" s="311"/>
    </row>
    <row r="174" spans="1:8" ht="16.5" customHeight="1">
      <c r="A174" s="313"/>
      <c r="B174" s="314"/>
      <c r="C174" s="307"/>
      <c r="D174" s="309"/>
      <c r="E174" s="315"/>
      <c r="F174" s="316"/>
      <c r="G174" s="317"/>
      <c r="H174" s="311"/>
    </row>
    <row r="175" spans="1:8" ht="16.5" customHeight="1">
      <c r="A175" s="305"/>
      <c r="B175" s="307"/>
      <c r="C175" s="307"/>
      <c r="D175" s="309"/>
      <c r="E175" s="318"/>
      <c r="F175" s="319"/>
      <c r="G175" s="320"/>
      <c r="H175" s="311"/>
    </row>
    <row r="176" spans="1:8" ht="16.5" customHeight="1">
      <c r="A176" s="313"/>
      <c r="B176" s="314"/>
      <c r="C176" s="307"/>
      <c r="D176" s="309"/>
      <c r="E176" s="315"/>
      <c r="F176" s="316"/>
      <c r="G176" s="317"/>
      <c r="H176" s="321"/>
    </row>
    <row r="177" spans="1:8" ht="16.5" customHeight="1">
      <c r="A177" s="305"/>
      <c r="B177" s="307"/>
      <c r="C177" s="307"/>
      <c r="D177" s="309"/>
      <c r="E177" s="318"/>
      <c r="F177" s="319"/>
      <c r="G177" s="320"/>
      <c r="H177" s="311"/>
    </row>
    <row r="178" spans="1:8" ht="16.5" customHeight="1">
      <c r="A178" s="313"/>
      <c r="B178" s="314"/>
      <c r="C178" s="307"/>
      <c r="D178" s="309"/>
      <c r="E178" s="315"/>
      <c r="F178" s="316"/>
      <c r="G178" s="317"/>
      <c r="H178" s="321"/>
    </row>
    <row r="179" spans="1:8" ht="16.5" customHeight="1">
      <c r="A179" s="305"/>
      <c r="B179" s="307"/>
      <c r="C179" s="307"/>
      <c r="D179" s="309"/>
      <c r="E179" s="318"/>
      <c r="F179" s="319"/>
      <c r="G179" s="320"/>
      <c r="H179" s="311"/>
    </row>
    <row r="180" spans="1:8">
      <c r="A180" s="305"/>
      <c r="B180" s="307"/>
      <c r="C180" s="307"/>
      <c r="D180" s="309"/>
      <c r="E180" s="309"/>
      <c r="F180" s="309"/>
      <c r="G180" s="309"/>
      <c r="H180" s="311"/>
    </row>
    <row r="181" spans="1:8">
      <c r="A181" s="305"/>
      <c r="B181" s="307"/>
      <c r="C181" s="307"/>
      <c r="D181" s="309"/>
      <c r="E181" s="309"/>
      <c r="F181" s="309"/>
      <c r="G181" s="309"/>
      <c r="H181" s="311"/>
    </row>
    <row r="182" spans="1:8">
      <c r="A182" s="305"/>
      <c r="B182" s="307"/>
      <c r="C182" s="307"/>
      <c r="D182" s="309"/>
      <c r="E182" s="309"/>
      <c r="F182" s="309"/>
      <c r="G182" s="309"/>
      <c r="H182" s="311"/>
    </row>
    <row r="183" spans="1:8" ht="17.25" thickBot="1">
      <c r="A183" s="306"/>
      <c r="B183" s="308"/>
      <c r="C183" s="308"/>
      <c r="D183" s="310"/>
      <c r="E183" s="310"/>
      <c r="F183" s="310"/>
      <c r="G183" s="310"/>
      <c r="H183" s="312"/>
    </row>
  </sheetData>
  <mergeCells count="538">
    <mergeCell ref="A178:A179"/>
    <mergeCell ref="B178:B179"/>
    <mergeCell ref="C178:C179"/>
    <mergeCell ref="D178:D179"/>
    <mergeCell ref="E178:G179"/>
    <mergeCell ref="H178:H179"/>
    <mergeCell ref="A176:A177"/>
    <mergeCell ref="B176:B177"/>
    <mergeCell ref="C176:C177"/>
    <mergeCell ref="D176:D177"/>
    <mergeCell ref="E176:G177"/>
    <mergeCell ref="H176:H177"/>
    <mergeCell ref="A182:A183"/>
    <mergeCell ref="B182:B183"/>
    <mergeCell ref="C182:C183"/>
    <mergeCell ref="D182:D183"/>
    <mergeCell ref="E182:G183"/>
    <mergeCell ref="H182:H183"/>
    <mergeCell ref="A180:A181"/>
    <mergeCell ref="B180:B181"/>
    <mergeCell ref="C180:C181"/>
    <mergeCell ref="D180:D181"/>
    <mergeCell ref="E180:G181"/>
    <mergeCell ref="H180:H181"/>
    <mergeCell ref="A174:A175"/>
    <mergeCell ref="B174:B175"/>
    <mergeCell ref="C174:C175"/>
    <mergeCell ref="D174:D175"/>
    <mergeCell ref="E174:G175"/>
    <mergeCell ref="H174:H175"/>
    <mergeCell ref="A172:A173"/>
    <mergeCell ref="B172:B173"/>
    <mergeCell ref="C172:C173"/>
    <mergeCell ref="D172:D173"/>
    <mergeCell ref="E172:G173"/>
    <mergeCell ref="H172:H173"/>
    <mergeCell ref="A170:A171"/>
    <mergeCell ref="B170:B171"/>
    <mergeCell ref="C170:C171"/>
    <mergeCell ref="D170:D171"/>
    <mergeCell ref="E170:G171"/>
    <mergeCell ref="H170:H171"/>
    <mergeCell ref="A168:A169"/>
    <mergeCell ref="B168:B169"/>
    <mergeCell ref="C168:C169"/>
    <mergeCell ref="D168:D169"/>
    <mergeCell ref="E168:G169"/>
    <mergeCell ref="H168:H169"/>
    <mergeCell ref="A166:A167"/>
    <mergeCell ref="B166:B167"/>
    <mergeCell ref="C166:C167"/>
    <mergeCell ref="D166:D167"/>
    <mergeCell ref="E166:G167"/>
    <mergeCell ref="H166:H167"/>
    <mergeCell ref="A164:A165"/>
    <mergeCell ref="B164:B165"/>
    <mergeCell ref="C164:C165"/>
    <mergeCell ref="D164:D165"/>
    <mergeCell ref="E164:G165"/>
    <mergeCell ref="H164:H165"/>
    <mergeCell ref="A162:A163"/>
    <mergeCell ref="B162:B163"/>
    <mergeCell ref="C162:C163"/>
    <mergeCell ref="D162:D163"/>
    <mergeCell ref="E162:G163"/>
    <mergeCell ref="H162:H163"/>
    <mergeCell ref="A160:A161"/>
    <mergeCell ref="B160:B161"/>
    <mergeCell ref="C160:C161"/>
    <mergeCell ref="D160:D161"/>
    <mergeCell ref="E160:G161"/>
    <mergeCell ref="H160:H161"/>
    <mergeCell ref="A158:A159"/>
    <mergeCell ref="B158:B159"/>
    <mergeCell ref="C158:C159"/>
    <mergeCell ref="D158:D159"/>
    <mergeCell ref="E158:G159"/>
    <mergeCell ref="H158:H159"/>
    <mergeCell ref="A156:A157"/>
    <mergeCell ref="B156:B157"/>
    <mergeCell ref="C156:C157"/>
    <mergeCell ref="D156:D157"/>
    <mergeCell ref="E156:G157"/>
    <mergeCell ref="H156:H157"/>
    <mergeCell ref="A154:A155"/>
    <mergeCell ref="B154:B155"/>
    <mergeCell ref="C154:C155"/>
    <mergeCell ref="D154:D155"/>
    <mergeCell ref="E154:G155"/>
    <mergeCell ref="H154:H155"/>
    <mergeCell ref="A152:A153"/>
    <mergeCell ref="B152:B153"/>
    <mergeCell ref="C152:C153"/>
    <mergeCell ref="D152:D153"/>
    <mergeCell ref="E152:G153"/>
    <mergeCell ref="H152:H153"/>
    <mergeCell ref="A150:A151"/>
    <mergeCell ref="B150:B151"/>
    <mergeCell ref="C150:C151"/>
    <mergeCell ref="D150:D151"/>
    <mergeCell ref="E150:G151"/>
    <mergeCell ref="H150:H151"/>
    <mergeCell ref="A148:A149"/>
    <mergeCell ref="B148:B149"/>
    <mergeCell ref="C148:C149"/>
    <mergeCell ref="D148:D149"/>
    <mergeCell ref="E148:G149"/>
    <mergeCell ref="H148:H149"/>
    <mergeCell ref="A146:A147"/>
    <mergeCell ref="B146:B147"/>
    <mergeCell ref="C146:C147"/>
    <mergeCell ref="D146:D147"/>
    <mergeCell ref="E146:G147"/>
    <mergeCell ref="H146:H147"/>
    <mergeCell ref="A144:A145"/>
    <mergeCell ref="B144:B145"/>
    <mergeCell ref="C144:C145"/>
    <mergeCell ref="D144:D145"/>
    <mergeCell ref="E144:G145"/>
    <mergeCell ref="H144:H145"/>
    <mergeCell ref="A142:A143"/>
    <mergeCell ref="B142:B143"/>
    <mergeCell ref="C142:C143"/>
    <mergeCell ref="D142:D143"/>
    <mergeCell ref="E142:G143"/>
    <mergeCell ref="H142:H143"/>
    <mergeCell ref="A140:A141"/>
    <mergeCell ref="B140:B141"/>
    <mergeCell ref="C140:C141"/>
    <mergeCell ref="D140:D141"/>
    <mergeCell ref="E140:G141"/>
    <mergeCell ref="H140:H141"/>
    <mergeCell ref="A138:A139"/>
    <mergeCell ref="B138:B139"/>
    <mergeCell ref="C138:C139"/>
    <mergeCell ref="D138:D139"/>
    <mergeCell ref="E138:G139"/>
    <mergeCell ref="H138:H139"/>
    <mergeCell ref="A136:A137"/>
    <mergeCell ref="B136:B137"/>
    <mergeCell ref="C136:C137"/>
    <mergeCell ref="D136:D137"/>
    <mergeCell ref="E136:G137"/>
    <mergeCell ref="H136:H137"/>
    <mergeCell ref="A134:A135"/>
    <mergeCell ref="B134:B135"/>
    <mergeCell ref="C134:C135"/>
    <mergeCell ref="D134:D135"/>
    <mergeCell ref="E134:G135"/>
    <mergeCell ref="H134:H135"/>
    <mergeCell ref="A132:A133"/>
    <mergeCell ref="B132:B133"/>
    <mergeCell ref="C132:C133"/>
    <mergeCell ref="D132:D133"/>
    <mergeCell ref="E132:G133"/>
    <mergeCell ref="H132:H133"/>
    <mergeCell ref="A130:A131"/>
    <mergeCell ref="B130:B131"/>
    <mergeCell ref="C130:C131"/>
    <mergeCell ref="D130:D131"/>
    <mergeCell ref="E130:G131"/>
    <mergeCell ref="H130:H131"/>
    <mergeCell ref="A128:A129"/>
    <mergeCell ref="B128:B129"/>
    <mergeCell ref="C128:C129"/>
    <mergeCell ref="D128:D129"/>
    <mergeCell ref="E128:G129"/>
    <mergeCell ref="H128:H129"/>
    <mergeCell ref="A126:A127"/>
    <mergeCell ref="B126:B127"/>
    <mergeCell ref="C126:C127"/>
    <mergeCell ref="D126:D127"/>
    <mergeCell ref="E126:G127"/>
    <mergeCell ref="H126:H127"/>
    <mergeCell ref="A124:A125"/>
    <mergeCell ref="B124:B125"/>
    <mergeCell ref="C124:C125"/>
    <mergeCell ref="D124:D125"/>
    <mergeCell ref="E124:G125"/>
    <mergeCell ref="H124:H125"/>
    <mergeCell ref="A122:A123"/>
    <mergeCell ref="B122:B123"/>
    <mergeCell ref="C122:C123"/>
    <mergeCell ref="D122:D123"/>
    <mergeCell ref="E122:G123"/>
    <mergeCell ref="H122:H123"/>
    <mergeCell ref="A120:A121"/>
    <mergeCell ref="B120:B121"/>
    <mergeCell ref="C120:C121"/>
    <mergeCell ref="D120:D121"/>
    <mergeCell ref="E120:G121"/>
    <mergeCell ref="H120:H121"/>
    <mergeCell ref="A118:A119"/>
    <mergeCell ref="B118:B119"/>
    <mergeCell ref="C118:C119"/>
    <mergeCell ref="D118:D119"/>
    <mergeCell ref="E118:G119"/>
    <mergeCell ref="H118:H119"/>
    <mergeCell ref="A116:A117"/>
    <mergeCell ref="B116:B117"/>
    <mergeCell ref="C116:C117"/>
    <mergeCell ref="D116:D117"/>
    <mergeCell ref="E116:G117"/>
    <mergeCell ref="H116:H117"/>
    <mergeCell ref="A114:A115"/>
    <mergeCell ref="B114:B115"/>
    <mergeCell ref="C114:C115"/>
    <mergeCell ref="D114:D115"/>
    <mergeCell ref="E114:G115"/>
    <mergeCell ref="H114:H115"/>
    <mergeCell ref="A112:A113"/>
    <mergeCell ref="B112:H113"/>
    <mergeCell ref="A110:A111"/>
    <mergeCell ref="B110:B111"/>
    <mergeCell ref="C110:C111"/>
    <mergeCell ref="D110:D111"/>
    <mergeCell ref="E110:G111"/>
    <mergeCell ref="H110:H111"/>
    <mergeCell ref="A108:A109"/>
    <mergeCell ref="B108:B109"/>
    <mergeCell ref="C108:C109"/>
    <mergeCell ref="D108:D109"/>
    <mergeCell ref="E108:G109"/>
    <mergeCell ref="H108:H109"/>
    <mergeCell ref="A106:A107"/>
    <mergeCell ref="B106:B107"/>
    <mergeCell ref="C106:C107"/>
    <mergeCell ref="D106:D107"/>
    <mergeCell ref="E106:G107"/>
    <mergeCell ref="H106:H107"/>
    <mergeCell ref="A104:A105"/>
    <mergeCell ref="B104:B105"/>
    <mergeCell ref="C104:C105"/>
    <mergeCell ref="D104:D105"/>
    <mergeCell ref="E104:G105"/>
    <mergeCell ref="H104:H105"/>
    <mergeCell ref="A102:A103"/>
    <mergeCell ref="B102:B103"/>
    <mergeCell ref="C102:C103"/>
    <mergeCell ref="D102:D103"/>
    <mergeCell ref="E102:G103"/>
    <mergeCell ref="H102:H103"/>
    <mergeCell ref="A100:A101"/>
    <mergeCell ref="B100:B101"/>
    <mergeCell ref="C100:C101"/>
    <mergeCell ref="D100:D101"/>
    <mergeCell ref="E100:G101"/>
    <mergeCell ref="H100:H101"/>
    <mergeCell ref="A98:A99"/>
    <mergeCell ref="B98:B99"/>
    <mergeCell ref="C98:C99"/>
    <mergeCell ref="D98:D99"/>
    <mergeCell ref="E98:G99"/>
    <mergeCell ref="H98:H99"/>
    <mergeCell ref="A95:A96"/>
    <mergeCell ref="B95:B96"/>
    <mergeCell ref="C95:C96"/>
    <mergeCell ref="D95:D96"/>
    <mergeCell ref="E95:G96"/>
    <mergeCell ref="H95:H96"/>
    <mergeCell ref="B97:H97"/>
    <mergeCell ref="A93:A94"/>
    <mergeCell ref="B93:B94"/>
    <mergeCell ref="C93:C94"/>
    <mergeCell ref="D93:D94"/>
    <mergeCell ref="E93:G94"/>
    <mergeCell ref="H93:H94"/>
    <mergeCell ref="A91:A92"/>
    <mergeCell ref="B91:B92"/>
    <mergeCell ref="C91:C92"/>
    <mergeCell ref="D91:D92"/>
    <mergeCell ref="E91:G92"/>
    <mergeCell ref="H91:H92"/>
    <mergeCell ref="A89:A90"/>
    <mergeCell ref="B89:B90"/>
    <mergeCell ref="C89:C90"/>
    <mergeCell ref="D89:D90"/>
    <mergeCell ref="E89:G90"/>
    <mergeCell ref="H89:H90"/>
    <mergeCell ref="A87:A88"/>
    <mergeCell ref="B87:B88"/>
    <mergeCell ref="C87:C88"/>
    <mergeCell ref="D87:D88"/>
    <mergeCell ref="E87:G88"/>
    <mergeCell ref="H87:H88"/>
    <mergeCell ref="A85:A86"/>
    <mergeCell ref="B85:B86"/>
    <mergeCell ref="C85:C86"/>
    <mergeCell ref="D85:D86"/>
    <mergeCell ref="E85:G86"/>
    <mergeCell ref="H85:H86"/>
    <mergeCell ref="A83:A84"/>
    <mergeCell ref="B83:B84"/>
    <mergeCell ref="C83:C84"/>
    <mergeCell ref="D83:D84"/>
    <mergeCell ref="E83:G84"/>
    <mergeCell ref="H83:H84"/>
    <mergeCell ref="A81:A82"/>
    <mergeCell ref="B81:B82"/>
    <mergeCell ref="C81:C82"/>
    <mergeCell ref="D81:D82"/>
    <mergeCell ref="E81:G82"/>
    <mergeCell ref="H81:H82"/>
    <mergeCell ref="A79:A80"/>
    <mergeCell ref="B79:B80"/>
    <mergeCell ref="C79:C80"/>
    <mergeCell ref="D79:D80"/>
    <mergeCell ref="E79:G80"/>
    <mergeCell ref="H79:H80"/>
    <mergeCell ref="A77:A78"/>
    <mergeCell ref="B77:B78"/>
    <mergeCell ref="C77:C78"/>
    <mergeCell ref="D77:D78"/>
    <mergeCell ref="E77:G78"/>
    <mergeCell ref="H77:H78"/>
    <mergeCell ref="A75:A76"/>
    <mergeCell ref="B75:B76"/>
    <mergeCell ref="C75:C76"/>
    <mergeCell ref="D75:D76"/>
    <mergeCell ref="E75:G76"/>
    <mergeCell ref="H75:H76"/>
    <mergeCell ref="A73:A74"/>
    <mergeCell ref="B73:B74"/>
    <mergeCell ref="C73:C74"/>
    <mergeCell ref="D73:D74"/>
    <mergeCell ref="E73:G74"/>
    <mergeCell ref="H73:H74"/>
    <mergeCell ref="A71:A72"/>
    <mergeCell ref="B71:B72"/>
    <mergeCell ref="C71:C72"/>
    <mergeCell ref="D71:D72"/>
    <mergeCell ref="E71:G72"/>
    <mergeCell ref="H71:H72"/>
    <mergeCell ref="A69:A70"/>
    <mergeCell ref="B69:B70"/>
    <mergeCell ref="C69:C70"/>
    <mergeCell ref="D69:D70"/>
    <mergeCell ref="E69:G70"/>
    <mergeCell ref="H69:H70"/>
    <mergeCell ref="A67:A68"/>
    <mergeCell ref="B67:B68"/>
    <mergeCell ref="C67:C68"/>
    <mergeCell ref="D67:D68"/>
    <mergeCell ref="E67:G68"/>
    <mergeCell ref="H67:H68"/>
    <mergeCell ref="H49:H50"/>
    <mergeCell ref="A65:A66"/>
    <mergeCell ref="B65:B66"/>
    <mergeCell ref="C65:C66"/>
    <mergeCell ref="D65:D66"/>
    <mergeCell ref="E65:G66"/>
    <mergeCell ref="H65:H66"/>
    <mergeCell ref="A63:A64"/>
    <mergeCell ref="B63:B64"/>
    <mergeCell ref="C63:C64"/>
    <mergeCell ref="D63:D64"/>
    <mergeCell ref="E63:G64"/>
    <mergeCell ref="H63:H64"/>
    <mergeCell ref="B58:H58"/>
    <mergeCell ref="A61:A62"/>
    <mergeCell ref="B61:B62"/>
    <mergeCell ref="C61:C62"/>
    <mergeCell ref="D61:D62"/>
    <mergeCell ref="E61:G62"/>
    <mergeCell ref="H61:H62"/>
    <mergeCell ref="A59:A60"/>
    <mergeCell ref="B59:B60"/>
    <mergeCell ref="C59:C60"/>
    <mergeCell ref="D59:D60"/>
    <mergeCell ref="E59:G60"/>
    <mergeCell ref="H59:H60"/>
    <mergeCell ref="E51:G51"/>
    <mergeCell ref="A52:A53"/>
    <mergeCell ref="B52:B53"/>
    <mergeCell ref="C52:C53"/>
    <mergeCell ref="D52:D53"/>
    <mergeCell ref="E52:G53"/>
    <mergeCell ref="H56:H57"/>
    <mergeCell ref="H52:H53"/>
    <mergeCell ref="H54:H55"/>
    <mergeCell ref="A49:A50"/>
    <mergeCell ref="B49:B50"/>
    <mergeCell ref="C49:C50"/>
    <mergeCell ref="D49:D50"/>
    <mergeCell ref="E49:G50"/>
    <mergeCell ref="A56:A57"/>
    <mergeCell ref="B56:B57"/>
    <mergeCell ref="C56:C57"/>
    <mergeCell ref="D56:D57"/>
    <mergeCell ref="E56:G57"/>
    <mergeCell ref="A54:A55"/>
    <mergeCell ref="B54:B55"/>
    <mergeCell ref="C54:C55"/>
    <mergeCell ref="D54:D55"/>
    <mergeCell ref="E54:G55"/>
    <mergeCell ref="A43:A44"/>
    <mergeCell ref="B43:B44"/>
    <mergeCell ref="C43:C44"/>
    <mergeCell ref="D43:D44"/>
    <mergeCell ref="E43:G44"/>
    <mergeCell ref="H43:H44"/>
    <mergeCell ref="A40:A41"/>
    <mergeCell ref="B40:B41"/>
    <mergeCell ref="C40:C41"/>
    <mergeCell ref="D40:D41"/>
    <mergeCell ref="E40:G41"/>
    <mergeCell ref="H40:H41"/>
    <mergeCell ref="B42:H42"/>
    <mergeCell ref="A47:A48"/>
    <mergeCell ref="B47:B48"/>
    <mergeCell ref="C47:C48"/>
    <mergeCell ref="D47:D48"/>
    <mergeCell ref="E47:G48"/>
    <mergeCell ref="H47:H48"/>
    <mergeCell ref="A45:A46"/>
    <mergeCell ref="B45:B46"/>
    <mergeCell ref="C45:C46"/>
    <mergeCell ref="D45:D46"/>
    <mergeCell ref="E45:G46"/>
    <mergeCell ref="H45:H46"/>
    <mergeCell ref="A38:A39"/>
    <mergeCell ref="B38:B39"/>
    <mergeCell ref="C38:C39"/>
    <mergeCell ref="D38:D39"/>
    <mergeCell ref="E38:G39"/>
    <mergeCell ref="H38:H39"/>
    <mergeCell ref="A36:A37"/>
    <mergeCell ref="B36:B37"/>
    <mergeCell ref="C36:C37"/>
    <mergeCell ref="D36:D37"/>
    <mergeCell ref="E36:G37"/>
    <mergeCell ref="H36:H37"/>
    <mergeCell ref="A34:A35"/>
    <mergeCell ref="B34:B35"/>
    <mergeCell ref="C34:C35"/>
    <mergeCell ref="D34:D35"/>
    <mergeCell ref="E34:G35"/>
    <mergeCell ref="H34:H35"/>
    <mergeCell ref="A32:A33"/>
    <mergeCell ref="B32:B33"/>
    <mergeCell ref="C32:C33"/>
    <mergeCell ref="D32:D33"/>
    <mergeCell ref="E32:G33"/>
    <mergeCell ref="H32:H33"/>
    <mergeCell ref="A30:A31"/>
    <mergeCell ref="B30:B31"/>
    <mergeCell ref="C30:C31"/>
    <mergeCell ref="D30:D31"/>
    <mergeCell ref="E30:G31"/>
    <mergeCell ref="H30:H31"/>
    <mergeCell ref="A28:A29"/>
    <mergeCell ref="B28:B29"/>
    <mergeCell ref="C28:C29"/>
    <mergeCell ref="D28:D29"/>
    <mergeCell ref="E28:G29"/>
    <mergeCell ref="H28:H29"/>
    <mergeCell ref="A26:A27"/>
    <mergeCell ref="B26:B27"/>
    <mergeCell ref="C26:C27"/>
    <mergeCell ref="D26:D27"/>
    <mergeCell ref="E26:G27"/>
    <mergeCell ref="H26:H27"/>
    <mergeCell ref="A24:A25"/>
    <mergeCell ref="B24:B25"/>
    <mergeCell ref="C24:C25"/>
    <mergeCell ref="D24:D25"/>
    <mergeCell ref="E24:G25"/>
    <mergeCell ref="H24:H25"/>
    <mergeCell ref="A22:A23"/>
    <mergeCell ref="B22:B23"/>
    <mergeCell ref="C22:C23"/>
    <mergeCell ref="D22:D23"/>
    <mergeCell ref="E22:G23"/>
    <mergeCell ref="H22:H23"/>
    <mergeCell ref="A14:A15"/>
    <mergeCell ref="B14:B15"/>
    <mergeCell ref="C14:C15"/>
    <mergeCell ref="D14:D15"/>
    <mergeCell ref="E14:G15"/>
    <mergeCell ref="H14:H15"/>
    <mergeCell ref="A20:A21"/>
    <mergeCell ref="B20:B21"/>
    <mergeCell ref="C20:C21"/>
    <mergeCell ref="D20:D21"/>
    <mergeCell ref="E20:G21"/>
    <mergeCell ref="H20:H21"/>
    <mergeCell ref="A16:A17"/>
    <mergeCell ref="B16:H17"/>
    <mergeCell ref="A18:A19"/>
    <mergeCell ref="B18:B19"/>
    <mergeCell ref="C18:C19"/>
    <mergeCell ref="D18:D19"/>
    <mergeCell ref="E18:G19"/>
    <mergeCell ref="H18:H19"/>
    <mergeCell ref="A12:A13"/>
    <mergeCell ref="B12:B13"/>
    <mergeCell ref="C12:C13"/>
    <mergeCell ref="D12:D13"/>
    <mergeCell ref="E12:G13"/>
    <mergeCell ref="H12:H13"/>
    <mergeCell ref="A10:A11"/>
    <mergeCell ref="B10:B11"/>
    <mergeCell ref="C10:C11"/>
    <mergeCell ref="D10:D11"/>
    <mergeCell ref="E10:G11"/>
    <mergeCell ref="H10:H11"/>
    <mergeCell ref="A8:A9"/>
    <mergeCell ref="B8:B9"/>
    <mergeCell ref="C8:C9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A3:H3"/>
    <mergeCell ref="A4:A5"/>
    <mergeCell ref="B4:B5"/>
    <mergeCell ref="C4:C5"/>
    <mergeCell ref="D4:D5"/>
    <mergeCell ref="E4:G5"/>
    <mergeCell ref="H4:H5"/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</mergeCells>
  <phoneticPr fontId="1" type="noConversion"/>
  <pageMargins left="0" right="0" top="0" bottom="0" header="0" footer="0"/>
  <pageSetup paperSize="9" scale="36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79"/>
  <sheetViews>
    <sheetView showGridLines="0" zoomScale="115" zoomScaleNormal="115" workbookViewId="0">
      <pane xSplit="8" ySplit="2" topLeftCell="I96" activePane="bottomRight" state="frozen"/>
      <selection pane="topRight" activeCell="I1" sqref="I1"/>
      <selection pane="bottomLeft" activeCell="A3" sqref="A3"/>
      <selection pane="bottomRight" activeCell="E126" sqref="E124:G127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0" max="10" width="13.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  <col min="18" max="18" width="9.5" bestFit="1" customWidth="1"/>
  </cols>
  <sheetData>
    <row r="1" spans="1:18" ht="35.25" customHeight="1" thickBot="1">
      <c r="A1" s="388" t="s">
        <v>3312</v>
      </c>
      <c r="B1" s="389"/>
      <c r="C1" s="402" t="s">
        <v>27</v>
      </c>
      <c r="D1" s="403"/>
      <c r="E1" s="21" t="s">
        <v>26</v>
      </c>
      <c r="F1" s="20">
        <f>H1/31</f>
        <v>603741.93548387091</v>
      </c>
      <c r="G1" s="21" t="s">
        <v>4</v>
      </c>
      <c r="H1" s="22">
        <f>SUM(D4:D179)</f>
        <v>18716000</v>
      </c>
      <c r="I1" s="392"/>
      <c r="J1" s="338"/>
      <c r="K1" s="394"/>
      <c r="L1" s="396"/>
      <c r="M1" s="377"/>
      <c r="N1" s="379"/>
      <c r="O1" s="381"/>
      <c r="P1" s="383"/>
      <c r="Q1" s="377"/>
      <c r="R1" s="376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385" t="s">
        <v>25</v>
      </c>
      <c r="F2" s="386"/>
      <c r="G2" s="387"/>
      <c r="H2" s="25" t="s">
        <v>5</v>
      </c>
      <c r="I2" s="393"/>
      <c r="J2" s="333"/>
      <c r="K2" s="395"/>
      <c r="L2" s="397"/>
      <c r="M2" s="378"/>
      <c r="N2" s="380"/>
      <c r="O2" s="382"/>
      <c r="P2" s="384"/>
      <c r="Q2" s="378"/>
      <c r="R2" s="376"/>
    </row>
    <row r="3" spans="1:18" ht="36" customHeight="1">
      <c r="A3" s="441" t="s">
        <v>3051</v>
      </c>
      <c r="B3" s="442"/>
      <c r="C3" s="442"/>
      <c r="D3" s="442"/>
      <c r="E3" s="442"/>
      <c r="F3" s="442"/>
      <c r="G3" s="442"/>
      <c r="H3" s="443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322" t="s">
        <v>3045</v>
      </c>
      <c r="B4" s="444" t="s">
        <v>3046</v>
      </c>
      <c r="C4" s="341"/>
      <c r="D4" s="326">
        <v>190000</v>
      </c>
      <c r="E4" s="327"/>
      <c r="F4" s="328"/>
      <c r="G4" s="329"/>
      <c r="H4" s="398" t="s">
        <v>145</v>
      </c>
      <c r="J4" s="42"/>
    </row>
    <row r="5" spans="1:18" ht="16.5" customHeight="1">
      <c r="A5" s="323"/>
      <c r="B5" s="445"/>
      <c r="C5" s="342"/>
      <c r="D5" s="326"/>
      <c r="E5" s="330"/>
      <c r="F5" s="331"/>
      <c r="G5" s="332"/>
      <c r="H5" s="399"/>
      <c r="J5" s="43"/>
    </row>
    <row r="6" spans="1:18" ht="16.5" customHeight="1">
      <c r="A6" s="322" t="s">
        <v>3045</v>
      </c>
      <c r="B6" s="439" t="s">
        <v>3047</v>
      </c>
      <c r="C6" s="341"/>
      <c r="D6" s="326">
        <v>55000</v>
      </c>
      <c r="E6" s="327"/>
      <c r="F6" s="345"/>
      <c r="G6" s="346"/>
      <c r="H6" s="398" t="s">
        <v>3050</v>
      </c>
      <c r="J6" s="43"/>
    </row>
    <row r="7" spans="1:18" ht="16.5" customHeight="1">
      <c r="A7" s="323"/>
      <c r="B7" s="440"/>
      <c r="C7" s="352"/>
      <c r="D7" s="326"/>
      <c r="E7" s="347"/>
      <c r="F7" s="348"/>
      <c r="G7" s="349"/>
      <c r="H7" s="399"/>
      <c r="J7" s="43"/>
    </row>
    <row r="8" spans="1:18" ht="16.5" customHeight="1">
      <c r="A8" s="322" t="s">
        <v>3048</v>
      </c>
      <c r="B8" s="439" t="s">
        <v>3049</v>
      </c>
      <c r="C8" s="353"/>
      <c r="D8" s="343">
        <v>130000</v>
      </c>
      <c r="E8" s="327"/>
      <c r="F8" s="345"/>
      <c r="G8" s="346"/>
      <c r="H8" s="398" t="s">
        <v>3050</v>
      </c>
      <c r="J8" s="43"/>
    </row>
    <row r="9" spans="1:18" ht="24" customHeight="1">
      <c r="A9" s="323"/>
      <c r="B9" s="440"/>
      <c r="C9" s="352"/>
      <c r="D9" s="344"/>
      <c r="E9" s="347"/>
      <c r="F9" s="348"/>
      <c r="G9" s="349"/>
      <c r="H9" s="399"/>
      <c r="J9" s="43"/>
    </row>
    <row r="10" spans="1:18" ht="16.5" customHeight="1">
      <c r="A10" s="322"/>
      <c r="B10" s="738" t="s">
        <v>3075</v>
      </c>
      <c r="C10" s="491"/>
      <c r="D10" s="491"/>
      <c r="E10" s="491"/>
      <c r="F10" s="491"/>
      <c r="G10" s="491"/>
      <c r="H10" s="492"/>
      <c r="J10" s="43"/>
    </row>
    <row r="11" spans="1:18" ht="30.75" customHeight="1">
      <c r="A11" s="323"/>
      <c r="B11" s="493"/>
      <c r="C11" s="494"/>
      <c r="D11" s="494"/>
      <c r="E11" s="494"/>
      <c r="F11" s="494"/>
      <c r="G11" s="494"/>
      <c r="H11" s="495"/>
      <c r="J11" s="43"/>
    </row>
    <row r="12" spans="1:18" ht="16.5" customHeight="1">
      <c r="A12" s="322" t="s">
        <v>3052</v>
      </c>
      <c r="B12" s="439" t="s">
        <v>3053</v>
      </c>
      <c r="C12" s="341"/>
      <c r="D12" s="326">
        <v>120000</v>
      </c>
      <c r="E12" s="327" t="s">
        <v>3059</v>
      </c>
      <c r="F12" s="328"/>
      <c r="G12" s="329"/>
      <c r="H12" s="398" t="s">
        <v>570</v>
      </c>
      <c r="J12" s="43"/>
    </row>
    <row r="13" spans="1:18" ht="16.5" customHeight="1">
      <c r="A13" s="323"/>
      <c r="B13" s="440"/>
      <c r="C13" s="342"/>
      <c r="D13" s="326"/>
      <c r="E13" s="330"/>
      <c r="F13" s="331"/>
      <c r="G13" s="332"/>
      <c r="H13" s="399"/>
      <c r="J13" s="43"/>
    </row>
    <row r="14" spans="1:18" ht="16.5" customHeight="1">
      <c r="A14" s="322" t="s">
        <v>3052</v>
      </c>
      <c r="B14" s="439" t="s">
        <v>3056</v>
      </c>
      <c r="C14" s="341"/>
      <c r="D14" s="343">
        <v>140000</v>
      </c>
      <c r="E14" s="327" t="s">
        <v>3057</v>
      </c>
      <c r="F14" s="345"/>
      <c r="G14" s="346"/>
      <c r="H14" s="398" t="s">
        <v>3060</v>
      </c>
    </row>
    <row r="15" spans="1:18" ht="16.5" customHeight="1">
      <c r="A15" s="323"/>
      <c r="B15" s="440"/>
      <c r="C15" s="342"/>
      <c r="D15" s="344"/>
      <c r="E15" s="347"/>
      <c r="F15" s="348"/>
      <c r="G15" s="349"/>
      <c r="H15" s="399"/>
    </row>
    <row r="16" spans="1:18" ht="16.5" customHeight="1">
      <c r="A16" s="322" t="s">
        <v>3052</v>
      </c>
      <c r="B16" s="444" t="s">
        <v>3054</v>
      </c>
      <c r="C16" s="341"/>
      <c r="D16" s="326">
        <v>110000</v>
      </c>
      <c r="E16" s="327" t="s">
        <v>3058</v>
      </c>
      <c r="F16" s="328"/>
      <c r="G16" s="329"/>
      <c r="H16" s="360" t="s">
        <v>3055</v>
      </c>
      <c r="J16" s="48">
        <v>99000</v>
      </c>
    </row>
    <row r="17" spans="1:10" ht="16.5" customHeight="1">
      <c r="A17" s="323"/>
      <c r="B17" s="445"/>
      <c r="C17" s="342"/>
      <c r="D17" s="326"/>
      <c r="E17" s="330"/>
      <c r="F17" s="331"/>
      <c r="G17" s="332"/>
      <c r="H17" s="359"/>
    </row>
    <row r="18" spans="1:10" ht="16.5" customHeight="1">
      <c r="A18" s="322" t="s">
        <v>3061</v>
      </c>
      <c r="B18" s="496" t="s">
        <v>3063</v>
      </c>
      <c r="C18" s="341"/>
      <c r="D18" s="326">
        <v>780000</v>
      </c>
      <c r="E18" s="562" t="s">
        <v>3067</v>
      </c>
      <c r="F18" s="582"/>
      <c r="G18" s="583"/>
      <c r="H18" s="360" t="s">
        <v>3064</v>
      </c>
    </row>
    <row r="19" spans="1:10" ht="26.25" customHeight="1">
      <c r="A19" s="323"/>
      <c r="B19" s="497"/>
      <c r="C19" s="342"/>
      <c r="D19" s="326"/>
      <c r="E19" s="584"/>
      <c r="F19" s="585"/>
      <c r="G19" s="586"/>
      <c r="H19" s="359"/>
    </row>
    <row r="20" spans="1:10" ht="16.5" customHeight="1">
      <c r="A20" s="322" t="s">
        <v>3061</v>
      </c>
      <c r="B20" s="496" t="s">
        <v>3062</v>
      </c>
      <c r="C20" s="324"/>
      <c r="D20" s="326">
        <v>120000</v>
      </c>
      <c r="E20" s="327"/>
      <c r="F20" s="328"/>
      <c r="G20" s="329"/>
      <c r="H20" s="360" t="s">
        <v>3065</v>
      </c>
      <c r="J20" s="57"/>
    </row>
    <row r="21" spans="1:10" ht="16.5" customHeight="1">
      <c r="A21" s="323"/>
      <c r="B21" s="497"/>
      <c r="C21" s="325"/>
      <c r="D21" s="326"/>
      <c r="E21" s="330"/>
      <c r="F21" s="331"/>
      <c r="G21" s="332"/>
      <c r="H21" s="359"/>
      <c r="J21" s="57"/>
    </row>
    <row r="22" spans="1:10" ht="16.5" customHeight="1">
      <c r="A22" s="322" t="s">
        <v>3061</v>
      </c>
      <c r="B22" s="596" t="s">
        <v>3066</v>
      </c>
      <c r="C22" s="341"/>
      <c r="D22" s="343">
        <v>80000</v>
      </c>
      <c r="E22" s="327"/>
      <c r="F22" s="328"/>
      <c r="G22" s="329"/>
      <c r="H22" s="400" t="s">
        <v>3064</v>
      </c>
    </row>
    <row r="23" spans="1:10" ht="16.5" customHeight="1">
      <c r="A23" s="323"/>
      <c r="B23" s="597"/>
      <c r="C23" s="342"/>
      <c r="D23" s="344"/>
      <c r="E23" s="330"/>
      <c r="F23" s="331"/>
      <c r="G23" s="332"/>
      <c r="H23" s="401"/>
    </row>
    <row r="24" spans="1:10" ht="16.5" customHeight="1">
      <c r="A24" s="322" t="s">
        <v>3068</v>
      </c>
      <c r="B24" s="596" t="s">
        <v>3069</v>
      </c>
      <c r="C24" s="324" t="s">
        <v>3070</v>
      </c>
      <c r="D24" s="343">
        <v>900000</v>
      </c>
      <c r="E24" s="562" t="s">
        <v>3071</v>
      </c>
      <c r="F24" s="563"/>
      <c r="G24" s="564"/>
      <c r="H24" s="400" t="s">
        <v>3064</v>
      </c>
    </row>
    <row r="25" spans="1:10" ht="41.25" customHeight="1">
      <c r="A25" s="323"/>
      <c r="B25" s="597"/>
      <c r="C25" s="325"/>
      <c r="D25" s="344"/>
      <c r="E25" s="565"/>
      <c r="F25" s="566"/>
      <c r="G25" s="567"/>
      <c r="H25" s="401"/>
    </row>
    <row r="26" spans="1:10" ht="16.5" customHeight="1">
      <c r="A26" s="322" t="s">
        <v>3068</v>
      </c>
      <c r="B26" s="439" t="s">
        <v>3053</v>
      </c>
      <c r="C26" s="341"/>
      <c r="D26" s="343">
        <v>175000</v>
      </c>
      <c r="E26" s="327"/>
      <c r="F26" s="328"/>
      <c r="G26" s="329"/>
      <c r="H26" s="400" t="s">
        <v>3064</v>
      </c>
    </row>
    <row r="27" spans="1:10" ht="16.5" customHeight="1">
      <c r="A27" s="323"/>
      <c r="B27" s="440"/>
      <c r="C27" s="342"/>
      <c r="D27" s="344"/>
      <c r="E27" s="330"/>
      <c r="F27" s="331"/>
      <c r="G27" s="332"/>
      <c r="H27" s="401"/>
    </row>
    <row r="28" spans="1:10" ht="16.5" customHeight="1">
      <c r="A28" s="335" t="s">
        <v>3068</v>
      </c>
      <c r="B28" s="496" t="s">
        <v>3073</v>
      </c>
      <c r="C28" s="325"/>
      <c r="D28" s="326">
        <v>250000</v>
      </c>
      <c r="E28" s="562" t="s">
        <v>3072</v>
      </c>
      <c r="F28" s="582"/>
      <c r="G28" s="583"/>
      <c r="H28" s="359" t="s">
        <v>3074</v>
      </c>
    </row>
    <row r="29" spans="1:10" ht="18.75" customHeight="1">
      <c r="A29" s="336"/>
      <c r="B29" s="497"/>
      <c r="C29" s="325"/>
      <c r="D29" s="326"/>
      <c r="E29" s="584"/>
      <c r="F29" s="585"/>
      <c r="G29" s="586"/>
      <c r="H29" s="359"/>
    </row>
    <row r="30" spans="1:10" ht="16.5" customHeight="1">
      <c r="A30" s="322"/>
      <c r="B30" s="732" t="s">
        <v>3112</v>
      </c>
      <c r="C30" s="733"/>
      <c r="D30" s="733"/>
      <c r="E30" s="733"/>
      <c r="F30" s="733"/>
      <c r="G30" s="733"/>
      <c r="H30" s="734"/>
    </row>
    <row r="31" spans="1:10" ht="24.75" customHeight="1">
      <c r="A31" s="323"/>
      <c r="B31" s="735"/>
      <c r="C31" s="736"/>
      <c r="D31" s="736"/>
      <c r="E31" s="736"/>
      <c r="F31" s="736"/>
      <c r="G31" s="736"/>
      <c r="H31" s="737"/>
    </row>
    <row r="32" spans="1:10" ht="16.5" customHeight="1">
      <c r="A32" s="322" t="s">
        <v>3076</v>
      </c>
      <c r="B32" s="496" t="s">
        <v>3084</v>
      </c>
      <c r="C32" s="325"/>
      <c r="D32" s="326">
        <v>2050000</v>
      </c>
      <c r="E32" s="562" t="s">
        <v>3080</v>
      </c>
      <c r="F32" s="582"/>
      <c r="G32" s="583"/>
      <c r="H32" s="360" t="s">
        <v>3077</v>
      </c>
    </row>
    <row r="33" spans="1:18" ht="55.5" customHeight="1">
      <c r="A33" s="323"/>
      <c r="B33" s="497"/>
      <c r="C33" s="325"/>
      <c r="D33" s="326"/>
      <c r="E33" s="584"/>
      <c r="F33" s="585"/>
      <c r="G33" s="586"/>
      <c r="H33" s="359"/>
    </row>
    <row r="34" spans="1:18" ht="16.5" customHeight="1">
      <c r="A34" s="322" t="s">
        <v>3078</v>
      </c>
      <c r="B34" s="496"/>
      <c r="C34" s="341"/>
      <c r="D34" s="343">
        <v>330000</v>
      </c>
      <c r="E34" s="327" t="s">
        <v>3081</v>
      </c>
      <c r="F34" s="345"/>
      <c r="G34" s="346"/>
      <c r="H34" s="360" t="s">
        <v>3079</v>
      </c>
    </row>
    <row r="35" spans="1:18" ht="16.5" customHeight="1">
      <c r="A35" s="323"/>
      <c r="B35" s="497"/>
      <c r="C35" s="352"/>
      <c r="D35" s="344"/>
      <c r="E35" s="347"/>
      <c r="F35" s="348"/>
      <c r="G35" s="349"/>
      <c r="H35" s="359"/>
    </row>
    <row r="36" spans="1:18" ht="16.5" customHeight="1">
      <c r="A36" s="322" t="s">
        <v>3078</v>
      </c>
      <c r="B36" s="496" t="s">
        <v>3083</v>
      </c>
      <c r="C36" s="324"/>
      <c r="D36" s="326">
        <v>220000</v>
      </c>
      <c r="E36" s="327" t="s">
        <v>3082</v>
      </c>
      <c r="F36" s="328"/>
      <c r="G36" s="329"/>
      <c r="H36" s="360" t="s">
        <v>3079</v>
      </c>
    </row>
    <row r="37" spans="1:18" ht="16.5" customHeight="1">
      <c r="A37" s="323"/>
      <c r="B37" s="497"/>
      <c r="C37" s="325"/>
      <c r="D37" s="326"/>
      <c r="E37" s="330"/>
      <c r="F37" s="331"/>
      <c r="G37" s="332"/>
      <c r="H37" s="359"/>
      <c r="J37" t="s">
        <v>995</v>
      </c>
    </row>
    <row r="38" spans="1:18" ht="16.5" customHeight="1">
      <c r="A38" s="322" t="s">
        <v>3085</v>
      </c>
      <c r="B38" s="496" t="s">
        <v>3091</v>
      </c>
      <c r="C38" s="324"/>
      <c r="D38" s="343">
        <v>650000</v>
      </c>
      <c r="E38" s="327" t="s">
        <v>3095</v>
      </c>
      <c r="F38" s="328"/>
      <c r="G38" s="329"/>
      <c r="H38" s="359" t="s">
        <v>3092</v>
      </c>
    </row>
    <row r="39" spans="1:18" ht="36.75" customHeight="1">
      <c r="A39" s="323"/>
      <c r="B39" s="497"/>
      <c r="C39" s="325"/>
      <c r="D39" s="344"/>
      <c r="E39" s="330"/>
      <c r="F39" s="331"/>
      <c r="G39" s="332"/>
      <c r="H39" s="359"/>
    </row>
    <row r="40" spans="1:18">
      <c r="A40" s="322" t="s">
        <v>3085</v>
      </c>
      <c r="B40" s="498" t="s">
        <v>3090</v>
      </c>
      <c r="C40" s="324"/>
      <c r="D40" s="343">
        <v>770000</v>
      </c>
      <c r="E40" s="574" t="s">
        <v>3096</v>
      </c>
      <c r="F40" s="575"/>
      <c r="G40" s="575"/>
      <c r="H40" s="359" t="s">
        <v>3093</v>
      </c>
    </row>
    <row r="41" spans="1:18" ht="32.25" customHeight="1">
      <c r="A41" s="323"/>
      <c r="B41" s="499"/>
      <c r="C41" s="325"/>
      <c r="D41" s="344"/>
      <c r="E41" s="575"/>
      <c r="F41" s="575"/>
      <c r="G41" s="575"/>
      <c r="H41" s="359"/>
      <c r="R41" t="s">
        <v>2977</v>
      </c>
    </row>
    <row r="42" spans="1:18">
      <c r="A42" s="322" t="s">
        <v>3086</v>
      </c>
      <c r="B42" s="498" t="s">
        <v>3089</v>
      </c>
      <c r="C42" s="324"/>
      <c r="D42" s="343">
        <v>50000</v>
      </c>
      <c r="E42" s="337"/>
      <c r="F42" s="326"/>
      <c r="G42" s="326"/>
      <c r="H42" s="333" t="s">
        <v>3094</v>
      </c>
    </row>
    <row r="43" spans="1:18">
      <c r="A43" s="323"/>
      <c r="B43" s="499"/>
      <c r="C43" s="325"/>
      <c r="D43" s="344"/>
      <c r="E43" s="326"/>
      <c r="F43" s="326"/>
      <c r="G43" s="326"/>
      <c r="H43" s="333"/>
    </row>
    <row r="44" spans="1:18">
      <c r="A44" s="322" t="s">
        <v>3087</v>
      </c>
      <c r="B44" s="498" t="s">
        <v>3088</v>
      </c>
      <c r="C44" s="324"/>
      <c r="D44" s="343">
        <v>45000</v>
      </c>
      <c r="E44" s="337"/>
      <c r="F44" s="326"/>
      <c r="G44" s="326"/>
      <c r="H44" s="359" t="s">
        <v>3093</v>
      </c>
    </row>
    <row r="45" spans="1:18">
      <c r="A45" s="323"/>
      <c r="B45" s="499"/>
      <c r="C45" s="325"/>
      <c r="D45" s="344"/>
      <c r="E45" s="326"/>
      <c r="F45" s="326"/>
      <c r="G45" s="326"/>
      <c r="H45" s="359"/>
    </row>
    <row r="46" spans="1:18">
      <c r="A46" s="322"/>
      <c r="B46" s="498"/>
      <c r="C46" s="324"/>
      <c r="D46" s="326"/>
      <c r="E46" s="337"/>
      <c r="F46" s="326"/>
      <c r="G46" s="326"/>
      <c r="H46" s="359"/>
    </row>
    <row r="47" spans="1:18" ht="15.75" customHeight="1">
      <c r="A47" s="323"/>
      <c r="B47" s="499"/>
      <c r="C47" s="325"/>
      <c r="D47" s="326"/>
      <c r="E47" s="326"/>
      <c r="F47" s="326"/>
      <c r="G47" s="326"/>
      <c r="H47" s="359"/>
    </row>
    <row r="48" spans="1:18" ht="54.75" customHeight="1">
      <c r="A48" s="54" t="s">
        <v>3100</v>
      </c>
      <c r="B48" s="64" t="s">
        <v>3102</v>
      </c>
      <c r="C48" s="75"/>
      <c r="D48" s="76">
        <v>540000</v>
      </c>
      <c r="E48" s="721" t="s">
        <v>3103</v>
      </c>
      <c r="F48" s="722"/>
      <c r="G48" s="723"/>
      <c r="H48" s="77" t="s">
        <v>3097</v>
      </c>
    </row>
    <row r="49" spans="1:8">
      <c r="A49" s="322" t="s">
        <v>3099</v>
      </c>
      <c r="B49" s="324" t="s">
        <v>3101</v>
      </c>
      <c r="C49" s="325"/>
      <c r="D49" s="326">
        <v>480000</v>
      </c>
      <c r="E49" s="574" t="s">
        <v>3104</v>
      </c>
      <c r="F49" s="575"/>
      <c r="G49" s="575"/>
      <c r="H49" s="359" t="s">
        <v>3097</v>
      </c>
    </row>
    <row r="50" spans="1:8">
      <c r="A50" s="323"/>
      <c r="B50" s="325"/>
      <c r="C50" s="325"/>
      <c r="D50" s="326"/>
      <c r="E50" s="575"/>
      <c r="F50" s="575"/>
      <c r="G50" s="575"/>
      <c r="H50" s="359"/>
    </row>
    <row r="51" spans="1:8" ht="16.5" customHeight="1">
      <c r="A51" s="322" t="s">
        <v>3099</v>
      </c>
      <c r="B51" s="324" t="s">
        <v>3105</v>
      </c>
      <c r="C51" s="324"/>
      <c r="D51" s="326">
        <v>145000</v>
      </c>
      <c r="E51" s="337" t="s">
        <v>3106</v>
      </c>
      <c r="F51" s="326"/>
      <c r="G51" s="326"/>
      <c r="H51" s="360" t="s">
        <v>3098</v>
      </c>
    </row>
    <row r="52" spans="1:8">
      <c r="A52" s="323"/>
      <c r="B52" s="325"/>
      <c r="C52" s="325"/>
      <c r="D52" s="326"/>
      <c r="E52" s="326"/>
      <c r="F52" s="326"/>
      <c r="G52" s="326"/>
      <c r="H52" s="359"/>
    </row>
    <row r="53" spans="1:8">
      <c r="A53" s="322"/>
      <c r="B53" s="324"/>
      <c r="C53" s="325"/>
      <c r="D53" s="326"/>
      <c r="E53" s="337"/>
      <c r="F53" s="326"/>
      <c r="G53" s="326"/>
      <c r="H53" s="359"/>
    </row>
    <row r="54" spans="1:8">
      <c r="A54" s="323"/>
      <c r="B54" s="325"/>
      <c r="C54" s="325"/>
      <c r="D54" s="326"/>
      <c r="E54" s="326"/>
      <c r="F54" s="326"/>
      <c r="G54" s="326"/>
      <c r="H54" s="359"/>
    </row>
    <row r="55" spans="1:8">
      <c r="A55" s="322" t="s">
        <v>3110</v>
      </c>
      <c r="B55" s="324"/>
      <c r="C55" s="324"/>
      <c r="D55" s="326">
        <v>280000</v>
      </c>
      <c r="E55" s="337"/>
      <c r="F55" s="326"/>
      <c r="G55" s="326"/>
      <c r="H55" s="360" t="s">
        <v>3107</v>
      </c>
    </row>
    <row r="56" spans="1:8">
      <c r="A56" s="323"/>
      <c r="B56" s="325"/>
      <c r="C56" s="325"/>
      <c r="D56" s="326"/>
      <c r="E56" s="326"/>
      <c r="F56" s="326"/>
      <c r="G56" s="326"/>
      <c r="H56" s="359"/>
    </row>
    <row r="57" spans="1:8">
      <c r="A57" s="322" t="s">
        <v>3110</v>
      </c>
      <c r="B57" s="324"/>
      <c r="C57" s="325"/>
      <c r="D57" s="326">
        <v>260000</v>
      </c>
      <c r="E57" s="337"/>
      <c r="F57" s="326"/>
      <c r="G57" s="326"/>
      <c r="H57" s="359" t="s">
        <v>3108</v>
      </c>
    </row>
    <row r="58" spans="1:8">
      <c r="A58" s="323"/>
      <c r="B58" s="325"/>
      <c r="C58" s="325"/>
      <c r="D58" s="326"/>
      <c r="E58" s="326"/>
      <c r="F58" s="326"/>
      <c r="G58" s="326"/>
      <c r="H58" s="359"/>
    </row>
    <row r="59" spans="1:8">
      <c r="A59" s="322" t="s">
        <v>3110</v>
      </c>
      <c r="B59" s="324"/>
      <c r="C59" s="325"/>
      <c r="D59" s="326">
        <v>700000</v>
      </c>
      <c r="E59" s="574" t="s">
        <v>3111</v>
      </c>
      <c r="F59" s="575"/>
      <c r="G59" s="575"/>
      <c r="H59" s="359" t="s">
        <v>3109</v>
      </c>
    </row>
    <row r="60" spans="1:8" ht="42.75" customHeight="1">
      <c r="A60" s="323"/>
      <c r="B60" s="325"/>
      <c r="C60" s="325"/>
      <c r="D60" s="326"/>
      <c r="E60" s="575"/>
      <c r="F60" s="575"/>
      <c r="G60" s="575"/>
      <c r="H60" s="359"/>
    </row>
    <row r="61" spans="1:8" ht="16.5" customHeight="1">
      <c r="A61" s="323"/>
      <c r="B61" s="695" t="s">
        <v>3153</v>
      </c>
      <c r="C61" s="645"/>
      <c r="D61" s="645"/>
      <c r="E61" s="645"/>
      <c r="F61" s="645"/>
      <c r="G61" s="645"/>
      <c r="H61" s="646"/>
    </row>
    <row r="62" spans="1:8" ht="39.75" customHeight="1">
      <c r="A62" s="323"/>
      <c r="B62" s="647"/>
      <c r="C62" s="648"/>
      <c r="D62" s="648"/>
      <c r="E62" s="648"/>
      <c r="F62" s="648"/>
      <c r="G62" s="648"/>
      <c r="H62" s="649"/>
    </row>
    <row r="63" spans="1:8">
      <c r="A63" s="322" t="s">
        <v>3113</v>
      </c>
      <c r="B63" s="324" t="s">
        <v>3115</v>
      </c>
      <c r="C63" s="325"/>
      <c r="D63" s="326">
        <v>600000</v>
      </c>
      <c r="E63" s="574" t="s">
        <v>3142</v>
      </c>
      <c r="F63" s="575"/>
      <c r="G63" s="575"/>
      <c r="H63" s="359" t="s">
        <v>145</v>
      </c>
    </row>
    <row r="64" spans="1:8">
      <c r="A64" s="323"/>
      <c r="B64" s="325"/>
      <c r="C64" s="325"/>
      <c r="D64" s="326"/>
      <c r="E64" s="575"/>
      <c r="F64" s="575"/>
      <c r="G64" s="575"/>
      <c r="H64" s="359"/>
    </row>
    <row r="65" spans="1:8">
      <c r="A65" s="322" t="s">
        <v>3113</v>
      </c>
      <c r="B65" s="325" t="s">
        <v>3116</v>
      </c>
      <c r="C65" s="325"/>
      <c r="D65" s="326">
        <v>160000</v>
      </c>
      <c r="E65" s="337"/>
      <c r="F65" s="326"/>
      <c r="G65" s="326"/>
      <c r="H65" s="359" t="s">
        <v>3114</v>
      </c>
    </row>
    <row r="66" spans="1:8" ht="30.75" customHeight="1">
      <c r="A66" s="323"/>
      <c r="B66" s="325"/>
      <c r="C66" s="325"/>
      <c r="D66" s="326"/>
      <c r="E66" s="326"/>
      <c r="F66" s="326"/>
      <c r="G66" s="326"/>
      <c r="H66" s="359"/>
    </row>
    <row r="67" spans="1:8">
      <c r="A67" s="322" t="s">
        <v>3113</v>
      </c>
      <c r="B67" s="324" t="s">
        <v>3117</v>
      </c>
      <c r="C67" s="325"/>
      <c r="D67" s="326">
        <v>54000</v>
      </c>
      <c r="E67" s="337"/>
      <c r="F67" s="326"/>
      <c r="G67" s="326"/>
      <c r="H67" s="359" t="s">
        <v>145</v>
      </c>
    </row>
    <row r="68" spans="1:8">
      <c r="A68" s="323"/>
      <c r="B68" s="325"/>
      <c r="C68" s="325"/>
      <c r="D68" s="326"/>
      <c r="E68" s="326"/>
      <c r="F68" s="326"/>
      <c r="G68" s="326"/>
      <c r="H68" s="359"/>
    </row>
    <row r="69" spans="1:8" ht="36" customHeight="1">
      <c r="A69" s="80" t="s">
        <v>3120</v>
      </c>
      <c r="B69" s="79" t="s">
        <v>3122</v>
      </c>
      <c r="C69" s="79"/>
      <c r="D69" s="78">
        <v>95000</v>
      </c>
      <c r="E69" s="627" t="s">
        <v>3123</v>
      </c>
      <c r="F69" s="628"/>
      <c r="G69" s="629"/>
      <c r="H69" s="81" t="s">
        <v>3124</v>
      </c>
    </row>
    <row r="70" spans="1:8">
      <c r="A70" s="335" t="s">
        <v>3120</v>
      </c>
      <c r="B70" s="341" t="s">
        <v>3119</v>
      </c>
      <c r="C70" s="353"/>
      <c r="D70" s="343">
        <v>740000</v>
      </c>
      <c r="E70" s="337" t="s">
        <v>3141</v>
      </c>
      <c r="F70" s="731"/>
      <c r="G70" s="731"/>
      <c r="H70" s="398" t="s">
        <v>145</v>
      </c>
    </row>
    <row r="71" spans="1:8" s="30" customFormat="1">
      <c r="A71" s="336"/>
      <c r="B71" s="342"/>
      <c r="C71" s="352"/>
      <c r="D71" s="344"/>
      <c r="E71" s="731"/>
      <c r="F71" s="731"/>
      <c r="G71" s="731"/>
      <c r="H71" s="399"/>
    </row>
    <row r="72" spans="1:8">
      <c r="A72" s="322" t="s">
        <v>3118</v>
      </c>
      <c r="B72" s="324" t="s">
        <v>3127</v>
      </c>
      <c r="C72" s="325"/>
      <c r="D72" s="326">
        <v>1150000</v>
      </c>
      <c r="E72" s="574" t="s">
        <v>3126</v>
      </c>
      <c r="F72" s="575"/>
      <c r="G72" s="575"/>
      <c r="H72" s="400" t="s">
        <v>3125</v>
      </c>
    </row>
    <row r="73" spans="1:8">
      <c r="A73" s="323"/>
      <c r="B73" s="325"/>
      <c r="C73" s="325"/>
      <c r="D73" s="326"/>
      <c r="E73" s="575"/>
      <c r="F73" s="575"/>
      <c r="G73" s="575"/>
      <c r="H73" s="401"/>
    </row>
    <row r="74" spans="1:8">
      <c r="A74" s="322" t="s">
        <v>3121</v>
      </c>
      <c r="B74" s="324" t="s">
        <v>3139</v>
      </c>
      <c r="C74" s="325"/>
      <c r="D74" s="326">
        <v>105000</v>
      </c>
      <c r="E74" s="337" t="s">
        <v>3140</v>
      </c>
      <c r="F74" s="326"/>
      <c r="G74" s="326"/>
      <c r="H74" s="359" t="s">
        <v>3128</v>
      </c>
    </row>
    <row r="75" spans="1:8" ht="27.75" customHeight="1">
      <c r="A75" s="323"/>
      <c r="B75" s="325"/>
      <c r="C75" s="325"/>
      <c r="D75" s="326"/>
      <c r="E75" s="326"/>
      <c r="F75" s="326"/>
      <c r="G75" s="326"/>
      <c r="H75" s="359"/>
    </row>
    <row r="76" spans="1:8">
      <c r="A76" s="322" t="s">
        <v>3129</v>
      </c>
      <c r="B76" s="324"/>
      <c r="C76" s="325"/>
      <c r="D76" s="326">
        <v>150000</v>
      </c>
      <c r="E76" s="326" t="s">
        <v>3156</v>
      </c>
      <c r="F76" s="326"/>
      <c r="G76" s="326"/>
      <c r="H76" s="359" t="s">
        <v>3125</v>
      </c>
    </row>
    <row r="77" spans="1:8">
      <c r="A77" s="323"/>
      <c r="B77" s="325"/>
      <c r="C77" s="325"/>
      <c r="D77" s="326"/>
      <c r="E77" s="326"/>
      <c r="F77" s="326"/>
      <c r="G77" s="326"/>
      <c r="H77" s="359"/>
    </row>
    <row r="78" spans="1:8">
      <c r="A78" s="322"/>
      <c r="B78" s="644"/>
      <c r="C78" s="645"/>
      <c r="D78" s="645"/>
      <c r="E78" s="645"/>
      <c r="F78" s="645"/>
      <c r="G78" s="645"/>
      <c r="H78" s="646"/>
    </row>
    <row r="79" spans="1:8" s="30" customFormat="1" ht="33.75" customHeight="1">
      <c r="A79" s="323"/>
      <c r="B79" s="647"/>
      <c r="C79" s="648"/>
      <c r="D79" s="648"/>
      <c r="E79" s="648"/>
      <c r="F79" s="648"/>
      <c r="G79" s="648"/>
      <c r="H79" s="649"/>
    </row>
    <row r="80" spans="1:8">
      <c r="A80" s="323" t="s">
        <v>3130</v>
      </c>
      <c r="B80" s="325" t="s">
        <v>3138</v>
      </c>
      <c r="C80" s="325"/>
      <c r="D80" s="326">
        <v>750000</v>
      </c>
      <c r="E80" s="574" t="s">
        <v>3134</v>
      </c>
      <c r="F80" s="575"/>
      <c r="G80" s="575"/>
      <c r="H80" s="360" t="s">
        <v>3131</v>
      </c>
    </row>
    <row r="81" spans="1:8">
      <c r="A81" s="323"/>
      <c r="B81" s="325"/>
      <c r="C81" s="325"/>
      <c r="D81" s="326"/>
      <c r="E81" s="575"/>
      <c r="F81" s="575"/>
      <c r="G81" s="575"/>
      <c r="H81" s="359"/>
    </row>
    <row r="82" spans="1:8">
      <c r="A82" s="322" t="s">
        <v>3132</v>
      </c>
      <c r="B82" s="325" t="s">
        <v>3137</v>
      </c>
      <c r="C82" s="325"/>
      <c r="D82" s="326">
        <v>690000</v>
      </c>
      <c r="E82" s="574" t="s">
        <v>3135</v>
      </c>
      <c r="F82" s="575"/>
      <c r="G82" s="575"/>
      <c r="H82" s="360" t="s">
        <v>145</v>
      </c>
    </row>
    <row r="83" spans="1:8">
      <c r="A83" s="323"/>
      <c r="B83" s="325"/>
      <c r="C83" s="325"/>
      <c r="D83" s="326"/>
      <c r="E83" s="575"/>
      <c r="F83" s="575"/>
      <c r="G83" s="575"/>
      <c r="H83" s="359"/>
    </row>
    <row r="84" spans="1:8">
      <c r="A84" s="322" t="s">
        <v>3133</v>
      </c>
      <c r="B84" s="324" t="s">
        <v>3136</v>
      </c>
      <c r="C84" s="325"/>
      <c r="D84" s="326">
        <v>100000</v>
      </c>
      <c r="E84" s="337"/>
      <c r="F84" s="326"/>
      <c r="G84" s="326"/>
      <c r="H84" s="360" t="s">
        <v>3168</v>
      </c>
    </row>
    <row r="85" spans="1:8" s="30" customFormat="1">
      <c r="A85" s="323"/>
      <c r="B85" s="325"/>
      <c r="C85" s="325"/>
      <c r="D85" s="326"/>
      <c r="E85" s="326"/>
      <c r="F85" s="326"/>
      <c r="G85" s="326"/>
      <c r="H85" s="359"/>
    </row>
    <row r="86" spans="1:8">
      <c r="A86" s="322" t="s">
        <v>3143</v>
      </c>
      <c r="B86" s="324" t="s">
        <v>3144</v>
      </c>
      <c r="C86" s="325"/>
      <c r="D86" s="326">
        <v>160000</v>
      </c>
      <c r="E86" s="326" t="s">
        <v>3152</v>
      </c>
      <c r="F86" s="326"/>
      <c r="G86" s="326"/>
      <c r="H86" s="360" t="s">
        <v>3145</v>
      </c>
    </row>
    <row r="87" spans="1:8">
      <c r="A87" s="323"/>
      <c r="B87" s="325"/>
      <c r="C87" s="325"/>
      <c r="D87" s="326"/>
      <c r="E87" s="326"/>
      <c r="F87" s="326"/>
      <c r="G87" s="326"/>
      <c r="H87" s="359"/>
    </row>
    <row r="88" spans="1:8">
      <c r="A88" s="322" t="s">
        <v>3146</v>
      </c>
      <c r="B88" s="325" t="s">
        <v>3147</v>
      </c>
      <c r="C88" s="325"/>
      <c r="D88" s="326">
        <v>742000</v>
      </c>
      <c r="E88" s="337" t="s">
        <v>3151</v>
      </c>
      <c r="F88" s="326"/>
      <c r="G88" s="326"/>
      <c r="H88" s="360" t="s">
        <v>3148</v>
      </c>
    </row>
    <row r="89" spans="1:8" s="30" customFormat="1">
      <c r="A89" s="323"/>
      <c r="B89" s="325"/>
      <c r="C89" s="325"/>
      <c r="D89" s="326"/>
      <c r="E89" s="326"/>
      <c r="F89" s="326"/>
      <c r="G89" s="326"/>
      <c r="H89" s="359"/>
    </row>
    <row r="90" spans="1:8">
      <c r="A90" s="322" t="s">
        <v>3149</v>
      </c>
      <c r="B90" s="325" t="s">
        <v>3150</v>
      </c>
      <c r="C90" s="325"/>
      <c r="D90" s="326">
        <v>1025000</v>
      </c>
      <c r="E90" s="574" t="s">
        <v>3134</v>
      </c>
      <c r="F90" s="575"/>
      <c r="G90" s="575"/>
      <c r="H90" s="360" t="s">
        <v>3160</v>
      </c>
    </row>
    <row r="91" spans="1:8">
      <c r="A91" s="323"/>
      <c r="B91" s="325"/>
      <c r="C91" s="325"/>
      <c r="D91" s="326"/>
      <c r="E91" s="575"/>
      <c r="F91" s="575"/>
      <c r="G91" s="575"/>
      <c r="H91" s="359"/>
    </row>
    <row r="92" spans="1:8">
      <c r="A92" s="322" t="s">
        <v>3157</v>
      </c>
      <c r="B92" s="324" t="s">
        <v>3158</v>
      </c>
      <c r="C92" s="325"/>
      <c r="D92" s="326">
        <v>52000</v>
      </c>
      <c r="E92" s="337"/>
      <c r="F92" s="326"/>
      <c r="G92" s="326"/>
      <c r="H92" s="360" t="s">
        <v>3159</v>
      </c>
    </row>
    <row r="93" spans="1:8">
      <c r="A93" s="323"/>
      <c r="B93" s="325"/>
      <c r="C93" s="325"/>
      <c r="D93" s="326"/>
      <c r="E93" s="326"/>
      <c r="F93" s="326"/>
      <c r="G93" s="326"/>
      <c r="H93" s="359"/>
    </row>
    <row r="94" spans="1:8" ht="16.5" customHeight="1">
      <c r="A94" s="322" t="s">
        <v>3163</v>
      </c>
      <c r="B94" s="324" t="s">
        <v>3164</v>
      </c>
      <c r="C94" s="324"/>
      <c r="D94" s="326">
        <v>1170000</v>
      </c>
      <c r="E94" s="562" t="s">
        <v>3167</v>
      </c>
      <c r="F94" s="582"/>
      <c r="G94" s="583"/>
      <c r="H94" s="360" t="s">
        <v>3161</v>
      </c>
    </row>
    <row r="95" spans="1:8" ht="46.5" customHeight="1">
      <c r="A95" s="323"/>
      <c r="B95" s="325"/>
      <c r="C95" s="325"/>
      <c r="D95" s="326"/>
      <c r="E95" s="584"/>
      <c r="F95" s="585"/>
      <c r="G95" s="586"/>
      <c r="H95" s="359"/>
    </row>
    <row r="96" spans="1:8" ht="16.5" customHeight="1">
      <c r="A96" s="322" t="s">
        <v>3163</v>
      </c>
      <c r="B96" s="324" t="s">
        <v>3165</v>
      </c>
      <c r="C96" s="325"/>
      <c r="D96" s="326">
        <v>495000</v>
      </c>
      <c r="E96" s="575" t="s">
        <v>3166</v>
      </c>
      <c r="F96" s="575"/>
      <c r="G96" s="575"/>
      <c r="H96" s="400" t="s">
        <v>3162</v>
      </c>
    </row>
    <row r="97" spans="1:8" ht="16.5" customHeight="1">
      <c r="A97" s="323"/>
      <c r="B97" s="325"/>
      <c r="C97" s="325"/>
      <c r="D97" s="326"/>
      <c r="E97" s="575"/>
      <c r="F97" s="575"/>
      <c r="G97" s="575"/>
      <c r="H97" s="401"/>
    </row>
    <row r="98" spans="1:8" ht="16.5" customHeight="1">
      <c r="A98" s="322" t="s">
        <v>3169</v>
      </c>
      <c r="B98" s="324" t="s">
        <v>3172</v>
      </c>
      <c r="C98" s="325"/>
      <c r="D98" s="326">
        <v>130000</v>
      </c>
      <c r="E98" s="337"/>
      <c r="F98" s="326"/>
      <c r="G98" s="326"/>
      <c r="H98" s="400" t="s">
        <v>3171</v>
      </c>
    </row>
    <row r="99" spans="1:8" ht="16.5" customHeight="1">
      <c r="A99" s="323"/>
      <c r="B99" s="325"/>
      <c r="C99" s="325"/>
      <c r="D99" s="326"/>
      <c r="E99" s="326"/>
      <c r="F99" s="326"/>
      <c r="G99" s="326"/>
      <c r="H99" s="401"/>
    </row>
    <row r="100" spans="1:8" ht="16.5" customHeight="1">
      <c r="A100" s="336" t="s">
        <v>3170</v>
      </c>
      <c r="B100" s="324"/>
      <c r="C100" s="324"/>
      <c r="D100" s="326">
        <v>528000</v>
      </c>
      <c r="E100" s="327"/>
      <c r="F100" s="328"/>
      <c r="G100" s="329"/>
      <c r="H100" s="360" t="s">
        <v>3174</v>
      </c>
    </row>
    <row r="101" spans="1:8" ht="16.5" customHeight="1">
      <c r="A101" s="323"/>
      <c r="B101" s="325"/>
      <c r="C101" s="325"/>
      <c r="D101" s="326"/>
      <c r="E101" s="330"/>
      <c r="F101" s="331"/>
      <c r="G101" s="332"/>
      <c r="H101" s="359"/>
    </row>
    <row r="102" spans="1:8" ht="16.5" customHeight="1">
      <c r="A102" s="336" t="s">
        <v>3170</v>
      </c>
      <c r="B102" s="324"/>
      <c r="C102" s="325"/>
      <c r="D102" s="326">
        <v>150000</v>
      </c>
      <c r="E102" s="327"/>
      <c r="F102" s="328"/>
      <c r="G102" s="329"/>
      <c r="H102" s="400" t="s">
        <v>3175</v>
      </c>
    </row>
    <row r="103" spans="1:8" ht="16.5" customHeight="1">
      <c r="A103" s="323"/>
      <c r="B103" s="325"/>
      <c r="C103" s="325"/>
      <c r="D103" s="326"/>
      <c r="E103" s="330"/>
      <c r="F103" s="331"/>
      <c r="G103" s="332"/>
      <c r="H103" s="401"/>
    </row>
    <row r="104" spans="1:8" ht="16.5" customHeight="1">
      <c r="A104" s="336" t="s">
        <v>3170</v>
      </c>
      <c r="B104" s="324"/>
      <c r="C104" s="324"/>
      <c r="D104" s="326">
        <v>100000</v>
      </c>
      <c r="E104" s="327"/>
      <c r="F104" s="328"/>
      <c r="G104" s="329"/>
      <c r="H104" s="400" t="s">
        <v>3173</v>
      </c>
    </row>
    <row r="105" spans="1:8" ht="16.5" customHeight="1">
      <c r="A105" s="323"/>
      <c r="B105" s="325"/>
      <c r="C105" s="325"/>
      <c r="D105" s="326"/>
      <c r="E105" s="330"/>
      <c r="F105" s="331"/>
      <c r="G105" s="332"/>
      <c r="H105" s="401"/>
    </row>
    <row r="106" spans="1:8" ht="16.5" customHeight="1">
      <c r="A106" s="322"/>
      <c r="B106" s="324"/>
      <c r="C106" s="325"/>
      <c r="D106" s="326"/>
      <c r="E106" s="327"/>
      <c r="F106" s="328"/>
      <c r="G106" s="329"/>
      <c r="H106" s="359"/>
    </row>
    <row r="107" spans="1:8" ht="16.5" customHeight="1">
      <c r="A107" s="323"/>
      <c r="B107" s="325"/>
      <c r="C107" s="325"/>
      <c r="D107" s="326"/>
      <c r="E107" s="330"/>
      <c r="F107" s="331"/>
      <c r="G107" s="332"/>
      <c r="H107" s="359"/>
    </row>
    <row r="108" spans="1:8" ht="16.5" customHeight="1">
      <c r="A108" s="322"/>
      <c r="B108" s="568" t="s">
        <v>3204</v>
      </c>
      <c r="C108" s="569"/>
      <c r="D108" s="569"/>
      <c r="E108" s="569"/>
      <c r="F108" s="569"/>
      <c r="G108" s="569"/>
      <c r="H108" s="570"/>
    </row>
    <row r="109" spans="1:8" ht="17.25" customHeight="1">
      <c r="A109" s="323"/>
      <c r="B109" s="571"/>
      <c r="C109" s="572"/>
      <c r="D109" s="572"/>
      <c r="E109" s="572"/>
      <c r="F109" s="572"/>
      <c r="G109" s="572"/>
      <c r="H109" s="573"/>
    </row>
    <row r="110" spans="1:8" ht="16.5" customHeight="1">
      <c r="A110" s="322"/>
      <c r="B110" s="324"/>
      <c r="C110" s="325"/>
      <c r="D110" s="326"/>
      <c r="E110" s="327"/>
      <c r="F110" s="328"/>
      <c r="G110" s="329"/>
      <c r="H110" s="359"/>
    </row>
    <row r="111" spans="1:8" ht="16.5" customHeight="1">
      <c r="A111" s="323"/>
      <c r="B111" s="325"/>
      <c r="C111" s="325"/>
      <c r="D111" s="326"/>
      <c r="E111" s="330"/>
      <c r="F111" s="331"/>
      <c r="G111" s="332"/>
      <c r="H111" s="359"/>
    </row>
    <row r="112" spans="1:8" ht="16.5" customHeight="1">
      <c r="A112" s="322"/>
      <c r="B112" s="324"/>
      <c r="C112" s="324"/>
      <c r="D112" s="326"/>
      <c r="E112" s="327"/>
      <c r="F112" s="328"/>
      <c r="G112" s="329"/>
      <c r="H112" s="359"/>
    </row>
    <row r="113" spans="1:11" ht="16.5" customHeight="1">
      <c r="A113" s="323"/>
      <c r="B113" s="325"/>
      <c r="C113" s="325"/>
      <c r="D113" s="326"/>
      <c r="E113" s="330"/>
      <c r="F113" s="331"/>
      <c r="G113" s="332"/>
      <c r="H113" s="359"/>
    </row>
    <row r="114" spans="1:11" ht="16.5" customHeight="1">
      <c r="A114" s="322"/>
      <c r="B114" s="324"/>
      <c r="C114" s="324"/>
      <c r="D114" s="326"/>
      <c r="E114" s="327"/>
      <c r="F114" s="328"/>
      <c r="G114" s="329"/>
      <c r="H114" s="333"/>
    </row>
    <row r="115" spans="1:11" ht="16.5" customHeight="1">
      <c r="A115" s="323"/>
      <c r="B115" s="325"/>
      <c r="C115" s="325"/>
      <c r="D115" s="326"/>
      <c r="E115" s="330"/>
      <c r="F115" s="331"/>
      <c r="G115" s="332"/>
      <c r="H115" s="333"/>
    </row>
    <row r="116" spans="1:11" ht="16.5" customHeight="1">
      <c r="A116" s="322"/>
      <c r="B116" s="324"/>
      <c r="C116" s="325"/>
      <c r="D116" s="326"/>
      <c r="E116" s="729"/>
      <c r="F116" s="730"/>
      <c r="G116" s="730"/>
      <c r="H116" s="359"/>
    </row>
    <row r="117" spans="1:11" ht="16.5" customHeight="1">
      <c r="A117" s="323"/>
      <c r="B117" s="325"/>
      <c r="C117" s="325"/>
      <c r="D117" s="326"/>
      <c r="E117" s="730"/>
      <c r="F117" s="730"/>
      <c r="G117" s="730"/>
      <c r="H117" s="359"/>
    </row>
    <row r="118" spans="1:11" ht="16.5" customHeight="1">
      <c r="A118" s="322"/>
      <c r="B118" s="324"/>
      <c r="C118" s="324"/>
      <c r="D118" s="326"/>
      <c r="E118" s="337"/>
      <c r="F118" s="326"/>
      <c r="G118" s="326"/>
      <c r="H118" s="359"/>
    </row>
    <row r="119" spans="1:11" ht="16.5" customHeight="1">
      <c r="A119" s="323"/>
      <c r="B119" s="325"/>
      <c r="C119" s="325"/>
      <c r="D119" s="326"/>
      <c r="E119" s="326"/>
      <c r="F119" s="326"/>
      <c r="G119" s="326"/>
      <c r="H119" s="359"/>
    </row>
    <row r="120" spans="1:11" ht="16.5" customHeight="1">
      <c r="A120" s="339"/>
      <c r="B120" s="324"/>
      <c r="C120" s="324"/>
      <c r="D120" s="326"/>
      <c r="E120" s="327"/>
      <c r="F120" s="328"/>
      <c r="G120" s="329"/>
      <c r="H120" s="359"/>
    </row>
    <row r="121" spans="1:11" ht="16.5" customHeight="1">
      <c r="A121" s="340"/>
      <c r="B121" s="325"/>
      <c r="C121" s="325"/>
      <c r="D121" s="326"/>
      <c r="E121" s="330"/>
      <c r="F121" s="331"/>
      <c r="G121" s="332"/>
      <c r="H121" s="359"/>
    </row>
    <row r="122" spans="1:11" ht="16.5" customHeight="1">
      <c r="A122" s="322"/>
      <c r="B122" s="324"/>
      <c r="C122" s="324"/>
      <c r="D122" s="326"/>
      <c r="E122" s="327"/>
      <c r="F122" s="328"/>
      <c r="G122" s="329"/>
      <c r="H122" s="333"/>
    </row>
    <row r="123" spans="1:11" ht="16.5" customHeight="1">
      <c r="A123" s="323"/>
      <c r="B123" s="325"/>
      <c r="C123" s="325"/>
      <c r="D123" s="326"/>
      <c r="E123" s="330"/>
      <c r="F123" s="331"/>
      <c r="G123" s="332"/>
      <c r="H123" s="333"/>
      <c r="K123" s="24"/>
    </row>
    <row r="124" spans="1:11" ht="16.5" customHeight="1">
      <c r="A124" s="322"/>
      <c r="B124" s="324"/>
      <c r="C124" s="324"/>
      <c r="D124" s="326"/>
      <c r="E124" s="327"/>
      <c r="F124" s="328"/>
      <c r="G124" s="329"/>
      <c r="H124" s="338"/>
    </row>
    <row r="125" spans="1:11" ht="16.5" customHeight="1">
      <c r="A125" s="323"/>
      <c r="B125" s="325"/>
      <c r="C125" s="325"/>
      <c r="D125" s="326"/>
      <c r="E125" s="330"/>
      <c r="F125" s="331"/>
      <c r="G125" s="332"/>
      <c r="H125" s="333"/>
      <c r="K125" s="24"/>
    </row>
    <row r="126" spans="1:11" ht="16.5" customHeight="1">
      <c r="A126" s="322"/>
      <c r="B126" s="324"/>
      <c r="C126" s="324"/>
      <c r="D126" s="326"/>
      <c r="E126" s="327"/>
      <c r="F126" s="328"/>
      <c r="G126" s="329"/>
      <c r="H126" s="333"/>
      <c r="K126" s="24"/>
    </row>
    <row r="127" spans="1:11" ht="16.5" customHeight="1">
      <c r="A127" s="323"/>
      <c r="B127" s="325"/>
      <c r="C127" s="325"/>
      <c r="D127" s="326"/>
      <c r="E127" s="330"/>
      <c r="F127" s="331"/>
      <c r="G127" s="332"/>
      <c r="H127" s="333"/>
      <c r="K127" s="24"/>
    </row>
    <row r="128" spans="1:11" ht="16.5" customHeight="1">
      <c r="A128" s="322"/>
      <c r="B128" s="324"/>
      <c r="C128" s="325"/>
      <c r="D128" s="326"/>
      <c r="E128" s="337"/>
      <c r="F128" s="326"/>
      <c r="G128" s="326"/>
      <c r="H128" s="333"/>
      <c r="K128" s="24"/>
    </row>
    <row r="129" spans="1:11" ht="16.5" customHeight="1">
      <c r="A129" s="323"/>
      <c r="B129" s="325"/>
      <c r="C129" s="325"/>
      <c r="D129" s="326"/>
      <c r="E129" s="326"/>
      <c r="F129" s="326"/>
      <c r="G129" s="326"/>
      <c r="H129" s="333"/>
      <c r="K129" s="24"/>
    </row>
    <row r="130" spans="1:11" ht="16.5" customHeight="1">
      <c r="A130" s="322"/>
      <c r="B130" s="324"/>
      <c r="C130" s="325"/>
      <c r="D130" s="326"/>
      <c r="E130" s="327"/>
      <c r="F130" s="328"/>
      <c r="G130" s="329"/>
      <c r="H130" s="338"/>
      <c r="I130" s="4"/>
    </row>
    <row r="131" spans="1:11" ht="16.5" customHeight="1">
      <c r="A131" s="323"/>
      <c r="B131" s="325"/>
      <c r="C131" s="325"/>
      <c r="D131" s="326"/>
      <c r="E131" s="330"/>
      <c r="F131" s="331"/>
      <c r="G131" s="332"/>
      <c r="H131" s="333"/>
    </row>
    <row r="132" spans="1:11" ht="16.5" customHeight="1">
      <c r="A132" s="322"/>
      <c r="B132" s="324"/>
      <c r="C132" s="325"/>
      <c r="D132" s="326"/>
      <c r="E132" s="327"/>
      <c r="F132" s="328"/>
      <c r="G132" s="329"/>
      <c r="H132" s="333"/>
    </row>
    <row r="133" spans="1:11" ht="16.5" customHeight="1">
      <c r="A133" s="323"/>
      <c r="B133" s="325"/>
      <c r="C133" s="325"/>
      <c r="D133" s="326"/>
      <c r="E133" s="330"/>
      <c r="F133" s="331"/>
      <c r="G133" s="332"/>
      <c r="H133" s="333"/>
    </row>
    <row r="134" spans="1:11" ht="16.5" customHeight="1">
      <c r="A134" s="322"/>
      <c r="B134" s="324"/>
      <c r="C134" s="325"/>
      <c r="D134" s="326"/>
      <c r="E134" s="327"/>
      <c r="F134" s="328"/>
      <c r="G134" s="329"/>
      <c r="H134" s="333"/>
    </row>
    <row r="135" spans="1:11" ht="16.5" customHeight="1">
      <c r="A135" s="323"/>
      <c r="B135" s="325"/>
      <c r="C135" s="325"/>
      <c r="D135" s="326"/>
      <c r="E135" s="330"/>
      <c r="F135" s="331"/>
      <c r="G135" s="332"/>
      <c r="H135" s="333"/>
    </row>
    <row r="136" spans="1:11" ht="16.5" customHeight="1">
      <c r="A136" s="322"/>
      <c r="B136" s="324"/>
      <c r="C136" s="325"/>
      <c r="D136" s="326"/>
      <c r="E136" s="327"/>
      <c r="F136" s="328"/>
      <c r="G136" s="329"/>
      <c r="H136" s="333"/>
    </row>
    <row r="137" spans="1:11" ht="16.5" customHeight="1">
      <c r="A137" s="323"/>
      <c r="B137" s="325"/>
      <c r="C137" s="325"/>
      <c r="D137" s="326"/>
      <c r="E137" s="330"/>
      <c r="F137" s="331"/>
      <c r="G137" s="332"/>
      <c r="H137" s="333"/>
    </row>
    <row r="138" spans="1:11" ht="16.5" customHeight="1">
      <c r="A138" s="322"/>
      <c r="B138" s="324"/>
      <c r="C138" s="325"/>
      <c r="D138" s="326"/>
      <c r="E138" s="327"/>
      <c r="F138" s="328"/>
      <c r="G138" s="329"/>
      <c r="H138" s="333"/>
    </row>
    <row r="139" spans="1:11" ht="16.5" customHeight="1">
      <c r="A139" s="323"/>
      <c r="B139" s="325"/>
      <c r="C139" s="325"/>
      <c r="D139" s="326"/>
      <c r="E139" s="330"/>
      <c r="F139" s="331"/>
      <c r="G139" s="332"/>
      <c r="H139" s="333"/>
    </row>
    <row r="140" spans="1:11" ht="16.5" customHeight="1">
      <c r="A140" s="322"/>
      <c r="B140" s="324"/>
      <c r="C140" s="326"/>
      <c r="D140" s="326"/>
      <c r="E140" s="327"/>
      <c r="F140" s="328"/>
      <c r="G140" s="329"/>
      <c r="H140" s="333"/>
    </row>
    <row r="141" spans="1:11" ht="16.5" customHeight="1">
      <c r="A141" s="323"/>
      <c r="B141" s="325"/>
      <c r="C141" s="326"/>
      <c r="D141" s="326"/>
      <c r="E141" s="330"/>
      <c r="F141" s="331"/>
      <c r="G141" s="332"/>
      <c r="H141" s="333"/>
    </row>
    <row r="142" spans="1:11" ht="16.5" customHeight="1">
      <c r="A142" s="322"/>
      <c r="B142" s="324"/>
      <c r="C142" s="325"/>
      <c r="D142" s="326"/>
      <c r="E142" s="337"/>
      <c r="F142" s="326"/>
      <c r="G142" s="326"/>
      <c r="H142" s="333"/>
      <c r="I142" s="3"/>
      <c r="K142" s="23"/>
    </row>
    <row r="143" spans="1:11" ht="16.5" customHeight="1">
      <c r="A143" s="323"/>
      <c r="B143" s="325"/>
      <c r="C143" s="325"/>
      <c r="D143" s="326"/>
      <c r="E143" s="326"/>
      <c r="F143" s="326"/>
      <c r="G143" s="326"/>
      <c r="H143" s="333"/>
    </row>
    <row r="144" spans="1:11" ht="16.5" customHeight="1">
      <c r="A144" s="322"/>
      <c r="B144" s="324"/>
      <c r="C144" s="325"/>
      <c r="D144" s="326"/>
      <c r="E144" s="327"/>
      <c r="F144" s="328"/>
      <c r="G144" s="329"/>
      <c r="H144" s="333"/>
    </row>
    <row r="145" spans="1:8" ht="16.5" customHeight="1">
      <c r="A145" s="323"/>
      <c r="B145" s="325"/>
      <c r="C145" s="325"/>
      <c r="D145" s="326"/>
      <c r="E145" s="330"/>
      <c r="F145" s="331"/>
      <c r="G145" s="332"/>
      <c r="H145" s="333"/>
    </row>
    <row r="146" spans="1:8" ht="16.5" customHeight="1">
      <c r="A146" s="322"/>
      <c r="B146" s="324"/>
      <c r="C146" s="324"/>
      <c r="D146" s="326"/>
      <c r="E146" s="327"/>
      <c r="F146" s="328"/>
      <c r="G146" s="329"/>
      <c r="H146" s="333"/>
    </row>
    <row r="147" spans="1:8" ht="16.5" customHeight="1">
      <c r="A147" s="323"/>
      <c r="B147" s="325"/>
      <c r="C147" s="325"/>
      <c r="D147" s="326"/>
      <c r="E147" s="330"/>
      <c r="F147" s="331"/>
      <c r="G147" s="332"/>
      <c r="H147" s="333"/>
    </row>
    <row r="148" spans="1:8" ht="16.5" customHeight="1">
      <c r="A148" s="335"/>
      <c r="B148" s="324"/>
      <c r="C148" s="325"/>
      <c r="D148" s="326"/>
      <c r="E148" s="327"/>
      <c r="F148" s="328"/>
      <c r="G148" s="329"/>
      <c r="H148" s="333"/>
    </row>
    <row r="149" spans="1:8" ht="16.5" customHeight="1">
      <c r="A149" s="336"/>
      <c r="B149" s="325"/>
      <c r="C149" s="325"/>
      <c r="D149" s="326"/>
      <c r="E149" s="330"/>
      <c r="F149" s="331"/>
      <c r="G149" s="332"/>
      <c r="H149" s="333"/>
    </row>
    <row r="150" spans="1:8" ht="16.5" customHeight="1">
      <c r="A150" s="334"/>
      <c r="B150" s="324"/>
      <c r="C150" s="324"/>
      <c r="D150" s="326"/>
      <c r="E150" s="327"/>
      <c r="F150" s="328"/>
      <c r="G150" s="329"/>
      <c r="H150" s="333"/>
    </row>
    <row r="151" spans="1:8" ht="16.5" customHeight="1">
      <c r="A151" s="323"/>
      <c r="B151" s="325"/>
      <c r="C151" s="325"/>
      <c r="D151" s="326"/>
      <c r="E151" s="330"/>
      <c r="F151" s="331"/>
      <c r="G151" s="332"/>
      <c r="H151" s="333"/>
    </row>
    <row r="152" spans="1:8" ht="16.5" customHeight="1">
      <c r="A152" s="322"/>
      <c r="B152" s="324"/>
      <c r="C152" s="325"/>
      <c r="D152" s="326"/>
      <c r="E152" s="327"/>
      <c r="F152" s="328"/>
      <c r="G152" s="329"/>
      <c r="H152" s="333"/>
    </row>
    <row r="153" spans="1:8" ht="16.5" customHeight="1">
      <c r="A153" s="323"/>
      <c r="B153" s="325"/>
      <c r="C153" s="325"/>
      <c r="D153" s="326"/>
      <c r="E153" s="330"/>
      <c r="F153" s="331"/>
      <c r="G153" s="332"/>
      <c r="H153" s="333"/>
    </row>
    <row r="154" spans="1:8" ht="16.5" customHeight="1">
      <c r="A154" s="313"/>
      <c r="B154" s="314"/>
      <c r="C154" s="307"/>
      <c r="D154" s="309"/>
      <c r="E154" s="315"/>
      <c r="F154" s="316"/>
      <c r="G154" s="317"/>
      <c r="H154" s="321"/>
    </row>
    <row r="155" spans="1:8" ht="16.5" customHeight="1">
      <c r="A155" s="305"/>
      <c r="B155" s="307"/>
      <c r="C155" s="307"/>
      <c r="D155" s="309"/>
      <c r="E155" s="318"/>
      <c r="F155" s="319"/>
      <c r="G155" s="320"/>
      <c r="H155" s="311"/>
    </row>
    <row r="156" spans="1:8" ht="16.5" customHeight="1">
      <c r="A156" s="313"/>
      <c r="B156" s="314"/>
      <c r="C156" s="307"/>
      <c r="D156" s="309"/>
      <c r="E156" s="315"/>
      <c r="F156" s="316"/>
      <c r="G156" s="317"/>
      <c r="H156" s="321"/>
    </row>
    <row r="157" spans="1:8" ht="16.5" customHeight="1">
      <c r="A157" s="305"/>
      <c r="B157" s="307"/>
      <c r="C157" s="307"/>
      <c r="D157" s="309"/>
      <c r="E157" s="318"/>
      <c r="F157" s="319"/>
      <c r="G157" s="320"/>
      <c r="H157" s="311"/>
    </row>
    <row r="158" spans="1:8">
      <c r="A158" s="305"/>
      <c r="B158" s="307"/>
      <c r="C158" s="307"/>
      <c r="D158" s="309"/>
      <c r="E158" s="309"/>
      <c r="F158" s="309"/>
      <c r="G158" s="309"/>
      <c r="H158" s="311"/>
    </row>
    <row r="159" spans="1:8">
      <c r="A159" s="305"/>
      <c r="B159" s="307"/>
      <c r="C159" s="307"/>
      <c r="D159" s="309"/>
      <c r="E159" s="309"/>
      <c r="F159" s="309"/>
      <c r="G159" s="309"/>
      <c r="H159" s="311"/>
    </row>
    <row r="160" spans="1:8" ht="16.5" customHeight="1">
      <c r="A160" s="313"/>
      <c r="B160" s="314"/>
      <c r="C160" s="307"/>
      <c r="D160" s="309"/>
      <c r="E160" s="315"/>
      <c r="F160" s="316"/>
      <c r="G160" s="317"/>
      <c r="H160" s="311"/>
    </row>
    <row r="161" spans="1:8" ht="16.5" customHeight="1">
      <c r="A161" s="305"/>
      <c r="B161" s="307"/>
      <c r="C161" s="307"/>
      <c r="D161" s="309"/>
      <c r="E161" s="318"/>
      <c r="F161" s="319"/>
      <c r="G161" s="320"/>
      <c r="H161" s="311"/>
    </row>
    <row r="162" spans="1:8" ht="16.5" customHeight="1">
      <c r="A162" s="313"/>
      <c r="B162" s="314"/>
      <c r="C162" s="307"/>
      <c r="D162" s="309"/>
      <c r="E162" s="315"/>
      <c r="F162" s="316"/>
      <c r="G162" s="317"/>
      <c r="H162" s="311"/>
    </row>
    <row r="163" spans="1:8" ht="16.5" customHeight="1">
      <c r="A163" s="305"/>
      <c r="B163" s="307"/>
      <c r="C163" s="307"/>
      <c r="D163" s="309"/>
      <c r="E163" s="318"/>
      <c r="F163" s="319"/>
      <c r="G163" s="320"/>
      <c r="H163" s="311"/>
    </row>
    <row r="164" spans="1:8" ht="16.5" customHeight="1">
      <c r="A164" s="313"/>
      <c r="B164" s="314"/>
      <c r="C164" s="307"/>
      <c r="D164" s="309"/>
      <c r="E164" s="315"/>
      <c r="F164" s="316"/>
      <c r="G164" s="317"/>
      <c r="H164" s="321"/>
    </row>
    <row r="165" spans="1:8" ht="16.5" customHeight="1">
      <c r="A165" s="305"/>
      <c r="B165" s="307"/>
      <c r="C165" s="307"/>
      <c r="D165" s="309"/>
      <c r="E165" s="318"/>
      <c r="F165" s="319"/>
      <c r="G165" s="320"/>
      <c r="H165" s="311"/>
    </row>
    <row r="166" spans="1:8" ht="16.5" customHeight="1">
      <c r="A166" s="313"/>
      <c r="B166" s="314"/>
      <c r="C166" s="307"/>
      <c r="D166" s="309"/>
      <c r="E166" s="315"/>
      <c r="F166" s="316"/>
      <c r="G166" s="317"/>
      <c r="H166" s="321"/>
    </row>
    <row r="167" spans="1:8" ht="16.5" customHeight="1">
      <c r="A167" s="305"/>
      <c r="B167" s="307"/>
      <c r="C167" s="307"/>
      <c r="D167" s="309"/>
      <c r="E167" s="318"/>
      <c r="F167" s="319"/>
      <c r="G167" s="320"/>
      <c r="H167" s="311"/>
    </row>
    <row r="168" spans="1:8">
      <c r="A168" s="305"/>
      <c r="B168" s="307"/>
      <c r="C168" s="307"/>
      <c r="D168" s="309"/>
      <c r="E168" s="309"/>
      <c r="F168" s="309"/>
      <c r="G168" s="309"/>
      <c r="H168" s="311"/>
    </row>
    <row r="169" spans="1:8">
      <c r="A169" s="305"/>
      <c r="B169" s="307"/>
      <c r="C169" s="307"/>
      <c r="D169" s="309"/>
      <c r="E169" s="309"/>
      <c r="F169" s="309"/>
      <c r="G169" s="309"/>
      <c r="H169" s="311"/>
    </row>
    <row r="170" spans="1:8" ht="16.5" customHeight="1">
      <c r="A170" s="313"/>
      <c r="B170" s="314"/>
      <c r="C170" s="307"/>
      <c r="D170" s="309"/>
      <c r="E170" s="315"/>
      <c r="F170" s="316"/>
      <c r="G170" s="317"/>
      <c r="H170" s="311"/>
    </row>
    <row r="171" spans="1:8" ht="16.5" customHeight="1">
      <c r="A171" s="305"/>
      <c r="B171" s="307"/>
      <c r="C171" s="307"/>
      <c r="D171" s="309"/>
      <c r="E171" s="318"/>
      <c r="F171" s="319"/>
      <c r="G171" s="320"/>
      <c r="H171" s="311"/>
    </row>
    <row r="172" spans="1:8" ht="16.5" customHeight="1">
      <c r="A172" s="313"/>
      <c r="B172" s="314"/>
      <c r="C172" s="307"/>
      <c r="D172" s="309"/>
      <c r="E172" s="315"/>
      <c r="F172" s="316"/>
      <c r="G172" s="317"/>
      <c r="H172" s="321"/>
    </row>
    <row r="173" spans="1:8" ht="16.5" customHeight="1">
      <c r="A173" s="305"/>
      <c r="B173" s="307"/>
      <c r="C173" s="307"/>
      <c r="D173" s="309"/>
      <c r="E173" s="318"/>
      <c r="F173" s="319"/>
      <c r="G173" s="320"/>
      <c r="H173" s="311"/>
    </row>
    <row r="174" spans="1:8" ht="16.5" customHeight="1">
      <c r="A174" s="313"/>
      <c r="B174" s="314"/>
      <c r="C174" s="307"/>
      <c r="D174" s="309"/>
      <c r="E174" s="315"/>
      <c r="F174" s="316"/>
      <c r="G174" s="317"/>
      <c r="H174" s="321"/>
    </row>
    <row r="175" spans="1:8" ht="16.5" customHeight="1">
      <c r="A175" s="305"/>
      <c r="B175" s="307"/>
      <c r="C175" s="307"/>
      <c r="D175" s="309"/>
      <c r="E175" s="318"/>
      <c r="F175" s="319"/>
      <c r="G175" s="320"/>
      <c r="H175" s="311"/>
    </row>
    <row r="176" spans="1:8">
      <c r="A176" s="305"/>
      <c r="B176" s="307"/>
      <c r="C176" s="307"/>
      <c r="D176" s="309"/>
      <c r="E176" s="309"/>
      <c r="F176" s="309"/>
      <c r="G176" s="309"/>
      <c r="H176" s="311"/>
    </row>
    <row r="177" spans="1:8">
      <c r="A177" s="305"/>
      <c r="B177" s="307"/>
      <c r="C177" s="307"/>
      <c r="D177" s="309"/>
      <c r="E177" s="309"/>
      <c r="F177" s="309"/>
      <c r="G177" s="309"/>
      <c r="H177" s="311"/>
    </row>
    <row r="178" spans="1:8">
      <c r="A178" s="305"/>
      <c r="B178" s="307"/>
      <c r="C178" s="307"/>
      <c r="D178" s="309"/>
      <c r="E178" s="309"/>
      <c r="F178" s="309"/>
      <c r="G178" s="309"/>
      <c r="H178" s="311"/>
    </row>
    <row r="179" spans="1:8" ht="17.25" thickBot="1">
      <c r="A179" s="306"/>
      <c r="B179" s="308"/>
      <c r="C179" s="308"/>
      <c r="D179" s="310"/>
      <c r="E179" s="310"/>
      <c r="F179" s="310"/>
      <c r="G179" s="310"/>
      <c r="H179" s="312"/>
    </row>
  </sheetData>
  <mergeCells count="518"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  <mergeCell ref="A6:A7"/>
    <mergeCell ref="B6:B7"/>
    <mergeCell ref="C6:C7"/>
    <mergeCell ref="D6:D7"/>
    <mergeCell ref="E6:G7"/>
    <mergeCell ref="H6:H7"/>
    <mergeCell ref="A3:H3"/>
    <mergeCell ref="A4:A5"/>
    <mergeCell ref="B4:B5"/>
    <mergeCell ref="C4:C5"/>
    <mergeCell ref="D4:D5"/>
    <mergeCell ref="E4:G5"/>
    <mergeCell ref="H4:H5"/>
    <mergeCell ref="A12:A13"/>
    <mergeCell ref="B12:B13"/>
    <mergeCell ref="C12:C13"/>
    <mergeCell ref="D12:D13"/>
    <mergeCell ref="E12:G13"/>
    <mergeCell ref="H12:H13"/>
    <mergeCell ref="A10:A11"/>
    <mergeCell ref="B10:H11"/>
    <mergeCell ref="A8:A9"/>
    <mergeCell ref="B8:B9"/>
    <mergeCell ref="C8:C9"/>
    <mergeCell ref="D8:D9"/>
    <mergeCell ref="E8:G9"/>
    <mergeCell ref="H8:H9"/>
    <mergeCell ref="A16:A17"/>
    <mergeCell ref="B16:B17"/>
    <mergeCell ref="C16:C17"/>
    <mergeCell ref="D16:D17"/>
    <mergeCell ref="E16:G17"/>
    <mergeCell ref="H16:H17"/>
    <mergeCell ref="A14:A15"/>
    <mergeCell ref="B14:B15"/>
    <mergeCell ref="C14:C15"/>
    <mergeCell ref="D14:D15"/>
    <mergeCell ref="E14:G15"/>
    <mergeCell ref="H14:H15"/>
    <mergeCell ref="A20:A21"/>
    <mergeCell ref="B20:B21"/>
    <mergeCell ref="C20:C21"/>
    <mergeCell ref="D20:D21"/>
    <mergeCell ref="E20:G21"/>
    <mergeCell ref="H20:H21"/>
    <mergeCell ref="A18:A19"/>
    <mergeCell ref="B18:B19"/>
    <mergeCell ref="C18:C19"/>
    <mergeCell ref="D18:D19"/>
    <mergeCell ref="E18:G19"/>
    <mergeCell ref="H18:H19"/>
    <mergeCell ref="A24:A25"/>
    <mergeCell ref="B24:B25"/>
    <mergeCell ref="C24:C25"/>
    <mergeCell ref="D24:D25"/>
    <mergeCell ref="E24:G25"/>
    <mergeCell ref="H24:H25"/>
    <mergeCell ref="A22:A23"/>
    <mergeCell ref="B22:B23"/>
    <mergeCell ref="C22:C23"/>
    <mergeCell ref="D22:D23"/>
    <mergeCell ref="E22:G23"/>
    <mergeCell ref="H22:H23"/>
    <mergeCell ref="A28:A29"/>
    <mergeCell ref="B28:B29"/>
    <mergeCell ref="C28:C29"/>
    <mergeCell ref="D28:D29"/>
    <mergeCell ref="E28:G29"/>
    <mergeCell ref="H28:H29"/>
    <mergeCell ref="A26:A27"/>
    <mergeCell ref="B26:B27"/>
    <mergeCell ref="C26:C27"/>
    <mergeCell ref="D26:D27"/>
    <mergeCell ref="E26:G27"/>
    <mergeCell ref="H26:H27"/>
    <mergeCell ref="A32:A33"/>
    <mergeCell ref="B32:B33"/>
    <mergeCell ref="C32:C33"/>
    <mergeCell ref="D32:D33"/>
    <mergeCell ref="E32:G33"/>
    <mergeCell ref="H32:H33"/>
    <mergeCell ref="A30:A31"/>
    <mergeCell ref="B30:H31"/>
    <mergeCell ref="A36:A37"/>
    <mergeCell ref="B36:B37"/>
    <mergeCell ref="C36:C37"/>
    <mergeCell ref="D36:D37"/>
    <mergeCell ref="E36:G37"/>
    <mergeCell ref="H36:H37"/>
    <mergeCell ref="A34:A35"/>
    <mergeCell ref="B34:B35"/>
    <mergeCell ref="C34:C35"/>
    <mergeCell ref="D34:D35"/>
    <mergeCell ref="E34:G35"/>
    <mergeCell ref="H34:H35"/>
    <mergeCell ref="A40:A41"/>
    <mergeCell ref="B40:B41"/>
    <mergeCell ref="C40:C41"/>
    <mergeCell ref="D40:D41"/>
    <mergeCell ref="E40:G41"/>
    <mergeCell ref="H40:H41"/>
    <mergeCell ref="A38:A39"/>
    <mergeCell ref="B38:B39"/>
    <mergeCell ref="C38:C39"/>
    <mergeCell ref="D38:D39"/>
    <mergeCell ref="E38:G39"/>
    <mergeCell ref="H38:H39"/>
    <mergeCell ref="H46:H47"/>
    <mergeCell ref="A44:A45"/>
    <mergeCell ref="B44:B45"/>
    <mergeCell ref="C44:C45"/>
    <mergeCell ref="D44:D45"/>
    <mergeCell ref="E44:G45"/>
    <mergeCell ref="H44:H45"/>
    <mergeCell ref="A42:A43"/>
    <mergeCell ref="B42:B43"/>
    <mergeCell ref="C42:C43"/>
    <mergeCell ref="D42:D43"/>
    <mergeCell ref="E42:G43"/>
    <mergeCell ref="H42:H43"/>
    <mergeCell ref="E48:G48"/>
    <mergeCell ref="A49:A50"/>
    <mergeCell ref="B49:B50"/>
    <mergeCell ref="C49:C50"/>
    <mergeCell ref="D49:D50"/>
    <mergeCell ref="E49:G50"/>
    <mergeCell ref="A46:A47"/>
    <mergeCell ref="B46:B47"/>
    <mergeCell ref="C46:C47"/>
    <mergeCell ref="D46:D47"/>
    <mergeCell ref="E46:G47"/>
    <mergeCell ref="A53:A54"/>
    <mergeCell ref="B53:B54"/>
    <mergeCell ref="C53:C54"/>
    <mergeCell ref="D53:D54"/>
    <mergeCell ref="E53:G54"/>
    <mergeCell ref="H53:H54"/>
    <mergeCell ref="H49:H50"/>
    <mergeCell ref="A51:A52"/>
    <mergeCell ref="B51:B52"/>
    <mergeCell ref="C51:C52"/>
    <mergeCell ref="D51:D52"/>
    <mergeCell ref="E51:G52"/>
    <mergeCell ref="H51:H52"/>
    <mergeCell ref="A57:A58"/>
    <mergeCell ref="B57:B58"/>
    <mergeCell ref="C57:C58"/>
    <mergeCell ref="D57:D58"/>
    <mergeCell ref="E57:G58"/>
    <mergeCell ref="H57:H58"/>
    <mergeCell ref="A55:A56"/>
    <mergeCell ref="B55:B56"/>
    <mergeCell ref="C55:C56"/>
    <mergeCell ref="D55:D56"/>
    <mergeCell ref="E55:G56"/>
    <mergeCell ref="H55:H56"/>
    <mergeCell ref="A61:A62"/>
    <mergeCell ref="A59:A60"/>
    <mergeCell ref="B59:B60"/>
    <mergeCell ref="C59:C60"/>
    <mergeCell ref="D59:D60"/>
    <mergeCell ref="E59:G60"/>
    <mergeCell ref="H59:H60"/>
    <mergeCell ref="B61:H62"/>
    <mergeCell ref="A65:A66"/>
    <mergeCell ref="B65:B66"/>
    <mergeCell ref="C65:C66"/>
    <mergeCell ref="D65:D66"/>
    <mergeCell ref="E65:G66"/>
    <mergeCell ref="H65:H66"/>
    <mergeCell ref="A63:A64"/>
    <mergeCell ref="B63:B64"/>
    <mergeCell ref="C63:C64"/>
    <mergeCell ref="D63:D64"/>
    <mergeCell ref="E63:G64"/>
    <mergeCell ref="H63:H64"/>
    <mergeCell ref="A70:A71"/>
    <mergeCell ref="B70:B71"/>
    <mergeCell ref="C70:C71"/>
    <mergeCell ref="D70:D71"/>
    <mergeCell ref="E70:G71"/>
    <mergeCell ref="H70:H71"/>
    <mergeCell ref="A67:A68"/>
    <mergeCell ref="B67:B68"/>
    <mergeCell ref="C67:C68"/>
    <mergeCell ref="D67:D68"/>
    <mergeCell ref="E67:G68"/>
    <mergeCell ref="H67:H68"/>
    <mergeCell ref="E69:G69"/>
    <mergeCell ref="E80:G81"/>
    <mergeCell ref="H80:H81"/>
    <mergeCell ref="A74:A75"/>
    <mergeCell ref="B74:B75"/>
    <mergeCell ref="C74:C75"/>
    <mergeCell ref="D74:D75"/>
    <mergeCell ref="E74:G75"/>
    <mergeCell ref="H74:H75"/>
    <mergeCell ref="A72:A73"/>
    <mergeCell ref="B72:B73"/>
    <mergeCell ref="C72:C73"/>
    <mergeCell ref="D72:D73"/>
    <mergeCell ref="E72:G73"/>
    <mergeCell ref="H72:H73"/>
    <mergeCell ref="A84:A85"/>
    <mergeCell ref="B84:B85"/>
    <mergeCell ref="C84:C85"/>
    <mergeCell ref="D84:D85"/>
    <mergeCell ref="E84:G85"/>
    <mergeCell ref="H84:H85"/>
    <mergeCell ref="A78:A79"/>
    <mergeCell ref="A76:A77"/>
    <mergeCell ref="B76:B77"/>
    <mergeCell ref="C76:C77"/>
    <mergeCell ref="D76:D77"/>
    <mergeCell ref="E76:G77"/>
    <mergeCell ref="H76:H77"/>
    <mergeCell ref="B78:H79"/>
    <mergeCell ref="A82:A83"/>
    <mergeCell ref="B82:B83"/>
    <mergeCell ref="C82:C83"/>
    <mergeCell ref="D82:D83"/>
    <mergeCell ref="E82:G83"/>
    <mergeCell ref="H82:H83"/>
    <mergeCell ref="A80:A81"/>
    <mergeCell ref="B80:B81"/>
    <mergeCell ref="C80:C81"/>
    <mergeCell ref="D80:D81"/>
    <mergeCell ref="A88:A89"/>
    <mergeCell ref="B88:B89"/>
    <mergeCell ref="C88:C89"/>
    <mergeCell ref="D88:D89"/>
    <mergeCell ref="E88:G89"/>
    <mergeCell ref="H88:H89"/>
    <mergeCell ref="A86:A87"/>
    <mergeCell ref="B86:B87"/>
    <mergeCell ref="C86:C87"/>
    <mergeCell ref="D86:D87"/>
    <mergeCell ref="E86:G87"/>
    <mergeCell ref="H86:H87"/>
    <mergeCell ref="A92:A93"/>
    <mergeCell ref="B92:B93"/>
    <mergeCell ref="C92:C93"/>
    <mergeCell ref="D92:D93"/>
    <mergeCell ref="E92:G93"/>
    <mergeCell ref="H92:H93"/>
    <mergeCell ref="A90:A91"/>
    <mergeCell ref="B90:B91"/>
    <mergeCell ref="C90:C91"/>
    <mergeCell ref="D90:D91"/>
    <mergeCell ref="E90:G91"/>
    <mergeCell ref="H90:H91"/>
    <mergeCell ref="A96:A97"/>
    <mergeCell ref="B96:B97"/>
    <mergeCell ref="C96:C97"/>
    <mergeCell ref="D96:D97"/>
    <mergeCell ref="E96:G97"/>
    <mergeCell ref="H96:H97"/>
    <mergeCell ref="A94:A95"/>
    <mergeCell ref="B94:B95"/>
    <mergeCell ref="C94:C95"/>
    <mergeCell ref="D94:D95"/>
    <mergeCell ref="E94:G95"/>
    <mergeCell ref="H94:H95"/>
    <mergeCell ref="A100:A101"/>
    <mergeCell ref="B100:B101"/>
    <mergeCell ref="C100:C101"/>
    <mergeCell ref="D100:D101"/>
    <mergeCell ref="E100:G101"/>
    <mergeCell ref="H100:H101"/>
    <mergeCell ref="A98:A99"/>
    <mergeCell ref="B98:B99"/>
    <mergeCell ref="C98:C99"/>
    <mergeCell ref="D98:D99"/>
    <mergeCell ref="E98:G99"/>
    <mergeCell ref="H98:H99"/>
    <mergeCell ref="A104:A105"/>
    <mergeCell ref="B104:B105"/>
    <mergeCell ref="C104:C105"/>
    <mergeCell ref="D104:D105"/>
    <mergeCell ref="E104:G105"/>
    <mergeCell ref="H104:H105"/>
    <mergeCell ref="A102:A103"/>
    <mergeCell ref="B102:B103"/>
    <mergeCell ref="C102:C103"/>
    <mergeCell ref="D102:D103"/>
    <mergeCell ref="E102:G103"/>
    <mergeCell ref="H102:H103"/>
    <mergeCell ref="A110:A111"/>
    <mergeCell ref="B110:B111"/>
    <mergeCell ref="C110:C111"/>
    <mergeCell ref="D110:D111"/>
    <mergeCell ref="E110:G111"/>
    <mergeCell ref="H110:H111"/>
    <mergeCell ref="A108:A109"/>
    <mergeCell ref="B108:H109"/>
    <mergeCell ref="A106:A107"/>
    <mergeCell ref="B106:B107"/>
    <mergeCell ref="C106:C107"/>
    <mergeCell ref="D106:D107"/>
    <mergeCell ref="E106:G107"/>
    <mergeCell ref="H106:H107"/>
    <mergeCell ref="A114:A115"/>
    <mergeCell ref="B114:B115"/>
    <mergeCell ref="C114:C115"/>
    <mergeCell ref="D114:D115"/>
    <mergeCell ref="E114:G115"/>
    <mergeCell ref="H114:H115"/>
    <mergeCell ref="A112:A113"/>
    <mergeCell ref="B112:B113"/>
    <mergeCell ref="C112:C113"/>
    <mergeCell ref="D112:D113"/>
    <mergeCell ref="E112:G113"/>
    <mergeCell ref="H112:H113"/>
    <mergeCell ref="A118:A119"/>
    <mergeCell ref="B118:B119"/>
    <mergeCell ref="C118:C119"/>
    <mergeCell ref="D118:D119"/>
    <mergeCell ref="E118:G119"/>
    <mergeCell ref="H118:H119"/>
    <mergeCell ref="A116:A117"/>
    <mergeCell ref="B116:B117"/>
    <mergeCell ref="C116:C117"/>
    <mergeCell ref="D116:D117"/>
    <mergeCell ref="E116:G117"/>
    <mergeCell ref="H116:H117"/>
    <mergeCell ref="A122:A123"/>
    <mergeCell ref="B122:B123"/>
    <mergeCell ref="C122:C123"/>
    <mergeCell ref="D122:D123"/>
    <mergeCell ref="E122:G123"/>
    <mergeCell ref="H122:H123"/>
    <mergeCell ref="A120:A121"/>
    <mergeCell ref="B120:B121"/>
    <mergeCell ref="C120:C121"/>
    <mergeCell ref="D120:D121"/>
    <mergeCell ref="E120:G121"/>
    <mergeCell ref="H120:H121"/>
    <mergeCell ref="A126:A127"/>
    <mergeCell ref="B126:B127"/>
    <mergeCell ref="C126:C127"/>
    <mergeCell ref="D126:D127"/>
    <mergeCell ref="E126:G127"/>
    <mergeCell ref="H126:H127"/>
    <mergeCell ref="A124:A125"/>
    <mergeCell ref="B124:B125"/>
    <mergeCell ref="C124:C125"/>
    <mergeCell ref="D124:D125"/>
    <mergeCell ref="E124:G125"/>
    <mergeCell ref="H124:H125"/>
    <mergeCell ref="A130:A131"/>
    <mergeCell ref="B130:B131"/>
    <mergeCell ref="C130:C131"/>
    <mergeCell ref="D130:D131"/>
    <mergeCell ref="E130:G131"/>
    <mergeCell ref="H130:H131"/>
    <mergeCell ref="A128:A129"/>
    <mergeCell ref="B128:B129"/>
    <mergeCell ref="C128:C129"/>
    <mergeCell ref="D128:D129"/>
    <mergeCell ref="E128:G129"/>
    <mergeCell ref="H128:H129"/>
    <mergeCell ref="A134:A135"/>
    <mergeCell ref="B134:B135"/>
    <mergeCell ref="C134:C135"/>
    <mergeCell ref="D134:D135"/>
    <mergeCell ref="E134:G135"/>
    <mergeCell ref="H134:H135"/>
    <mergeCell ref="A132:A133"/>
    <mergeCell ref="B132:B133"/>
    <mergeCell ref="C132:C133"/>
    <mergeCell ref="D132:D133"/>
    <mergeCell ref="E132:G133"/>
    <mergeCell ref="H132:H133"/>
    <mergeCell ref="A138:A139"/>
    <mergeCell ref="B138:B139"/>
    <mergeCell ref="C138:C139"/>
    <mergeCell ref="D138:D139"/>
    <mergeCell ref="E138:G139"/>
    <mergeCell ref="H138:H139"/>
    <mergeCell ref="A136:A137"/>
    <mergeCell ref="B136:B137"/>
    <mergeCell ref="C136:C137"/>
    <mergeCell ref="D136:D137"/>
    <mergeCell ref="E136:G137"/>
    <mergeCell ref="H136:H137"/>
    <mergeCell ref="A142:A143"/>
    <mergeCell ref="B142:B143"/>
    <mergeCell ref="C142:C143"/>
    <mergeCell ref="D142:D143"/>
    <mergeCell ref="E142:G143"/>
    <mergeCell ref="H142:H143"/>
    <mergeCell ref="A140:A141"/>
    <mergeCell ref="B140:B141"/>
    <mergeCell ref="C140:C141"/>
    <mergeCell ref="D140:D141"/>
    <mergeCell ref="E140:G141"/>
    <mergeCell ref="H140:H141"/>
    <mergeCell ref="A146:A147"/>
    <mergeCell ref="B146:B147"/>
    <mergeCell ref="C146:C147"/>
    <mergeCell ref="D146:D147"/>
    <mergeCell ref="E146:G147"/>
    <mergeCell ref="H146:H147"/>
    <mergeCell ref="A144:A145"/>
    <mergeCell ref="B144:B145"/>
    <mergeCell ref="C144:C145"/>
    <mergeCell ref="D144:D145"/>
    <mergeCell ref="E144:G145"/>
    <mergeCell ref="H144:H145"/>
    <mergeCell ref="A150:A151"/>
    <mergeCell ref="B150:B151"/>
    <mergeCell ref="C150:C151"/>
    <mergeCell ref="D150:D151"/>
    <mergeCell ref="E150:G151"/>
    <mergeCell ref="H150:H151"/>
    <mergeCell ref="A148:A149"/>
    <mergeCell ref="B148:B149"/>
    <mergeCell ref="C148:C149"/>
    <mergeCell ref="D148:D149"/>
    <mergeCell ref="E148:G149"/>
    <mergeCell ref="H148:H149"/>
    <mergeCell ref="A154:A155"/>
    <mergeCell ref="B154:B155"/>
    <mergeCell ref="C154:C155"/>
    <mergeCell ref="D154:D155"/>
    <mergeCell ref="E154:G155"/>
    <mergeCell ref="H154:H155"/>
    <mergeCell ref="A152:A153"/>
    <mergeCell ref="B152:B153"/>
    <mergeCell ref="C152:C153"/>
    <mergeCell ref="D152:D153"/>
    <mergeCell ref="E152:G153"/>
    <mergeCell ref="H152:H153"/>
    <mergeCell ref="A158:A159"/>
    <mergeCell ref="B158:B159"/>
    <mergeCell ref="C158:C159"/>
    <mergeCell ref="D158:D159"/>
    <mergeCell ref="E158:G159"/>
    <mergeCell ref="H158:H159"/>
    <mergeCell ref="A156:A157"/>
    <mergeCell ref="B156:B157"/>
    <mergeCell ref="C156:C157"/>
    <mergeCell ref="D156:D157"/>
    <mergeCell ref="E156:G157"/>
    <mergeCell ref="H156:H157"/>
    <mergeCell ref="A162:A163"/>
    <mergeCell ref="B162:B163"/>
    <mergeCell ref="C162:C163"/>
    <mergeCell ref="D162:D163"/>
    <mergeCell ref="E162:G163"/>
    <mergeCell ref="H162:H163"/>
    <mergeCell ref="A160:A161"/>
    <mergeCell ref="B160:B161"/>
    <mergeCell ref="C160:C161"/>
    <mergeCell ref="D160:D161"/>
    <mergeCell ref="E160:G161"/>
    <mergeCell ref="H160:H161"/>
    <mergeCell ref="A166:A167"/>
    <mergeCell ref="B166:B167"/>
    <mergeCell ref="C166:C167"/>
    <mergeCell ref="D166:D167"/>
    <mergeCell ref="E166:G167"/>
    <mergeCell ref="H166:H167"/>
    <mergeCell ref="A164:A165"/>
    <mergeCell ref="B164:B165"/>
    <mergeCell ref="C164:C165"/>
    <mergeCell ref="D164:D165"/>
    <mergeCell ref="E164:G165"/>
    <mergeCell ref="H164:H165"/>
    <mergeCell ref="A170:A171"/>
    <mergeCell ref="B170:B171"/>
    <mergeCell ref="C170:C171"/>
    <mergeCell ref="D170:D171"/>
    <mergeCell ref="E170:G171"/>
    <mergeCell ref="H170:H171"/>
    <mergeCell ref="A168:A169"/>
    <mergeCell ref="B168:B169"/>
    <mergeCell ref="C168:C169"/>
    <mergeCell ref="D168:D169"/>
    <mergeCell ref="E168:G169"/>
    <mergeCell ref="H168:H169"/>
    <mergeCell ref="A174:A175"/>
    <mergeCell ref="B174:B175"/>
    <mergeCell ref="C174:C175"/>
    <mergeCell ref="D174:D175"/>
    <mergeCell ref="E174:G175"/>
    <mergeCell ref="H174:H175"/>
    <mergeCell ref="A172:A173"/>
    <mergeCell ref="B172:B173"/>
    <mergeCell ref="C172:C173"/>
    <mergeCell ref="D172:D173"/>
    <mergeCell ref="E172:G173"/>
    <mergeCell ref="H172:H173"/>
    <mergeCell ref="A178:A179"/>
    <mergeCell ref="B178:B179"/>
    <mergeCell ref="C178:C179"/>
    <mergeCell ref="D178:D179"/>
    <mergeCell ref="E178:G179"/>
    <mergeCell ref="H178:H179"/>
    <mergeCell ref="A176:A177"/>
    <mergeCell ref="B176:B177"/>
    <mergeCell ref="C176:C177"/>
    <mergeCell ref="D176:D177"/>
    <mergeCell ref="E176:G177"/>
    <mergeCell ref="H176:H177"/>
  </mergeCells>
  <phoneticPr fontId="1" type="noConversion"/>
  <pageMargins left="0" right="0" top="0" bottom="0" header="0" footer="0"/>
  <pageSetup paperSize="9" scale="36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65"/>
  <sheetViews>
    <sheetView showGridLines="0" zoomScale="115" zoomScaleNormal="115" workbookViewId="0">
      <pane xSplit="8" ySplit="2" topLeftCell="I99" activePane="bottomRight" state="frozen"/>
      <selection pane="topRight" activeCell="I1" sqref="I1"/>
      <selection pane="bottomLeft" activeCell="A3" sqref="A3"/>
      <selection pane="bottomRight" activeCell="B118" sqref="B118:H121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0" max="10" width="13.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  <col min="18" max="18" width="9.5" bestFit="1" customWidth="1"/>
  </cols>
  <sheetData>
    <row r="1" spans="1:18" ht="35.25" customHeight="1" thickBot="1">
      <c r="A1" s="388" t="s">
        <v>3311</v>
      </c>
      <c r="B1" s="389"/>
      <c r="C1" s="402" t="s">
        <v>27</v>
      </c>
      <c r="D1" s="403"/>
      <c r="E1" s="21" t="s">
        <v>26</v>
      </c>
      <c r="F1" s="20">
        <f>H1/31</f>
        <v>665548.38709677418</v>
      </c>
      <c r="G1" s="21" t="s">
        <v>4</v>
      </c>
      <c r="H1" s="22">
        <f>SUM(D4:D165)</f>
        <v>20632000</v>
      </c>
      <c r="I1" s="392"/>
      <c r="J1" s="338"/>
      <c r="K1" s="394"/>
      <c r="L1" s="396"/>
      <c r="M1" s="377"/>
      <c r="N1" s="379"/>
      <c r="O1" s="381"/>
      <c r="P1" s="383"/>
      <c r="Q1" s="377"/>
      <c r="R1" s="376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385" t="s">
        <v>25</v>
      </c>
      <c r="F2" s="386"/>
      <c r="G2" s="387"/>
      <c r="H2" s="25" t="s">
        <v>5</v>
      </c>
      <c r="I2" s="393"/>
      <c r="J2" s="333"/>
      <c r="K2" s="395"/>
      <c r="L2" s="397"/>
      <c r="M2" s="378"/>
      <c r="N2" s="380"/>
      <c r="O2" s="382"/>
      <c r="P2" s="384"/>
      <c r="Q2" s="378"/>
      <c r="R2" s="376"/>
    </row>
    <row r="3" spans="1:18" ht="36" customHeight="1">
      <c r="A3" s="441" t="s">
        <v>3176</v>
      </c>
      <c r="B3" s="442"/>
      <c r="C3" s="442"/>
      <c r="D3" s="442"/>
      <c r="E3" s="442"/>
      <c r="F3" s="442"/>
      <c r="G3" s="442"/>
      <c r="H3" s="443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322">
        <v>45354</v>
      </c>
      <c r="B4" s="444" t="s">
        <v>3177</v>
      </c>
      <c r="C4" s="341"/>
      <c r="D4" s="326">
        <v>390000</v>
      </c>
      <c r="E4" s="327" t="s">
        <v>3180</v>
      </c>
      <c r="F4" s="328"/>
      <c r="G4" s="329"/>
      <c r="H4" s="398" t="s">
        <v>145</v>
      </c>
      <c r="J4" s="42"/>
    </row>
    <row r="5" spans="1:18" ht="16.5" customHeight="1">
      <c r="A5" s="323"/>
      <c r="B5" s="445"/>
      <c r="C5" s="342"/>
      <c r="D5" s="326"/>
      <c r="E5" s="330"/>
      <c r="F5" s="331"/>
      <c r="G5" s="332"/>
      <c r="H5" s="399"/>
      <c r="J5" s="43"/>
    </row>
    <row r="6" spans="1:18" ht="16.5" customHeight="1">
      <c r="A6" s="322">
        <v>45354</v>
      </c>
      <c r="B6" s="439" t="s">
        <v>3178</v>
      </c>
      <c r="C6" s="341"/>
      <c r="D6" s="326">
        <v>160000</v>
      </c>
      <c r="E6" s="327" t="s">
        <v>3179</v>
      </c>
      <c r="F6" s="345"/>
      <c r="G6" s="346"/>
      <c r="H6" s="398" t="s">
        <v>145</v>
      </c>
      <c r="J6" s="43"/>
    </row>
    <row r="7" spans="1:18" ht="16.5" customHeight="1">
      <c r="A7" s="323"/>
      <c r="B7" s="440"/>
      <c r="C7" s="352"/>
      <c r="D7" s="326"/>
      <c r="E7" s="347"/>
      <c r="F7" s="348"/>
      <c r="G7" s="349"/>
      <c r="H7" s="399"/>
      <c r="J7" s="43"/>
    </row>
    <row r="8" spans="1:18" ht="16.5" customHeight="1">
      <c r="A8" s="322"/>
      <c r="B8" s="658" t="s">
        <v>3243</v>
      </c>
      <c r="C8" s="659"/>
      <c r="D8" s="659"/>
      <c r="E8" s="659"/>
      <c r="F8" s="659"/>
      <c r="G8" s="659"/>
      <c r="H8" s="660"/>
      <c r="J8" s="43"/>
    </row>
    <row r="9" spans="1:18" ht="30.75" customHeight="1">
      <c r="A9" s="323"/>
      <c r="B9" s="661"/>
      <c r="C9" s="662"/>
      <c r="D9" s="662"/>
      <c r="E9" s="662"/>
      <c r="F9" s="662"/>
      <c r="G9" s="662"/>
      <c r="H9" s="663"/>
      <c r="J9" s="43"/>
    </row>
    <row r="10" spans="1:18" ht="16.5" customHeight="1">
      <c r="A10" s="322">
        <v>45355</v>
      </c>
      <c r="B10" s="439" t="s">
        <v>3182</v>
      </c>
      <c r="C10" s="341"/>
      <c r="D10" s="326">
        <v>450000</v>
      </c>
      <c r="E10" s="562" t="s">
        <v>3181</v>
      </c>
      <c r="F10" s="582"/>
      <c r="G10" s="583"/>
      <c r="H10" s="398" t="s">
        <v>3184</v>
      </c>
      <c r="J10" s="43"/>
    </row>
    <row r="11" spans="1:18" ht="16.5" customHeight="1">
      <c r="A11" s="323"/>
      <c r="B11" s="440"/>
      <c r="C11" s="342"/>
      <c r="D11" s="326"/>
      <c r="E11" s="584"/>
      <c r="F11" s="585"/>
      <c r="G11" s="586"/>
      <c r="H11" s="399"/>
      <c r="J11" s="43"/>
    </row>
    <row r="12" spans="1:18" ht="16.5" customHeight="1">
      <c r="A12" s="322">
        <v>45355</v>
      </c>
      <c r="B12" s="439" t="s">
        <v>3183</v>
      </c>
      <c r="C12" s="341"/>
      <c r="D12" s="343">
        <v>120000</v>
      </c>
      <c r="E12" s="327" t="s">
        <v>3191</v>
      </c>
      <c r="F12" s="345"/>
      <c r="G12" s="346"/>
      <c r="H12" s="398" t="s">
        <v>3184</v>
      </c>
    </row>
    <row r="13" spans="1:18" ht="16.5" customHeight="1">
      <c r="A13" s="323"/>
      <c r="B13" s="440"/>
      <c r="C13" s="342"/>
      <c r="D13" s="344"/>
      <c r="E13" s="347"/>
      <c r="F13" s="348"/>
      <c r="G13" s="349"/>
      <c r="H13" s="399"/>
    </row>
    <row r="14" spans="1:18" ht="16.5" customHeight="1">
      <c r="A14" s="322">
        <v>45356</v>
      </c>
      <c r="B14" s="444" t="s">
        <v>3186</v>
      </c>
      <c r="C14" s="341" t="s">
        <v>3228</v>
      </c>
      <c r="D14" s="326">
        <v>1485000</v>
      </c>
      <c r="E14" s="327" t="s">
        <v>3190</v>
      </c>
      <c r="F14" s="328"/>
      <c r="G14" s="329"/>
      <c r="H14" s="338" t="s">
        <v>3185</v>
      </c>
      <c r="J14" s="48"/>
    </row>
    <row r="15" spans="1:18" ht="16.5" customHeight="1">
      <c r="A15" s="323"/>
      <c r="B15" s="445"/>
      <c r="C15" s="342"/>
      <c r="D15" s="326"/>
      <c r="E15" s="330"/>
      <c r="F15" s="331"/>
      <c r="G15" s="332"/>
      <c r="H15" s="333"/>
    </row>
    <row r="16" spans="1:18" ht="16.5" customHeight="1">
      <c r="A16" s="322">
        <v>45356</v>
      </c>
      <c r="B16" s="496" t="s">
        <v>3188</v>
      </c>
      <c r="C16" s="341" t="s">
        <v>3223</v>
      </c>
      <c r="D16" s="326">
        <v>52000</v>
      </c>
      <c r="E16" s="327" t="s">
        <v>3189</v>
      </c>
      <c r="F16" s="328"/>
      <c r="G16" s="329"/>
      <c r="H16" s="360" t="s">
        <v>3198</v>
      </c>
    </row>
    <row r="17" spans="1:10" ht="26.25" customHeight="1">
      <c r="A17" s="323"/>
      <c r="B17" s="497"/>
      <c r="C17" s="342"/>
      <c r="D17" s="326"/>
      <c r="E17" s="330"/>
      <c r="F17" s="331"/>
      <c r="G17" s="332"/>
      <c r="H17" s="359"/>
    </row>
    <row r="18" spans="1:10" ht="16.5" customHeight="1">
      <c r="A18" s="322">
        <v>45356</v>
      </c>
      <c r="B18" s="496" t="s">
        <v>3187</v>
      </c>
      <c r="C18" s="324"/>
      <c r="D18" s="326">
        <v>60000</v>
      </c>
      <c r="E18" s="327" t="s">
        <v>3192</v>
      </c>
      <c r="F18" s="328"/>
      <c r="G18" s="329"/>
      <c r="H18" s="360" t="s">
        <v>7</v>
      </c>
      <c r="J18" s="57"/>
    </row>
    <row r="19" spans="1:10" ht="16.5" customHeight="1">
      <c r="A19" s="323"/>
      <c r="B19" s="497"/>
      <c r="C19" s="325"/>
      <c r="D19" s="326"/>
      <c r="E19" s="330"/>
      <c r="F19" s="331"/>
      <c r="G19" s="332"/>
      <c r="H19" s="359"/>
      <c r="J19" s="57"/>
    </row>
    <row r="20" spans="1:10" ht="16.5" customHeight="1">
      <c r="A20" s="322">
        <v>45357</v>
      </c>
      <c r="B20" s="596" t="s">
        <v>3195</v>
      </c>
      <c r="C20" s="341" t="s">
        <v>3229</v>
      </c>
      <c r="D20" s="343">
        <v>750000</v>
      </c>
      <c r="E20" s="562" t="s">
        <v>3193</v>
      </c>
      <c r="F20" s="582"/>
      <c r="G20" s="583"/>
      <c r="H20" s="400" t="s">
        <v>3196</v>
      </c>
    </row>
    <row r="21" spans="1:10" ht="16.5" customHeight="1">
      <c r="A21" s="323"/>
      <c r="B21" s="597"/>
      <c r="C21" s="342"/>
      <c r="D21" s="344"/>
      <c r="E21" s="584"/>
      <c r="F21" s="585"/>
      <c r="G21" s="586"/>
      <c r="H21" s="401"/>
    </row>
    <row r="22" spans="1:10" ht="16.5" customHeight="1">
      <c r="A22" s="322">
        <v>45357</v>
      </c>
      <c r="B22" s="596" t="s">
        <v>3194</v>
      </c>
      <c r="C22" s="324"/>
      <c r="D22" s="343">
        <v>440000</v>
      </c>
      <c r="E22" s="562" t="s">
        <v>3193</v>
      </c>
      <c r="F22" s="563"/>
      <c r="G22" s="564"/>
      <c r="H22" s="400" t="s">
        <v>3197</v>
      </c>
    </row>
    <row r="23" spans="1:10" ht="41.25" customHeight="1">
      <c r="A23" s="323"/>
      <c r="B23" s="597"/>
      <c r="C23" s="325"/>
      <c r="D23" s="344"/>
      <c r="E23" s="565"/>
      <c r="F23" s="566"/>
      <c r="G23" s="567"/>
      <c r="H23" s="401"/>
    </row>
    <row r="24" spans="1:10" ht="16.5" customHeight="1">
      <c r="A24" s="322">
        <v>45358</v>
      </c>
      <c r="B24" s="439" t="s">
        <v>3200</v>
      </c>
      <c r="C24" s="341"/>
      <c r="D24" s="343">
        <v>800000</v>
      </c>
      <c r="E24" s="327" t="s">
        <v>3201</v>
      </c>
      <c r="F24" s="328"/>
      <c r="G24" s="329"/>
      <c r="H24" s="400" t="s">
        <v>3199</v>
      </c>
    </row>
    <row r="25" spans="1:10" ht="45" customHeight="1">
      <c r="A25" s="323"/>
      <c r="B25" s="440"/>
      <c r="C25" s="342"/>
      <c r="D25" s="344"/>
      <c r="E25" s="330"/>
      <c r="F25" s="331"/>
      <c r="G25" s="332"/>
      <c r="H25" s="401"/>
    </row>
    <row r="26" spans="1:10" ht="16.5" customHeight="1">
      <c r="A26" s="335">
        <v>45358</v>
      </c>
      <c r="B26" s="496" t="s">
        <v>3202</v>
      </c>
      <c r="C26" s="325" t="s">
        <v>3227</v>
      </c>
      <c r="D26" s="326">
        <v>759000</v>
      </c>
      <c r="E26" s="327" t="s">
        <v>3203</v>
      </c>
      <c r="F26" s="328"/>
      <c r="G26" s="329"/>
      <c r="H26" s="359" t="s">
        <v>614</v>
      </c>
    </row>
    <row r="27" spans="1:10" ht="18.75" customHeight="1">
      <c r="A27" s="336"/>
      <c r="B27" s="497"/>
      <c r="C27" s="325"/>
      <c r="D27" s="326"/>
      <c r="E27" s="330"/>
      <c r="F27" s="331"/>
      <c r="G27" s="332"/>
      <c r="H27" s="359"/>
    </row>
    <row r="28" spans="1:10" ht="16.5" customHeight="1">
      <c r="A28" s="322">
        <v>45359</v>
      </c>
      <c r="B28" s="496" t="s">
        <v>3205</v>
      </c>
      <c r="C28" s="341" t="s">
        <v>3224</v>
      </c>
      <c r="D28" s="343">
        <v>506000</v>
      </c>
      <c r="E28" s="327" t="s">
        <v>3213</v>
      </c>
      <c r="F28" s="345"/>
      <c r="G28" s="346"/>
      <c r="H28" s="359" t="s">
        <v>614</v>
      </c>
    </row>
    <row r="29" spans="1:10" ht="16.5" customHeight="1">
      <c r="A29" s="323"/>
      <c r="B29" s="497"/>
      <c r="C29" s="352"/>
      <c r="D29" s="344"/>
      <c r="E29" s="347"/>
      <c r="F29" s="348"/>
      <c r="G29" s="349"/>
      <c r="H29" s="359"/>
    </row>
    <row r="30" spans="1:10" ht="16.5" customHeight="1">
      <c r="A30" s="322">
        <v>45359</v>
      </c>
      <c r="B30" s="496" t="s">
        <v>3206</v>
      </c>
      <c r="C30" s="324" t="s">
        <v>3222</v>
      </c>
      <c r="D30" s="326">
        <v>770000</v>
      </c>
      <c r="E30" s="562" t="s">
        <v>3211</v>
      </c>
      <c r="F30" s="582"/>
      <c r="G30" s="583"/>
      <c r="H30" s="360" t="s">
        <v>3230</v>
      </c>
    </row>
    <row r="31" spans="1:10" ht="16.5" customHeight="1">
      <c r="A31" s="323"/>
      <c r="B31" s="497"/>
      <c r="C31" s="325"/>
      <c r="D31" s="326"/>
      <c r="E31" s="584"/>
      <c r="F31" s="585"/>
      <c r="G31" s="586"/>
      <c r="H31" s="359"/>
      <c r="J31" t="s">
        <v>995</v>
      </c>
    </row>
    <row r="32" spans="1:10" ht="16.5" customHeight="1">
      <c r="A32" s="322">
        <v>45359</v>
      </c>
      <c r="B32" s="496" t="s">
        <v>3207</v>
      </c>
      <c r="C32" s="324" t="s">
        <v>3223</v>
      </c>
      <c r="D32" s="343">
        <v>152000</v>
      </c>
      <c r="E32" s="327" t="s">
        <v>3220</v>
      </c>
      <c r="F32" s="328"/>
      <c r="G32" s="329"/>
      <c r="H32" s="359" t="s">
        <v>3216</v>
      </c>
    </row>
    <row r="33" spans="1:18" ht="36.75" customHeight="1">
      <c r="A33" s="323"/>
      <c r="B33" s="497"/>
      <c r="C33" s="325"/>
      <c r="D33" s="344"/>
      <c r="E33" s="330"/>
      <c r="F33" s="331"/>
      <c r="G33" s="332"/>
      <c r="H33" s="359"/>
    </row>
    <row r="34" spans="1:18">
      <c r="A34" s="322">
        <v>45359</v>
      </c>
      <c r="B34" s="498" t="s">
        <v>3208</v>
      </c>
      <c r="C34" s="324" t="s">
        <v>3221</v>
      </c>
      <c r="D34" s="343">
        <v>190000</v>
      </c>
      <c r="E34" s="337" t="s">
        <v>3214</v>
      </c>
      <c r="F34" s="326"/>
      <c r="G34" s="326"/>
      <c r="H34" s="359" t="s">
        <v>3215</v>
      </c>
    </row>
    <row r="35" spans="1:18" ht="32.25" customHeight="1">
      <c r="A35" s="323"/>
      <c r="B35" s="499"/>
      <c r="C35" s="325"/>
      <c r="D35" s="344"/>
      <c r="E35" s="326"/>
      <c r="F35" s="326"/>
      <c r="G35" s="326"/>
      <c r="H35" s="359"/>
      <c r="R35" t="s">
        <v>2977</v>
      </c>
    </row>
    <row r="36" spans="1:18">
      <c r="A36" s="322">
        <v>45359</v>
      </c>
      <c r="B36" s="498" t="s">
        <v>3209</v>
      </c>
      <c r="C36" s="324" t="s">
        <v>3226</v>
      </c>
      <c r="D36" s="343">
        <v>253000</v>
      </c>
      <c r="E36" s="574" t="s">
        <v>3210</v>
      </c>
      <c r="F36" s="575"/>
      <c r="G36" s="575"/>
      <c r="H36" s="359" t="s">
        <v>3217</v>
      </c>
    </row>
    <row r="37" spans="1:18">
      <c r="A37" s="323"/>
      <c r="B37" s="499"/>
      <c r="C37" s="325"/>
      <c r="D37" s="344"/>
      <c r="E37" s="575"/>
      <c r="F37" s="575"/>
      <c r="G37" s="575"/>
      <c r="H37" s="359"/>
    </row>
    <row r="38" spans="1:18">
      <c r="A38" s="322">
        <v>45360</v>
      </c>
      <c r="B38" s="498" t="s">
        <v>3212</v>
      </c>
      <c r="C38" s="324" t="s">
        <v>3225</v>
      </c>
      <c r="D38" s="343">
        <v>130000</v>
      </c>
      <c r="E38" s="337" t="s">
        <v>3219</v>
      </c>
      <c r="F38" s="326"/>
      <c r="G38" s="326"/>
      <c r="H38" s="359" t="s">
        <v>3218</v>
      </c>
    </row>
    <row r="39" spans="1:18">
      <c r="A39" s="323"/>
      <c r="B39" s="499"/>
      <c r="C39" s="325"/>
      <c r="D39" s="344"/>
      <c r="E39" s="326"/>
      <c r="F39" s="326"/>
      <c r="G39" s="326"/>
      <c r="H39" s="359"/>
    </row>
    <row r="40" spans="1:18">
      <c r="A40" s="322">
        <v>45360</v>
      </c>
      <c r="B40" s="498" t="s">
        <v>3232</v>
      </c>
      <c r="C40" s="324"/>
      <c r="D40" s="326">
        <v>900000</v>
      </c>
      <c r="E40" s="574" t="s">
        <v>3233</v>
      </c>
      <c r="F40" s="575"/>
      <c r="G40" s="575"/>
      <c r="H40" s="359" t="s">
        <v>3234</v>
      </c>
    </row>
    <row r="41" spans="1:18" ht="15.75" customHeight="1">
      <c r="A41" s="323"/>
      <c r="B41" s="499"/>
      <c r="C41" s="325"/>
      <c r="D41" s="326"/>
      <c r="E41" s="575"/>
      <c r="F41" s="575"/>
      <c r="G41" s="575"/>
      <c r="H41" s="359"/>
    </row>
    <row r="42" spans="1:18" ht="54.75" customHeight="1">
      <c r="A42" s="88">
        <v>45360</v>
      </c>
      <c r="B42" s="64" t="s">
        <v>3231</v>
      </c>
      <c r="C42" s="83"/>
      <c r="D42" s="85">
        <v>105000</v>
      </c>
      <c r="E42" s="650" t="s">
        <v>3235</v>
      </c>
      <c r="F42" s="628"/>
      <c r="G42" s="629"/>
      <c r="H42" s="87" t="s">
        <v>3236</v>
      </c>
    </row>
    <row r="43" spans="1:18">
      <c r="A43" s="322"/>
      <c r="B43" s="739" t="s">
        <v>3267</v>
      </c>
      <c r="C43" s="740"/>
      <c r="D43" s="740"/>
      <c r="E43" s="740"/>
      <c r="F43" s="740"/>
      <c r="G43" s="740"/>
      <c r="H43" s="741"/>
    </row>
    <row r="44" spans="1:18" ht="62.25" customHeight="1">
      <c r="A44" s="323"/>
      <c r="B44" s="742"/>
      <c r="C44" s="743"/>
      <c r="D44" s="743"/>
      <c r="E44" s="743"/>
      <c r="F44" s="743"/>
      <c r="G44" s="743"/>
      <c r="H44" s="744"/>
    </row>
    <row r="45" spans="1:18" ht="16.5" customHeight="1">
      <c r="A45" s="322">
        <v>45362</v>
      </c>
      <c r="B45" s="324" t="s">
        <v>3241</v>
      </c>
      <c r="C45" s="324"/>
      <c r="D45" s="326">
        <v>200000</v>
      </c>
      <c r="E45" s="337" t="s">
        <v>3242</v>
      </c>
      <c r="F45" s="326"/>
      <c r="G45" s="326"/>
      <c r="H45" s="360" t="s">
        <v>3237</v>
      </c>
    </row>
    <row r="46" spans="1:18">
      <c r="A46" s="323"/>
      <c r="B46" s="325"/>
      <c r="C46" s="325"/>
      <c r="D46" s="326"/>
      <c r="E46" s="326"/>
      <c r="F46" s="326"/>
      <c r="G46" s="326"/>
      <c r="H46" s="359"/>
    </row>
    <row r="47" spans="1:18">
      <c r="A47" s="322">
        <v>45362</v>
      </c>
      <c r="B47" s="324" t="s">
        <v>3239</v>
      </c>
      <c r="C47" s="325"/>
      <c r="D47" s="326">
        <v>250000</v>
      </c>
      <c r="E47" s="337" t="s">
        <v>3240</v>
      </c>
      <c r="F47" s="326"/>
      <c r="G47" s="326"/>
      <c r="H47" s="359" t="s">
        <v>3238</v>
      </c>
    </row>
    <row r="48" spans="1:18">
      <c r="A48" s="323"/>
      <c r="B48" s="325"/>
      <c r="C48" s="325"/>
      <c r="D48" s="326"/>
      <c r="E48" s="326"/>
      <c r="F48" s="326"/>
      <c r="G48" s="326"/>
      <c r="H48" s="359"/>
    </row>
    <row r="49" spans="1:8">
      <c r="A49" s="322">
        <v>45362</v>
      </c>
      <c r="B49" s="324" t="s">
        <v>3244</v>
      </c>
      <c r="C49" s="324"/>
      <c r="D49" s="326">
        <v>370000</v>
      </c>
      <c r="E49" s="337" t="s">
        <v>3245</v>
      </c>
      <c r="F49" s="326"/>
      <c r="G49" s="326"/>
      <c r="H49" s="360" t="s">
        <v>3238</v>
      </c>
    </row>
    <row r="50" spans="1:8">
      <c r="A50" s="323"/>
      <c r="B50" s="325"/>
      <c r="C50" s="325"/>
      <c r="D50" s="326"/>
      <c r="E50" s="326"/>
      <c r="F50" s="326"/>
      <c r="G50" s="326"/>
      <c r="H50" s="359"/>
    </row>
    <row r="51" spans="1:8">
      <c r="A51" s="322">
        <v>45363</v>
      </c>
      <c r="B51" s="324" t="s">
        <v>3247</v>
      </c>
      <c r="C51" s="325"/>
      <c r="D51" s="326">
        <v>280000</v>
      </c>
      <c r="E51" s="337" t="s">
        <v>3246</v>
      </c>
      <c r="F51" s="326"/>
      <c r="G51" s="326"/>
      <c r="H51" s="359" t="s">
        <v>3248</v>
      </c>
    </row>
    <row r="52" spans="1:8">
      <c r="A52" s="323"/>
      <c r="B52" s="325"/>
      <c r="C52" s="325"/>
      <c r="D52" s="326"/>
      <c r="E52" s="326"/>
      <c r="F52" s="326"/>
      <c r="G52" s="326"/>
      <c r="H52" s="359"/>
    </row>
    <row r="53" spans="1:8">
      <c r="A53" s="322">
        <v>45363</v>
      </c>
      <c r="B53" s="324" t="s">
        <v>3249</v>
      </c>
      <c r="C53" s="325"/>
      <c r="D53" s="326">
        <v>50000</v>
      </c>
      <c r="E53" s="337"/>
      <c r="F53" s="326"/>
      <c r="G53" s="326"/>
      <c r="H53" s="359" t="s">
        <v>3250</v>
      </c>
    </row>
    <row r="54" spans="1:8" ht="42.75" customHeight="1">
      <c r="A54" s="323"/>
      <c r="B54" s="325"/>
      <c r="C54" s="325"/>
      <c r="D54" s="326"/>
      <c r="E54" s="326"/>
      <c r="F54" s="326"/>
      <c r="G54" s="326"/>
      <c r="H54" s="359"/>
    </row>
    <row r="55" spans="1:8">
      <c r="A55" s="322">
        <v>45364</v>
      </c>
      <c r="B55" s="324" t="s">
        <v>3253</v>
      </c>
      <c r="C55" s="325"/>
      <c r="D55" s="326">
        <v>610000</v>
      </c>
      <c r="E55" s="337" t="s">
        <v>3254</v>
      </c>
      <c r="F55" s="326"/>
      <c r="G55" s="326"/>
      <c r="H55" s="359" t="s">
        <v>3260</v>
      </c>
    </row>
    <row r="56" spans="1:8">
      <c r="A56" s="323"/>
      <c r="B56" s="325"/>
      <c r="C56" s="325"/>
      <c r="D56" s="326"/>
      <c r="E56" s="326"/>
      <c r="F56" s="326"/>
      <c r="G56" s="326"/>
      <c r="H56" s="359"/>
    </row>
    <row r="57" spans="1:8">
      <c r="A57" s="322">
        <v>45364</v>
      </c>
      <c r="B57" s="325" t="s">
        <v>3251</v>
      </c>
      <c r="C57" s="325"/>
      <c r="D57" s="326">
        <v>88000</v>
      </c>
      <c r="E57" s="337" t="s">
        <v>3255</v>
      </c>
      <c r="F57" s="326"/>
      <c r="G57" s="326"/>
      <c r="H57" s="359" t="s">
        <v>3256</v>
      </c>
    </row>
    <row r="58" spans="1:8" ht="30.75" customHeight="1">
      <c r="A58" s="323"/>
      <c r="B58" s="325"/>
      <c r="C58" s="325"/>
      <c r="D58" s="326"/>
      <c r="E58" s="326"/>
      <c r="F58" s="326"/>
      <c r="G58" s="326"/>
      <c r="H58" s="359"/>
    </row>
    <row r="59" spans="1:8">
      <c r="A59" s="322">
        <v>45364</v>
      </c>
      <c r="B59" s="324" t="s">
        <v>3252</v>
      </c>
      <c r="C59" s="325"/>
      <c r="D59" s="326">
        <v>50000</v>
      </c>
      <c r="E59" s="337"/>
      <c r="F59" s="326"/>
      <c r="G59" s="326"/>
      <c r="H59" s="359" t="s">
        <v>3257</v>
      </c>
    </row>
    <row r="60" spans="1:8">
      <c r="A60" s="323"/>
      <c r="B60" s="325"/>
      <c r="C60" s="325"/>
      <c r="D60" s="326"/>
      <c r="E60" s="326"/>
      <c r="F60" s="326"/>
      <c r="G60" s="326"/>
      <c r="H60" s="359"/>
    </row>
    <row r="61" spans="1:8" ht="36" customHeight="1">
      <c r="A61" s="89">
        <v>45365</v>
      </c>
      <c r="B61" s="84" t="s">
        <v>3258</v>
      </c>
      <c r="C61" s="84"/>
      <c r="D61" s="82">
        <v>900000</v>
      </c>
      <c r="E61" s="627" t="s">
        <v>3266</v>
      </c>
      <c r="F61" s="628"/>
      <c r="G61" s="629"/>
      <c r="H61" s="86" t="s">
        <v>3259</v>
      </c>
    </row>
    <row r="62" spans="1:8">
      <c r="A62" s="335">
        <v>45365</v>
      </c>
      <c r="B62" s="341" t="s">
        <v>3263</v>
      </c>
      <c r="C62" s="353"/>
      <c r="D62" s="343">
        <v>330000</v>
      </c>
      <c r="E62" s="337" t="s">
        <v>3265</v>
      </c>
      <c r="F62" s="731"/>
      <c r="G62" s="731"/>
      <c r="H62" s="398" t="s">
        <v>3262</v>
      </c>
    </row>
    <row r="63" spans="1:8" s="30" customFormat="1">
      <c r="A63" s="336"/>
      <c r="B63" s="342"/>
      <c r="C63" s="352"/>
      <c r="D63" s="344"/>
      <c r="E63" s="731"/>
      <c r="F63" s="731"/>
      <c r="G63" s="731"/>
      <c r="H63" s="399"/>
    </row>
    <row r="64" spans="1:8">
      <c r="A64" s="322">
        <v>45366</v>
      </c>
      <c r="B64" s="324" t="s">
        <v>3261</v>
      </c>
      <c r="C64" s="325"/>
      <c r="D64" s="326">
        <v>150000</v>
      </c>
      <c r="E64" s="337" t="s">
        <v>3264</v>
      </c>
      <c r="F64" s="326"/>
      <c r="G64" s="326"/>
      <c r="H64" s="400" t="s">
        <v>3262</v>
      </c>
    </row>
    <row r="65" spans="1:8">
      <c r="A65" s="323"/>
      <c r="B65" s="325"/>
      <c r="C65" s="325"/>
      <c r="D65" s="326"/>
      <c r="E65" s="326"/>
      <c r="F65" s="326"/>
      <c r="G65" s="326"/>
      <c r="H65" s="401"/>
    </row>
    <row r="66" spans="1:8">
      <c r="A66" s="322"/>
      <c r="B66" s="568" t="s">
        <v>3299</v>
      </c>
      <c r="C66" s="569"/>
      <c r="D66" s="569"/>
      <c r="E66" s="569"/>
      <c r="F66" s="569"/>
      <c r="G66" s="569"/>
      <c r="H66" s="570"/>
    </row>
    <row r="67" spans="1:8" s="30" customFormat="1" ht="33.75" customHeight="1">
      <c r="A67" s="323"/>
      <c r="B67" s="571"/>
      <c r="C67" s="572"/>
      <c r="D67" s="572"/>
      <c r="E67" s="572"/>
      <c r="F67" s="572"/>
      <c r="G67" s="572"/>
      <c r="H67" s="573"/>
    </row>
    <row r="68" spans="1:8">
      <c r="A68" s="322">
        <v>45369</v>
      </c>
      <c r="B68" s="325" t="s">
        <v>3268</v>
      </c>
      <c r="C68" s="325"/>
      <c r="D68" s="326">
        <v>350000</v>
      </c>
      <c r="E68" s="337" t="s">
        <v>3269</v>
      </c>
      <c r="F68" s="326"/>
      <c r="G68" s="326"/>
      <c r="H68" s="360" t="s">
        <v>3270</v>
      </c>
    </row>
    <row r="69" spans="1:8">
      <c r="A69" s="323"/>
      <c r="B69" s="325"/>
      <c r="C69" s="325"/>
      <c r="D69" s="326"/>
      <c r="E69" s="326"/>
      <c r="F69" s="326"/>
      <c r="G69" s="326"/>
      <c r="H69" s="359"/>
    </row>
    <row r="70" spans="1:8">
      <c r="A70" s="322">
        <v>45370</v>
      </c>
      <c r="B70" s="325" t="s">
        <v>3272</v>
      </c>
      <c r="C70" s="325"/>
      <c r="D70" s="326">
        <v>280000</v>
      </c>
      <c r="E70" s="337" t="s">
        <v>3300</v>
      </c>
      <c r="F70" s="326"/>
      <c r="G70" s="326"/>
      <c r="H70" s="360" t="s">
        <v>3275</v>
      </c>
    </row>
    <row r="71" spans="1:8">
      <c r="A71" s="323"/>
      <c r="B71" s="325"/>
      <c r="C71" s="325"/>
      <c r="D71" s="326"/>
      <c r="E71" s="326"/>
      <c r="F71" s="326"/>
      <c r="G71" s="326"/>
      <c r="H71" s="359"/>
    </row>
    <row r="72" spans="1:8">
      <c r="A72" s="322">
        <v>45370</v>
      </c>
      <c r="B72" s="324" t="s">
        <v>3261</v>
      </c>
      <c r="C72" s="325"/>
      <c r="D72" s="326">
        <v>150000</v>
      </c>
      <c r="E72" s="337" t="s">
        <v>3271</v>
      </c>
      <c r="F72" s="326"/>
      <c r="G72" s="326"/>
      <c r="H72" s="360" t="s">
        <v>3274</v>
      </c>
    </row>
    <row r="73" spans="1:8" s="30" customFormat="1">
      <c r="A73" s="323"/>
      <c r="B73" s="325"/>
      <c r="C73" s="325"/>
      <c r="D73" s="326"/>
      <c r="E73" s="326"/>
      <c r="F73" s="326"/>
      <c r="G73" s="326"/>
      <c r="H73" s="359"/>
    </row>
    <row r="74" spans="1:8">
      <c r="A74" s="322">
        <v>45370</v>
      </c>
      <c r="B74" s="324" t="s">
        <v>3273</v>
      </c>
      <c r="C74" s="325"/>
      <c r="D74" s="326">
        <v>210000</v>
      </c>
      <c r="E74" s="326"/>
      <c r="F74" s="326"/>
      <c r="G74" s="326"/>
      <c r="H74" s="360" t="s">
        <v>3274</v>
      </c>
    </row>
    <row r="75" spans="1:8">
      <c r="A75" s="323"/>
      <c r="B75" s="325"/>
      <c r="C75" s="325"/>
      <c r="D75" s="326"/>
      <c r="E75" s="326"/>
      <c r="F75" s="326"/>
      <c r="G75" s="326"/>
      <c r="H75" s="359"/>
    </row>
    <row r="76" spans="1:8">
      <c r="A76" s="322">
        <v>45371</v>
      </c>
      <c r="B76" s="325" t="s">
        <v>3277</v>
      </c>
      <c r="C76" s="325"/>
      <c r="D76" s="326">
        <v>410000</v>
      </c>
      <c r="E76" s="337" t="s">
        <v>3282</v>
      </c>
      <c r="F76" s="326"/>
      <c r="G76" s="326"/>
      <c r="H76" s="360" t="s">
        <v>3281</v>
      </c>
    </row>
    <row r="77" spans="1:8" s="30" customFormat="1">
      <c r="A77" s="323"/>
      <c r="B77" s="325"/>
      <c r="C77" s="325"/>
      <c r="D77" s="326"/>
      <c r="E77" s="326"/>
      <c r="F77" s="326"/>
      <c r="G77" s="326"/>
      <c r="H77" s="359"/>
    </row>
    <row r="78" spans="1:8">
      <c r="A78" s="322">
        <v>45371</v>
      </c>
      <c r="B78" s="325" t="s">
        <v>3279</v>
      </c>
      <c r="C78" s="325"/>
      <c r="D78" s="326">
        <v>150000</v>
      </c>
      <c r="E78" s="337" t="s">
        <v>3283</v>
      </c>
      <c r="F78" s="326"/>
      <c r="G78" s="326"/>
      <c r="H78" s="360" t="s">
        <v>3280</v>
      </c>
    </row>
    <row r="79" spans="1:8">
      <c r="A79" s="323"/>
      <c r="B79" s="325"/>
      <c r="C79" s="325"/>
      <c r="D79" s="326"/>
      <c r="E79" s="326"/>
      <c r="F79" s="326"/>
      <c r="G79" s="326"/>
      <c r="H79" s="359"/>
    </row>
    <row r="80" spans="1:8">
      <c r="A80" s="322">
        <v>45371</v>
      </c>
      <c r="B80" s="324" t="s">
        <v>3278</v>
      </c>
      <c r="C80" s="325"/>
      <c r="D80" s="326">
        <v>205000</v>
      </c>
      <c r="E80" s="337" t="s">
        <v>3284</v>
      </c>
      <c r="F80" s="326"/>
      <c r="G80" s="326"/>
      <c r="H80" s="360" t="s">
        <v>3276</v>
      </c>
    </row>
    <row r="81" spans="1:8">
      <c r="A81" s="323"/>
      <c r="B81" s="325"/>
      <c r="C81" s="325"/>
      <c r="D81" s="326"/>
      <c r="E81" s="326"/>
      <c r="F81" s="326"/>
      <c r="G81" s="326"/>
      <c r="H81" s="359"/>
    </row>
    <row r="82" spans="1:8" ht="16.5" customHeight="1">
      <c r="A82" s="322">
        <v>45372</v>
      </c>
      <c r="B82" s="324" t="s">
        <v>3285</v>
      </c>
      <c r="C82" s="324"/>
      <c r="D82" s="326">
        <v>380000</v>
      </c>
      <c r="E82" s="562" t="s">
        <v>3289</v>
      </c>
      <c r="F82" s="582"/>
      <c r="G82" s="583"/>
      <c r="H82" s="338" t="s">
        <v>3295</v>
      </c>
    </row>
    <row r="83" spans="1:8" ht="46.5" customHeight="1">
      <c r="A83" s="323"/>
      <c r="B83" s="325"/>
      <c r="C83" s="325"/>
      <c r="D83" s="326"/>
      <c r="E83" s="584"/>
      <c r="F83" s="585"/>
      <c r="G83" s="586"/>
      <c r="H83" s="333"/>
    </row>
    <row r="84" spans="1:8" ht="16.5" customHeight="1">
      <c r="A84" s="322">
        <v>45372</v>
      </c>
      <c r="B84" s="324" t="s">
        <v>3291</v>
      </c>
      <c r="C84" s="325"/>
      <c r="D84" s="326">
        <v>130000</v>
      </c>
      <c r="E84" s="326" t="s">
        <v>3292</v>
      </c>
      <c r="F84" s="326"/>
      <c r="G84" s="326"/>
      <c r="H84" s="400" t="s">
        <v>3293</v>
      </c>
    </row>
    <row r="85" spans="1:8" ht="16.5" customHeight="1">
      <c r="A85" s="323"/>
      <c r="B85" s="325"/>
      <c r="C85" s="325"/>
      <c r="D85" s="326"/>
      <c r="E85" s="326"/>
      <c r="F85" s="326"/>
      <c r="G85" s="326"/>
      <c r="H85" s="401"/>
    </row>
    <row r="86" spans="1:8" ht="16.5" customHeight="1">
      <c r="A86" s="322">
        <v>45372</v>
      </c>
      <c r="B86" s="324" t="s">
        <v>3287</v>
      </c>
      <c r="C86" s="324"/>
      <c r="D86" s="326">
        <v>710000</v>
      </c>
      <c r="E86" s="562" t="s">
        <v>3288</v>
      </c>
      <c r="F86" s="582"/>
      <c r="G86" s="583"/>
      <c r="H86" s="360" t="s">
        <v>3290</v>
      </c>
    </row>
    <row r="87" spans="1:8" ht="16.5" customHeight="1">
      <c r="A87" s="323"/>
      <c r="B87" s="325"/>
      <c r="C87" s="325"/>
      <c r="D87" s="326"/>
      <c r="E87" s="584"/>
      <c r="F87" s="585"/>
      <c r="G87" s="586"/>
      <c r="H87" s="359"/>
    </row>
    <row r="88" spans="1:8" ht="16.5" customHeight="1">
      <c r="A88" s="336">
        <v>45374</v>
      </c>
      <c r="B88" s="324" t="s">
        <v>3286</v>
      </c>
      <c r="C88" s="325"/>
      <c r="D88" s="326">
        <v>40000</v>
      </c>
      <c r="E88" s="327" t="s">
        <v>3297</v>
      </c>
      <c r="F88" s="328"/>
      <c r="G88" s="329"/>
      <c r="H88" s="400" t="s">
        <v>3296</v>
      </c>
    </row>
    <row r="89" spans="1:8" ht="16.5" customHeight="1">
      <c r="A89" s="323"/>
      <c r="B89" s="325"/>
      <c r="C89" s="325"/>
      <c r="D89" s="326"/>
      <c r="E89" s="330"/>
      <c r="F89" s="331"/>
      <c r="G89" s="332"/>
      <c r="H89" s="401"/>
    </row>
    <row r="90" spans="1:8" ht="16.5" customHeight="1">
      <c r="A90" s="336">
        <v>45375</v>
      </c>
      <c r="B90" s="324" t="s">
        <v>3294</v>
      </c>
      <c r="C90" s="324"/>
      <c r="D90" s="326">
        <v>132000</v>
      </c>
      <c r="E90" s="327" t="s">
        <v>3298</v>
      </c>
      <c r="F90" s="328"/>
      <c r="G90" s="329"/>
      <c r="H90" s="400" t="s">
        <v>145</v>
      </c>
    </row>
    <row r="91" spans="1:8" ht="16.5" customHeight="1">
      <c r="A91" s="323"/>
      <c r="B91" s="325"/>
      <c r="C91" s="325"/>
      <c r="D91" s="326"/>
      <c r="E91" s="330"/>
      <c r="F91" s="331"/>
      <c r="G91" s="332"/>
      <c r="H91" s="401"/>
    </row>
    <row r="92" spans="1:8" ht="16.5" customHeight="1">
      <c r="A92" s="322"/>
      <c r="B92" s="644" t="s">
        <v>3318</v>
      </c>
      <c r="C92" s="645"/>
      <c r="D92" s="645"/>
      <c r="E92" s="645"/>
      <c r="F92" s="645"/>
      <c r="G92" s="645"/>
      <c r="H92" s="646"/>
    </row>
    <row r="93" spans="1:8" ht="50.25" customHeight="1">
      <c r="A93" s="323"/>
      <c r="B93" s="647"/>
      <c r="C93" s="648"/>
      <c r="D93" s="648"/>
      <c r="E93" s="648"/>
      <c r="F93" s="648"/>
      <c r="G93" s="648"/>
      <c r="H93" s="649"/>
    </row>
    <row r="94" spans="1:8" ht="16.5" customHeight="1">
      <c r="A94" s="322">
        <v>45377</v>
      </c>
      <c r="B94" s="324" t="s">
        <v>3301</v>
      </c>
      <c r="C94" s="325"/>
      <c r="D94" s="326">
        <v>90000</v>
      </c>
      <c r="E94" s="327" t="s">
        <v>3305</v>
      </c>
      <c r="F94" s="328"/>
      <c r="G94" s="329"/>
      <c r="H94" s="359" t="s">
        <v>3314</v>
      </c>
    </row>
    <row r="95" spans="1:8" ht="17.25" customHeight="1">
      <c r="A95" s="323"/>
      <c r="B95" s="325"/>
      <c r="C95" s="325"/>
      <c r="D95" s="326"/>
      <c r="E95" s="330"/>
      <c r="F95" s="331"/>
      <c r="G95" s="332"/>
      <c r="H95" s="359"/>
    </row>
    <row r="96" spans="1:8" ht="16.5" customHeight="1">
      <c r="A96" s="322">
        <v>45377</v>
      </c>
      <c r="B96" s="324" t="s">
        <v>3302</v>
      </c>
      <c r="C96" s="325"/>
      <c r="D96" s="326">
        <v>230000</v>
      </c>
      <c r="E96" s="327" t="s">
        <v>3306</v>
      </c>
      <c r="F96" s="328"/>
      <c r="G96" s="329"/>
      <c r="H96" s="359" t="s">
        <v>3314</v>
      </c>
    </row>
    <row r="97" spans="1:11" ht="16.5" customHeight="1">
      <c r="A97" s="323"/>
      <c r="B97" s="325"/>
      <c r="C97" s="325"/>
      <c r="D97" s="326"/>
      <c r="E97" s="330"/>
      <c r="F97" s="331"/>
      <c r="G97" s="332"/>
      <c r="H97" s="359"/>
    </row>
    <row r="98" spans="1:11" ht="16.5" customHeight="1">
      <c r="A98" s="322">
        <v>45377</v>
      </c>
      <c r="B98" s="324" t="s">
        <v>3304</v>
      </c>
      <c r="C98" s="324"/>
      <c r="D98" s="326">
        <v>210000</v>
      </c>
      <c r="E98" s="327" t="s">
        <v>3307</v>
      </c>
      <c r="F98" s="328"/>
      <c r="G98" s="329"/>
      <c r="H98" s="359" t="s">
        <v>3314</v>
      </c>
    </row>
    <row r="99" spans="1:11" ht="16.5" customHeight="1">
      <c r="A99" s="323"/>
      <c r="B99" s="325"/>
      <c r="C99" s="325"/>
      <c r="D99" s="326"/>
      <c r="E99" s="330"/>
      <c r="F99" s="331"/>
      <c r="G99" s="332"/>
      <c r="H99" s="359"/>
    </row>
    <row r="100" spans="1:11" ht="16.5" customHeight="1">
      <c r="A100" s="322">
        <v>45377</v>
      </c>
      <c r="B100" s="324" t="s">
        <v>3303</v>
      </c>
      <c r="C100" s="324"/>
      <c r="D100" s="326">
        <v>200000</v>
      </c>
      <c r="E100" s="327" t="s">
        <v>3308</v>
      </c>
      <c r="F100" s="328"/>
      <c r="G100" s="329"/>
      <c r="H100" s="359" t="s">
        <v>3314</v>
      </c>
    </row>
    <row r="101" spans="1:11" ht="16.5" customHeight="1">
      <c r="A101" s="323"/>
      <c r="B101" s="325"/>
      <c r="C101" s="325"/>
      <c r="D101" s="326"/>
      <c r="E101" s="330"/>
      <c r="F101" s="331"/>
      <c r="G101" s="332"/>
      <c r="H101" s="359"/>
    </row>
    <row r="102" spans="1:11" ht="16.5" customHeight="1">
      <c r="A102" s="322">
        <v>45377</v>
      </c>
      <c r="B102" s="324" t="s">
        <v>3310</v>
      </c>
      <c r="C102" s="325"/>
      <c r="D102" s="326">
        <v>300000</v>
      </c>
      <c r="E102" s="337" t="s">
        <v>3309</v>
      </c>
      <c r="F102" s="326"/>
      <c r="G102" s="326"/>
      <c r="H102" s="359" t="s">
        <v>3314</v>
      </c>
    </row>
    <row r="103" spans="1:11" ht="16.5" customHeight="1">
      <c r="A103" s="323"/>
      <c r="B103" s="325"/>
      <c r="C103" s="325"/>
      <c r="D103" s="326"/>
      <c r="E103" s="326"/>
      <c r="F103" s="326"/>
      <c r="G103" s="326"/>
      <c r="H103" s="359"/>
    </row>
    <row r="104" spans="1:11" ht="16.5" customHeight="1">
      <c r="A104" s="322">
        <v>45378</v>
      </c>
      <c r="B104" s="324" t="s">
        <v>3315</v>
      </c>
      <c r="C104" s="324"/>
      <c r="D104" s="326">
        <v>520000</v>
      </c>
      <c r="E104" s="574" t="s">
        <v>3317</v>
      </c>
      <c r="F104" s="575"/>
      <c r="G104" s="575"/>
      <c r="H104" s="359" t="s">
        <v>145</v>
      </c>
    </row>
    <row r="105" spans="1:11" ht="16.5" customHeight="1">
      <c r="A105" s="323"/>
      <c r="B105" s="325"/>
      <c r="C105" s="325"/>
      <c r="D105" s="326"/>
      <c r="E105" s="575"/>
      <c r="F105" s="575"/>
      <c r="G105" s="575"/>
      <c r="H105" s="359"/>
    </row>
    <row r="106" spans="1:11" ht="16.5" customHeight="1">
      <c r="A106" s="322">
        <v>45378</v>
      </c>
      <c r="B106" s="324" t="s">
        <v>3316</v>
      </c>
      <c r="C106" s="324"/>
      <c r="D106" s="326">
        <v>770000</v>
      </c>
      <c r="E106" s="327" t="s">
        <v>3321</v>
      </c>
      <c r="F106" s="328"/>
      <c r="G106" s="329"/>
      <c r="H106" s="359" t="s">
        <v>3323</v>
      </c>
    </row>
    <row r="107" spans="1:11" ht="16.5" customHeight="1">
      <c r="A107" s="323"/>
      <c r="B107" s="325"/>
      <c r="C107" s="325"/>
      <c r="D107" s="326"/>
      <c r="E107" s="330"/>
      <c r="F107" s="331"/>
      <c r="G107" s="332"/>
      <c r="H107" s="359"/>
    </row>
    <row r="108" spans="1:11" ht="16.5" customHeight="1">
      <c r="A108" s="322">
        <v>45378</v>
      </c>
      <c r="B108" s="324" t="s">
        <v>3319</v>
      </c>
      <c r="C108" s="324"/>
      <c r="D108" s="326">
        <v>135000</v>
      </c>
      <c r="E108" s="327" t="s">
        <v>3322</v>
      </c>
      <c r="F108" s="328"/>
      <c r="G108" s="329"/>
      <c r="H108" s="359" t="s">
        <v>145</v>
      </c>
    </row>
    <row r="109" spans="1:11" ht="16.5" customHeight="1">
      <c r="A109" s="323"/>
      <c r="B109" s="325"/>
      <c r="C109" s="325"/>
      <c r="D109" s="326"/>
      <c r="E109" s="330"/>
      <c r="F109" s="331"/>
      <c r="G109" s="332"/>
      <c r="H109" s="359"/>
      <c r="K109" s="24"/>
    </row>
    <row r="110" spans="1:11" ht="16.5" customHeight="1">
      <c r="A110" s="322">
        <v>45378</v>
      </c>
      <c r="B110" s="324" t="s">
        <v>3320</v>
      </c>
      <c r="C110" s="324"/>
      <c r="D110" s="326">
        <v>50000</v>
      </c>
      <c r="E110" s="327"/>
      <c r="F110" s="328"/>
      <c r="G110" s="329"/>
      <c r="H110" s="359" t="s">
        <v>145</v>
      </c>
    </row>
    <row r="111" spans="1:11" ht="16.5" customHeight="1">
      <c r="A111" s="323"/>
      <c r="B111" s="325"/>
      <c r="C111" s="325"/>
      <c r="D111" s="326"/>
      <c r="E111" s="330"/>
      <c r="F111" s="331"/>
      <c r="G111" s="332"/>
      <c r="H111" s="359"/>
      <c r="K111" s="24"/>
    </row>
    <row r="112" spans="1:11" ht="16.5" customHeight="1">
      <c r="A112" s="322">
        <v>45380</v>
      </c>
      <c r="B112" s="324" t="s">
        <v>3328</v>
      </c>
      <c r="C112" s="324"/>
      <c r="D112" s="326">
        <v>3090000</v>
      </c>
      <c r="E112" s="327"/>
      <c r="F112" s="328"/>
      <c r="G112" s="329"/>
      <c r="H112" s="359" t="s">
        <v>3327</v>
      </c>
      <c r="K112" s="24"/>
    </row>
    <row r="113" spans="1:11" ht="16.5" customHeight="1">
      <c r="A113" s="323"/>
      <c r="B113" s="325"/>
      <c r="C113" s="325"/>
      <c r="D113" s="326"/>
      <c r="E113" s="330"/>
      <c r="F113" s="331"/>
      <c r="G113" s="332"/>
      <c r="H113" s="359"/>
      <c r="K113" s="24"/>
    </row>
    <row r="114" spans="1:11" ht="16.5" customHeight="1">
      <c r="A114" s="322">
        <v>45381</v>
      </c>
      <c r="B114" s="324" t="s">
        <v>3315</v>
      </c>
      <c r="C114" s="325"/>
      <c r="D114" s="326">
        <v>140000</v>
      </c>
      <c r="E114" s="337"/>
      <c r="F114" s="326"/>
      <c r="G114" s="326"/>
      <c r="H114" s="359" t="s">
        <v>145</v>
      </c>
      <c r="K114" s="24"/>
    </row>
    <row r="115" spans="1:11" ht="16.5" customHeight="1">
      <c r="A115" s="323"/>
      <c r="B115" s="325"/>
      <c r="C115" s="325"/>
      <c r="D115" s="326"/>
      <c r="E115" s="326"/>
      <c r="F115" s="326"/>
      <c r="G115" s="326"/>
      <c r="H115" s="359"/>
      <c r="K115" s="24"/>
    </row>
    <row r="116" spans="1:11" ht="16.5" customHeight="1">
      <c r="A116" s="322"/>
      <c r="B116" s="324"/>
      <c r="C116" s="325"/>
      <c r="D116" s="326"/>
      <c r="E116" s="327"/>
      <c r="F116" s="328"/>
      <c r="G116" s="329"/>
      <c r="H116" s="338"/>
      <c r="I116" s="4"/>
    </row>
    <row r="117" spans="1:11" ht="16.5" customHeight="1">
      <c r="A117" s="323"/>
      <c r="B117" s="325"/>
      <c r="C117" s="325"/>
      <c r="D117" s="326"/>
      <c r="E117" s="330"/>
      <c r="F117" s="331"/>
      <c r="G117" s="332"/>
      <c r="H117" s="333"/>
    </row>
    <row r="118" spans="1:11" ht="16.5" customHeight="1">
      <c r="A118" s="322"/>
      <c r="B118" s="517" t="s">
        <v>3330</v>
      </c>
      <c r="C118" s="518"/>
      <c r="D118" s="518"/>
      <c r="E118" s="518"/>
      <c r="F118" s="518"/>
      <c r="G118" s="518"/>
      <c r="H118" s="519"/>
    </row>
    <row r="119" spans="1:11" ht="16.5" customHeight="1">
      <c r="A119" s="323"/>
      <c r="B119" s="745"/>
      <c r="C119" s="746"/>
      <c r="D119" s="746"/>
      <c r="E119" s="746"/>
      <c r="F119" s="746"/>
      <c r="G119" s="746"/>
      <c r="H119" s="747"/>
    </row>
    <row r="120" spans="1:11" ht="16.5" customHeight="1">
      <c r="A120" s="322"/>
      <c r="B120" s="745"/>
      <c r="C120" s="746"/>
      <c r="D120" s="746"/>
      <c r="E120" s="746"/>
      <c r="F120" s="746"/>
      <c r="G120" s="746"/>
      <c r="H120" s="747"/>
    </row>
    <row r="121" spans="1:11" ht="16.5" customHeight="1">
      <c r="A121" s="323"/>
      <c r="B121" s="520"/>
      <c r="C121" s="521"/>
      <c r="D121" s="521"/>
      <c r="E121" s="521"/>
      <c r="F121" s="521"/>
      <c r="G121" s="521"/>
      <c r="H121" s="522"/>
    </row>
    <row r="122" spans="1:11" ht="16.5" customHeight="1">
      <c r="A122" s="322"/>
      <c r="B122" s="324"/>
      <c r="C122" s="325"/>
      <c r="D122" s="326"/>
      <c r="E122" s="327"/>
      <c r="F122" s="328"/>
      <c r="G122" s="329"/>
      <c r="H122" s="333"/>
    </row>
    <row r="123" spans="1:11" ht="16.5" customHeight="1">
      <c r="A123" s="323"/>
      <c r="B123" s="325"/>
      <c r="C123" s="325"/>
      <c r="D123" s="326"/>
      <c r="E123" s="330"/>
      <c r="F123" s="331"/>
      <c r="G123" s="332"/>
      <c r="H123" s="333"/>
    </row>
    <row r="124" spans="1:11" ht="16.5" customHeight="1">
      <c r="A124" s="322"/>
      <c r="B124" s="324"/>
      <c r="C124" s="325"/>
      <c r="D124" s="326"/>
      <c r="E124" s="327"/>
      <c r="F124" s="328"/>
      <c r="G124" s="329"/>
      <c r="H124" s="333"/>
    </row>
    <row r="125" spans="1:11" ht="16.5" customHeight="1">
      <c r="A125" s="323"/>
      <c r="B125" s="325"/>
      <c r="C125" s="325"/>
      <c r="D125" s="326"/>
      <c r="E125" s="330"/>
      <c r="F125" s="331"/>
      <c r="G125" s="332"/>
      <c r="H125" s="333"/>
    </row>
    <row r="126" spans="1:11" ht="16.5" customHeight="1">
      <c r="A126" s="322"/>
      <c r="B126" s="324"/>
      <c r="C126" s="326"/>
      <c r="D126" s="326"/>
      <c r="E126" s="327"/>
      <c r="F126" s="328"/>
      <c r="G126" s="329"/>
      <c r="H126" s="333"/>
    </row>
    <row r="127" spans="1:11" ht="16.5" customHeight="1">
      <c r="A127" s="323"/>
      <c r="B127" s="325"/>
      <c r="C127" s="326"/>
      <c r="D127" s="326"/>
      <c r="E127" s="330"/>
      <c r="F127" s="331"/>
      <c r="G127" s="332"/>
      <c r="H127" s="333"/>
    </row>
    <row r="128" spans="1:11" ht="16.5" customHeight="1">
      <c r="A128" s="322"/>
      <c r="B128" s="324"/>
      <c r="C128" s="325"/>
      <c r="D128" s="326"/>
      <c r="E128" s="337"/>
      <c r="F128" s="326"/>
      <c r="G128" s="326"/>
      <c r="H128" s="333"/>
      <c r="I128" s="3"/>
      <c r="K128" s="23"/>
    </row>
    <row r="129" spans="1:8" ht="16.5" customHeight="1">
      <c r="A129" s="323"/>
      <c r="B129" s="325"/>
      <c r="C129" s="325"/>
      <c r="D129" s="326"/>
      <c r="E129" s="326"/>
      <c r="F129" s="326"/>
      <c r="G129" s="326"/>
      <c r="H129" s="333"/>
    </row>
    <row r="130" spans="1:8" ht="16.5" customHeight="1">
      <c r="A130" s="322"/>
      <c r="B130" s="324"/>
      <c r="C130" s="325"/>
      <c r="D130" s="326"/>
      <c r="E130" s="327"/>
      <c r="F130" s="328"/>
      <c r="G130" s="329"/>
      <c r="H130" s="333"/>
    </row>
    <row r="131" spans="1:8" ht="16.5" customHeight="1">
      <c r="A131" s="323"/>
      <c r="B131" s="325"/>
      <c r="C131" s="325"/>
      <c r="D131" s="326"/>
      <c r="E131" s="330"/>
      <c r="F131" s="331"/>
      <c r="G131" s="332"/>
      <c r="H131" s="333"/>
    </row>
    <row r="132" spans="1:8" ht="16.5" customHeight="1">
      <c r="A132" s="322"/>
      <c r="B132" s="324"/>
      <c r="C132" s="324"/>
      <c r="D132" s="326"/>
      <c r="E132" s="327"/>
      <c r="F132" s="328"/>
      <c r="G132" s="329"/>
      <c r="H132" s="333"/>
    </row>
    <row r="133" spans="1:8" ht="16.5" customHeight="1">
      <c r="A133" s="323"/>
      <c r="B133" s="325"/>
      <c r="C133" s="325"/>
      <c r="D133" s="326"/>
      <c r="E133" s="330"/>
      <c r="F133" s="331"/>
      <c r="G133" s="332"/>
      <c r="H133" s="333"/>
    </row>
    <row r="134" spans="1:8" ht="16.5" customHeight="1">
      <c r="A134" s="335"/>
      <c r="B134" s="324"/>
      <c r="C134" s="325"/>
      <c r="D134" s="326"/>
      <c r="E134" s="327"/>
      <c r="F134" s="328"/>
      <c r="G134" s="329"/>
      <c r="H134" s="333"/>
    </row>
    <row r="135" spans="1:8" ht="16.5" customHeight="1">
      <c r="A135" s="336"/>
      <c r="B135" s="325"/>
      <c r="C135" s="325"/>
      <c r="D135" s="326"/>
      <c r="E135" s="330"/>
      <c r="F135" s="331"/>
      <c r="G135" s="332"/>
      <c r="H135" s="333"/>
    </row>
    <row r="136" spans="1:8" ht="16.5" customHeight="1">
      <c r="A136" s="334"/>
      <c r="B136" s="324"/>
      <c r="C136" s="324"/>
      <c r="D136" s="326"/>
      <c r="E136" s="327"/>
      <c r="F136" s="328"/>
      <c r="G136" s="329"/>
      <c r="H136" s="333"/>
    </row>
    <row r="137" spans="1:8" ht="16.5" customHeight="1">
      <c r="A137" s="323"/>
      <c r="B137" s="325"/>
      <c r="C137" s="325"/>
      <c r="D137" s="326"/>
      <c r="E137" s="330"/>
      <c r="F137" s="331"/>
      <c r="G137" s="332"/>
      <c r="H137" s="333"/>
    </row>
    <row r="138" spans="1:8" ht="16.5" customHeight="1">
      <c r="A138" s="322"/>
      <c r="B138" s="324"/>
      <c r="C138" s="325"/>
      <c r="D138" s="326"/>
      <c r="E138" s="327"/>
      <c r="F138" s="328"/>
      <c r="G138" s="329"/>
      <c r="H138" s="333"/>
    </row>
    <row r="139" spans="1:8" ht="16.5" customHeight="1">
      <c r="A139" s="323"/>
      <c r="B139" s="325"/>
      <c r="C139" s="325"/>
      <c r="D139" s="326"/>
      <c r="E139" s="330"/>
      <c r="F139" s="331"/>
      <c r="G139" s="332"/>
      <c r="H139" s="333"/>
    </row>
    <row r="140" spans="1:8" ht="16.5" customHeight="1">
      <c r="A140" s="313"/>
      <c r="B140" s="314"/>
      <c r="C140" s="307"/>
      <c r="D140" s="309"/>
      <c r="E140" s="315"/>
      <c r="F140" s="316"/>
      <c r="G140" s="317"/>
      <c r="H140" s="321"/>
    </row>
    <row r="141" spans="1:8" ht="16.5" customHeight="1">
      <c r="A141" s="305"/>
      <c r="B141" s="307"/>
      <c r="C141" s="307"/>
      <c r="D141" s="309"/>
      <c r="E141" s="318"/>
      <c r="F141" s="319"/>
      <c r="G141" s="320"/>
      <c r="H141" s="311"/>
    </row>
    <row r="142" spans="1:8" ht="16.5" customHeight="1">
      <c r="A142" s="313"/>
      <c r="B142" s="314"/>
      <c r="C142" s="307"/>
      <c r="D142" s="309"/>
      <c r="E142" s="315"/>
      <c r="F142" s="316"/>
      <c r="G142" s="317"/>
      <c r="H142" s="321"/>
    </row>
    <row r="143" spans="1:8" ht="16.5" customHeight="1">
      <c r="A143" s="305"/>
      <c r="B143" s="307"/>
      <c r="C143" s="307"/>
      <c r="D143" s="309"/>
      <c r="E143" s="318"/>
      <c r="F143" s="319"/>
      <c r="G143" s="320"/>
      <c r="H143" s="311"/>
    </row>
    <row r="144" spans="1:8">
      <c r="A144" s="305"/>
      <c r="B144" s="307"/>
      <c r="C144" s="307"/>
      <c r="D144" s="309"/>
      <c r="E144" s="309"/>
      <c r="F144" s="309"/>
      <c r="G144" s="309"/>
      <c r="H144" s="311"/>
    </row>
    <row r="145" spans="1:8">
      <c r="A145" s="305"/>
      <c r="B145" s="307"/>
      <c r="C145" s="307"/>
      <c r="D145" s="309"/>
      <c r="E145" s="309"/>
      <c r="F145" s="309"/>
      <c r="G145" s="309"/>
      <c r="H145" s="311"/>
    </row>
    <row r="146" spans="1:8" ht="16.5" customHeight="1">
      <c r="A146" s="313"/>
      <c r="B146" s="314"/>
      <c r="C146" s="307"/>
      <c r="D146" s="309"/>
      <c r="E146" s="315"/>
      <c r="F146" s="316"/>
      <c r="G146" s="317"/>
      <c r="H146" s="311"/>
    </row>
    <row r="147" spans="1:8" ht="16.5" customHeight="1">
      <c r="A147" s="305"/>
      <c r="B147" s="307"/>
      <c r="C147" s="307"/>
      <c r="D147" s="309"/>
      <c r="E147" s="318"/>
      <c r="F147" s="319"/>
      <c r="G147" s="320"/>
      <c r="H147" s="311"/>
    </row>
    <row r="148" spans="1:8" ht="16.5" customHeight="1">
      <c r="A148" s="313"/>
      <c r="B148" s="314"/>
      <c r="C148" s="307"/>
      <c r="D148" s="309"/>
      <c r="E148" s="315"/>
      <c r="F148" s="316"/>
      <c r="G148" s="317"/>
      <c r="H148" s="311"/>
    </row>
    <row r="149" spans="1:8" ht="16.5" customHeight="1">
      <c r="A149" s="305"/>
      <c r="B149" s="307"/>
      <c r="C149" s="307"/>
      <c r="D149" s="309"/>
      <c r="E149" s="318"/>
      <c r="F149" s="319"/>
      <c r="G149" s="320"/>
      <c r="H149" s="311"/>
    </row>
    <row r="150" spans="1:8" ht="16.5" customHeight="1">
      <c r="A150" s="313"/>
      <c r="B150" s="314"/>
      <c r="C150" s="307"/>
      <c r="D150" s="309"/>
      <c r="E150" s="315"/>
      <c r="F150" s="316"/>
      <c r="G150" s="317"/>
      <c r="H150" s="321"/>
    </row>
    <row r="151" spans="1:8" ht="16.5" customHeight="1">
      <c r="A151" s="305"/>
      <c r="B151" s="307"/>
      <c r="C151" s="307"/>
      <c r="D151" s="309"/>
      <c r="E151" s="318"/>
      <c r="F151" s="319"/>
      <c r="G151" s="320"/>
      <c r="H151" s="311"/>
    </row>
    <row r="152" spans="1:8" ht="16.5" customHeight="1">
      <c r="A152" s="313"/>
      <c r="B152" s="314"/>
      <c r="C152" s="307"/>
      <c r="D152" s="309"/>
      <c r="E152" s="315"/>
      <c r="F152" s="316"/>
      <c r="G152" s="317"/>
      <c r="H152" s="321"/>
    </row>
    <row r="153" spans="1:8" ht="16.5" customHeight="1">
      <c r="A153" s="305"/>
      <c r="B153" s="307"/>
      <c r="C153" s="307"/>
      <c r="D153" s="309"/>
      <c r="E153" s="318"/>
      <c r="F153" s="319"/>
      <c r="G153" s="320"/>
      <c r="H153" s="311"/>
    </row>
    <row r="154" spans="1:8">
      <c r="A154" s="305"/>
      <c r="B154" s="307"/>
      <c r="C154" s="307"/>
      <c r="D154" s="309"/>
      <c r="E154" s="309"/>
      <c r="F154" s="309"/>
      <c r="G154" s="309"/>
      <c r="H154" s="311"/>
    </row>
    <row r="155" spans="1:8">
      <c r="A155" s="305"/>
      <c r="B155" s="307"/>
      <c r="C155" s="307"/>
      <c r="D155" s="309"/>
      <c r="E155" s="309"/>
      <c r="F155" s="309"/>
      <c r="G155" s="309"/>
      <c r="H155" s="311"/>
    </row>
    <row r="156" spans="1:8" ht="16.5" customHeight="1">
      <c r="A156" s="313"/>
      <c r="B156" s="314"/>
      <c r="C156" s="307"/>
      <c r="D156" s="309"/>
      <c r="E156" s="315"/>
      <c r="F156" s="316"/>
      <c r="G156" s="317"/>
      <c r="H156" s="311"/>
    </row>
    <row r="157" spans="1:8" ht="16.5" customHeight="1">
      <c r="A157" s="305"/>
      <c r="B157" s="307"/>
      <c r="C157" s="307"/>
      <c r="D157" s="309"/>
      <c r="E157" s="318"/>
      <c r="F157" s="319"/>
      <c r="G157" s="320"/>
      <c r="H157" s="311"/>
    </row>
    <row r="158" spans="1:8" ht="16.5" customHeight="1">
      <c r="A158" s="313"/>
      <c r="B158" s="314"/>
      <c r="C158" s="307"/>
      <c r="D158" s="309"/>
      <c r="E158" s="315"/>
      <c r="F158" s="316"/>
      <c r="G158" s="317"/>
      <c r="H158" s="321"/>
    </row>
    <row r="159" spans="1:8" ht="16.5" customHeight="1">
      <c r="A159" s="305"/>
      <c r="B159" s="307"/>
      <c r="C159" s="307"/>
      <c r="D159" s="309"/>
      <c r="E159" s="318"/>
      <c r="F159" s="319"/>
      <c r="G159" s="320"/>
      <c r="H159" s="311"/>
    </row>
    <row r="160" spans="1:8" ht="16.5" customHeight="1">
      <c r="A160" s="313"/>
      <c r="B160" s="314"/>
      <c r="C160" s="307"/>
      <c r="D160" s="309"/>
      <c r="E160" s="315"/>
      <c r="F160" s="316"/>
      <c r="G160" s="317"/>
      <c r="H160" s="321"/>
    </row>
    <row r="161" spans="1:8" ht="16.5" customHeight="1">
      <c r="A161" s="305"/>
      <c r="B161" s="307"/>
      <c r="C161" s="307"/>
      <c r="D161" s="309"/>
      <c r="E161" s="318"/>
      <c r="F161" s="319"/>
      <c r="G161" s="320"/>
      <c r="H161" s="311"/>
    </row>
    <row r="162" spans="1:8">
      <c r="A162" s="305"/>
      <c r="B162" s="307"/>
      <c r="C162" s="307"/>
      <c r="D162" s="309"/>
      <c r="E162" s="309"/>
      <c r="F162" s="309"/>
      <c r="G162" s="309"/>
      <c r="H162" s="311"/>
    </row>
    <row r="163" spans="1:8">
      <c r="A163" s="305"/>
      <c r="B163" s="307"/>
      <c r="C163" s="307"/>
      <c r="D163" s="309"/>
      <c r="E163" s="309"/>
      <c r="F163" s="309"/>
      <c r="G163" s="309"/>
      <c r="H163" s="311"/>
    </row>
    <row r="164" spans="1:8">
      <c r="A164" s="305"/>
      <c r="B164" s="307"/>
      <c r="C164" s="307"/>
      <c r="D164" s="309"/>
      <c r="E164" s="309"/>
      <c r="F164" s="309"/>
      <c r="G164" s="309"/>
      <c r="H164" s="311"/>
    </row>
    <row r="165" spans="1:8" ht="17.25" thickBot="1">
      <c r="A165" s="306"/>
      <c r="B165" s="308"/>
      <c r="C165" s="308"/>
      <c r="D165" s="310"/>
      <c r="E165" s="310"/>
      <c r="F165" s="310"/>
      <c r="G165" s="310"/>
      <c r="H165" s="312"/>
    </row>
  </sheetData>
  <mergeCells count="471">
    <mergeCell ref="A164:A165"/>
    <mergeCell ref="B164:B165"/>
    <mergeCell ref="C164:C165"/>
    <mergeCell ref="D164:D165"/>
    <mergeCell ref="E164:G165"/>
    <mergeCell ref="H164:H165"/>
    <mergeCell ref="A162:A163"/>
    <mergeCell ref="B162:B163"/>
    <mergeCell ref="C162:C163"/>
    <mergeCell ref="D162:D163"/>
    <mergeCell ref="E162:G163"/>
    <mergeCell ref="H162:H163"/>
    <mergeCell ref="A160:A161"/>
    <mergeCell ref="B160:B161"/>
    <mergeCell ref="C160:C161"/>
    <mergeCell ref="D160:D161"/>
    <mergeCell ref="E160:G161"/>
    <mergeCell ref="H160:H161"/>
    <mergeCell ref="A158:A159"/>
    <mergeCell ref="B158:B159"/>
    <mergeCell ref="C158:C159"/>
    <mergeCell ref="D158:D159"/>
    <mergeCell ref="E158:G159"/>
    <mergeCell ref="H158:H159"/>
    <mergeCell ref="A156:A157"/>
    <mergeCell ref="B156:B157"/>
    <mergeCell ref="C156:C157"/>
    <mergeCell ref="D156:D157"/>
    <mergeCell ref="E156:G157"/>
    <mergeCell ref="H156:H157"/>
    <mergeCell ref="A154:A155"/>
    <mergeCell ref="B154:B155"/>
    <mergeCell ref="C154:C155"/>
    <mergeCell ref="D154:D155"/>
    <mergeCell ref="E154:G155"/>
    <mergeCell ref="H154:H155"/>
    <mergeCell ref="A152:A153"/>
    <mergeCell ref="B152:B153"/>
    <mergeCell ref="C152:C153"/>
    <mergeCell ref="D152:D153"/>
    <mergeCell ref="E152:G153"/>
    <mergeCell ref="H152:H153"/>
    <mergeCell ref="A150:A151"/>
    <mergeCell ref="B150:B151"/>
    <mergeCell ref="C150:C151"/>
    <mergeCell ref="D150:D151"/>
    <mergeCell ref="E150:G151"/>
    <mergeCell ref="H150:H151"/>
    <mergeCell ref="A148:A149"/>
    <mergeCell ref="B148:B149"/>
    <mergeCell ref="C148:C149"/>
    <mergeCell ref="D148:D149"/>
    <mergeCell ref="E148:G149"/>
    <mergeCell ref="H148:H149"/>
    <mergeCell ref="A146:A147"/>
    <mergeCell ref="B146:B147"/>
    <mergeCell ref="C146:C147"/>
    <mergeCell ref="D146:D147"/>
    <mergeCell ref="E146:G147"/>
    <mergeCell ref="H146:H147"/>
    <mergeCell ref="A144:A145"/>
    <mergeCell ref="B144:B145"/>
    <mergeCell ref="C144:C145"/>
    <mergeCell ref="D144:D145"/>
    <mergeCell ref="E144:G145"/>
    <mergeCell ref="H144:H145"/>
    <mergeCell ref="A142:A143"/>
    <mergeCell ref="B142:B143"/>
    <mergeCell ref="C142:C143"/>
    <mergeCell ref="D142:D143"/>
    <mergeCell ref="E142:G143"/>
    <mergeCell ref="H142:H143"/>
    <mergeCell ref="A140:A141"/>
    <mergeCell ref="B140:B141"/>
    <mergeCell ref="C140:C141"/>
    <mergeCell ref="D140:D141"/>
    <mergeCell ref="E140:G141"/>
    <mergeCell ref="H140:H141"/>
    <mergeCell ref="A138:A139"/>
    <mergeCell ref="B138:B139"/>
    <mergeCell ref="C138:C139"/>
    <mergeCell ref="D138:D139"/>
    <mergeCell ref="E138:G139"/>
    <mergeCell ref="H138:H139"/>
    <mergeCell ref="A136:A137"/>
    <mergeCell ref="B136:B137"/>
    <mergeCell ref="C136:C137"/>
    <mergeCell ref="D136:D137"/>
    <mergeCell ref="E136:G137"/>
    <mergeCell ref="H136:H137"/>
    <mergeCell ref="A134:A135"/>
    <mergeCell ref="B134:B135"/>
    <mergeCell ref="C134:C135"/>
    <mergeCell ref="D134:D135"/>
    <mergeCell ref="E134:G135"/>
    <mergeCell ref="H134:H135"/>
    <mergeCell ref="A132:A133"/>
    <mergeCell ref="B132:B133"/>
    <mergeCell ref="C132:C133"/>
    <mergeCell ref="D132:D133"/>
    <mergeCell ref="E132:G133"/>
    <mergeCell ref="H132:H133"/>
    <mergeCell ref="A130:A131"/>
    <mergeCell ref="B130:B131"/>
    <mergeCell ref="C130:C131"/>
    <mergeCell ref="D130:D131"/>
    <mergeCell ref="E130:G131"/>
    <mergeCell ref="H130:H131"/>
    <mergeCell ref="A128:A129"/>
    <mergeCell ref="B128:B129"/>
    <mergeCell ref="C128:C129"/>
    <mergeCell ref="D128:D129"/>
    <mergeCell ref="E128:G129"/>
    <mergeCell ref="H128:H129"/>
    <mergeCell ref="A126:A127"/>
    <mergeCell ref="B126:B127"/>
    <mergeCell ref="C126:C127"/>
    <mergeCell ref="D126:D127"/>
    <mergeCell ref="E126:G127"/>
    <mergeCell ref="H126:H127"/>
    <mergeCell ref="A120:A121"/>
    <mergeCell ref="A118:A119"/>
    <mergeCell ref="B118:H121"/>
    <mergeCell ref="A124:A125"/>
    <mergeCell ref="B124:B125"/>
    <mergeCell ref="C124:C125"/>
    <mergeCell ref="D124:D125"/>
    <mergeCell ref="E124:G125"/>
    <mergeCell ref="H124:H125"/>
    <mergeCell ref="A122:A123"/>
    <mergeCell ref="B122:B123"/>
    <mergeCell ref="C122:C123"/>
    <mergeCell ref="D122:D123"/>
    <mergeCell ref="E122:G123"/>
    <mergeCell ref="H122:H123"/>
    <mergeCell ref="A116:A117"/>
    <mergeCell ref="B116:B117"/>
    <mergeCell ref="C116:C117"/>
    <mergeCell ref="D116:D117"/>
    <mergeCell ref="E116:G117"/>
    <mergeCell ref="H116:H117"/>
    <mergeCell ref="A114:A115"/>
    <mergeCell ref="B114:B115"/>
    <mergeCell ref="C114:C115"/>
    <mergeCell ref="D114:D115"/>
    <mergeCell ref="E114:G115"/>
    <mergeCell ref="H114:H115"/>
    <mergeCell ref="A112:A113"/>
    <mergeCell ref="B112:B113"/>
    <mergeCell ref="C112:C113"/>
    <mergeCell ref="D112:D113"/>
    <mergeCell ref="E112:G113"/>
    <mergeCell ref="H112:H113"/>
    <mergeCell ref="A110:A111"/>
    <mergeCell ref="B110:B111"/>
    <mergeCell ref="C110:C111"/>
    <mergeCell ref="D110:D111"/>
    <mergeCell ref="E110:G111"/>
    <mergeCell ref="H110:H111"/>
    <mergeCell ref="A108:A109"/>
    <mergeCell ref="B108:B109"/>
    <mergeCell ref="C108:C109"/>
    <mergeCell ref="D108:D109"/>
    <mergeCell ref="E108:G109"/>
    <mergeCell ref="H108:H109"/>
    <mergeCell ref="A106:A107"/>
    <mergeCell ref="B106:B107"/>
    <mergeCell ref="C106:C107"/>
    <mergeCell ref="D106:D107"/>
    <mergeCell ref="E106:G107"/>
    <mergeCell ref="H106:H107"/>
    <mergeCell ref="A104:A105"/>
    <mergeCell ref="B104:B105"/>
    <mergeCell ref="C104:C105"/>
    <mergeCell ref="D104:D105"/>
    <mergeCell ref="E104:G105"/>
    <mergeCell ref="H104:H105"/>
    <mergeCell ref="A102:A103"/>
    <mergeCell ref="B102:B103"/>
    <mergeCell ref="C102:C103"/>
    <mergeCell ref="D102:D103"/>
    <mergeCell ref="E102:G103"/>
    <mergeCell ref="H102:H103"/>
    <mergeCell ref="A100:A101"/>
    <mergeCell ref="B100:B101"/>
    <mergeCell ref="C100:C101"/>
    <mergeCell ref="D100:D101"/>
    <mergeCell ref="E100:G101"/>
    <mergeCell ref="H100:H101"/>
    <mergeCell ref="A98:A99"/>
    <mergeCell ref="B98:B99"/>
    <mergeCell ref="C98:C99"/>
    <mergeCell ref="D98:D99"/>
    <mergeCell ref="E98:G99"/>
    <mergeCell ref="H98:H99"/>
    <mergeCell ref="A96:A97"/>
    <mergeCell ref="B96:B97"/>
    <mergeCell ref="C96:C97"/>
    <mergeCell ref="D96:D97"/>
    <mergeCell ref="E96:G97"/>
    <mergeCell ref="H96:H97"/>
    <mergeCell ref="A94:A95"/>
    <mergeCell ref="B94:B95"/>
    <mergeCell ref="C94:C95"/>
    <mergeCell ref="D94:D95"/>
    <mergeCell ref="E94:G95"/>
    <mergeCell ref="H94:H95"/>
    <mergeCell ref="A92:A93"/>
    <mergeCell ref="A90:A91"/>
    <mergeCell ref="B90:B91"/>
    <mergeCell ref="C90:C91"/>
    <mergeCell ref="D90:D91"/>
    <mergeCell ref="E90:G91"/>
    <mergeCell ref="H90:H91"/>
    <mergeCell ref="B92:H93"/>
    <mergeCell ref="A88:A89"/>
    <mergeCell ref="B88:B89"/>
    <mergeCell ref="C88:C89"/>
    <mergeCell ref="D88:D89"/>
    <mergeCell ref="E88:G89"/>
    <mergeCell ref="H88:H89"/>
    <mergeCell ref="A86:A87"/>
    <mergeCell ref="B86:B87"/>
    <mergeCell ref="C86:C87"/>
    <mergeCell ref="D86:D87"/>
    <mergeCell ref="E86:G87"/>
    <mergeCell ref="H86:H87"/>
    <mergeCell ref="A84:A85"/>
    <mergeCell ref="B84:B85"/>
    <mergeCell ref="C84:C85"/>
    <mergeCell ref="D84:D85"/>
    <mergeCell ref="E84:G85"/>
    <mergeCell ref="H84:H85"/>
    <mergeCell ref="A82:A83"/>
    <mergeCell ref="B82:B83"/>
    <mergeCell ref="C82:C83"/>
    <mergeCell ref="D82:D83"/>
    <mergeCell ref="E82:G83"/>
    <mergeCell ref="H82:H83"/>
    <mergeCell ref="A80:A81"/>
    <mergeCell ref="B80:B81"/>
    <mergeCell ref="C80:C81"/>
    <mergeCell ref="D80:D81"/>
    <mergeCell ref="E80:G81"/>
    <mergeCell ref="H80:H81"/>
    <mergeCell ref="A78:A79"/>
    <mergeCell ref="B78:B79"/>
    <mergeCell ref="C78:C79"/>
    <mergeCell ref="D78:D79"/>
    <mergeCell ref="E78:G79"/>
    <mergeCell ref="H78:H79"/>
    <mergeCell ref="A76:A77"/>
    <mergeCell ref="B76:B77"/>
    <mergeCell ref="C76:C77"/>
    <mergeCell ref="D76:D77"/>
    <mergeCell ref="E76:G77"/>
    <mergeCell ref="H76:H77"/>
    <mergeCell ref="A74:A75"/>
    <mergeCell ref="B74:B75"/>
    <mergeCell ref="C74:C75"/>
    <mergeCell ref="D74:D75"/>
    <mergeCell ref="E74:G75"/>
    <mergeCell ref="H74:H75"/>
    <mergeCell ref="A72:A73"/>
    <mergeCell ref="B72:B73"/>
    <mergeCell ref="C72:C73"/>
    <mergeCell ref="D72:D73"/>
    <mergeCell ref="E72:G73"/>
    <mergeCell ref="H72:H73"/>
    <mergeCell ref="A70:A71"/>
    <mergeCell ref="B70:B71"/>
    <mergeCell ref="C70:C71"/>
    <mergeCell ref="D70:D71"/>
    <mergeCell ref="E70:G71"/>
    <mergeCell ref="H70:H71"/>
    <mergeCell ref="A66:A67"/>
    <mergeCell ref="B66:H67"/>
    <mergeCell ref="A68:A69"/>
    <mergeCell ref="B68:B69"/>
    <mergeCell ref="C68:C69"/>
    <mergeCell ref="D68:D69"/>
    <mergeCell ref="E68:G69"/>
    <mergeCell ref="H68:H69"/>
    <mergeCell ref="H62:H63"/>
    <mergeCell ref="A64:A65"/>
    <mergeCell ref="B64:B65"/>
    <mergeCell ref="C64:C65"/>
    <mergeCell ref="D64:D65"/>
    <mergeCell ref="E64:G65"/>
    <mergeCell ref="H64:H65"/>
    <mergeCell ref="E61:G61"/>
    <mergeCell ref="A62:A63"/>
    <mergeCell ref="B62:B63"/>
    <mergeCell ref="C62:C63"/>
    <mergeCell ref="D62:D63"/>
    <mergeCell ref="E62:G63"/>
    <mergeCell ref="A59:A60"/>
    <mergeCell ref="B59:B60"/>
    <mergeCell ref="C59:C60"/>
    <mergeCell ref="D59:D60"/>
    <mergeCell ref="E59:G60"/>
    <mergeCell ref="H59:H60"/>
    <mergeCell ref="A57:A58"/>
    <mergeCell ref="B57:B58"/>
    <mergeCell ref="C57:C58"/>
    <mergeCell ref="D57:D58"/>
    <mergeCell ref="E57:G58"/>
    <mergeCell ref="H57:H58"/>
    <mergeCell ref="A55:A56"/>
    <mergeCell ref="B55:B56"/>
    <mergeCell ref="C55:C56"/>
    <mergeCell ref="D55:D56"/>
    <mergeCell ref="E55:G56"/>
    <mergeCell ref="H55:H56"/>
    <mergeCell ref="A53:A54"/>
    <mergeCell ref="B53:B54"/>
    <mergeCell ref="C53:C54"/>
    <mergeCell ref="D53:D54"/>
    <mergeCell ref="E53:G54"/>
    <mergeCell ref="H53:H54"/>
    <mergeCell ref="A51:A52"/>
    <mergeCell ref="B51:B52"/>
    <mergeCell ref="C51:C52"/>
    <mergeCell ref="D51:D52"/>
    <mergeCell ref="E51:G52"/>
    <mergeCell ref="H51:H52"/>
    <mergeCell ref="A49:A50"/>
    <mergeCell ref="B49:B50"/>
    <mergeCell ref="C49:C50"/>
    <mergeCell ref="D49:D50"/>
    <mergeCell ref="E49:G50"/>
    <mergeCell ref="H49:H50"/>
    <mergeCell ref="A47:A48"/>
    <mergeCell ref="B47:B48"/>
    <mergeCell ref="C47:C48"/>
    <mergeCell ref="D47:D48"/>
    <mergeCell ref="E47:G48"/>
    <mergeCell ref="H47:H48"/>
    <mergeCell ref="A45:A46"/>
    <mergeCell ref="B45:B46"/>
    <mergeCell ref="C45:C46"/>
    <mergeCell ref="D45:D46"/>
    <mergeCell ref="E45:G46"/>
    <mergeCell ref="H45:H46"/>
    <mergeCell ref="B43:H44"/>
    <mergeCell ref="E42:G42"/>
    <mergeCell ref="A43:A44"/>
    <mergeCell ref="A40:A41"/>
    <mergeCell ref="B40:B41"/>
    <mergeCell ref="C40:C41"/>
    <mergeCell ref="D40:D41"/>
    <mergeCell ref="E40:G41"/>
    <mergeCell ref="H40:H41"/>
    <mergeCell ref="A38:A39"/>
    <mergeCell ref="B38:B39"/>
    <mergeCell ref="C38:C39"/>
    <mergeCell ref="D38:D39"/>
    <mergeCell ref="E38:G39"/>
    <mergeCell ref="H38:H39"/>
    <mergeCell ref="A36:A37"/>
    <mergeCell ref="B36:B37"/>
    <mergeCell ref="C36:C37"/>
    <mergeCell ref="D36:D37"/>
    <mergeCell ref="E36:G37"/>
    <mergeCell ref="H36:H37"/>
    <mergeCell ref="A34:A35"/>
    <mergeCell ref="B34:B35"/>
    <mergeCell ref="C34:C35"/>
    <mergeCell ref="D34:D35"/>
    <mergeCell ref="E34:G35"/>
    <mergeCell ref="H34:H35"/>
    <mergeCell ref="A32:A33"/>
    <mergeCell ref="B32:B33"/>
    <mergeCell ref="C32:C33"/>
    <mergeCell ref="D32:D33"/>
    <mergeCell ref="E32:G33"/>
    <mergeCell ref="H32:H33"/>
    <mergeCell ref="A30:A31"/>
    <mergeCell ref="B30:B31"/>
    <mergeCell ref="C30:C31"/>
    <mergeCell ref="D30:D31"/>
    <mergeCell ref="E30:G31"/>
    <mergeCell ref="H30:H31"/>
    <mergeCell ref="A28:A29"/>
    <mergeCell ref="B28:B29"/>
    <mergeCell ref="C28:C29"/>
    <mergeCell ref="D28:D29"/>
    <mergeCell ref="E28:G29"/>
    <mergeCell ref="H28:H29"/>
    <mergeCell ref="A26:A27"/>
    <mergeCell ref="B26:B27"/>
    <mergeCell ref="C26:C27"/>
    <mergeCell ref="D26:D27"/>
    <mergeCell ref="E26:G27"/>
    <mergeCell ref="H26:H27"/>
    <mergeCell ref="A24:A25"/>
    <mergeCell ref="B24:B25"/>
    <mergeCell ref="C24:C25"/>
    <mergeCell ref="D24:D25"/>
    <mergeCell ref="E24:G25"/>
    <mergeCell ref="H24:H25"/>
    <mergeCell ref="A22:A23"/>
    <mergeCell ref="B22:B23"/>
    <mergeCell ref="C22:C23"/>
    <mergeCell ref="D22:D23"/>
    <mergeCell ref="E22:G23"/>
    <mergeCell ref="H22:H23"/>
    <mergeCell ref="A20:A21"/>
    <mergeCell ref="B20:B21"/>
    <mergeCell ref="C20:C21"/>
    <mergeCell ref="D20:D21"/>
    <mergeCell ref="E20:G21"/>
    <mergeCell ref="H20:H21"/>
    <mergeCell ref="A18:A19"/>
    <mergeCell ref="B18:B19"/>
    <mergeCell ref="C18:C19"/>
    <mergeCell ref="D18:D19"/>
    <mergeCell ref="E18:G19"/>
    <mergeCell ref="H18:H19"/>
    <mergeCell ref="A16:A17"/>
    <mergeCell ref="B16:B17"/>
    <mergeCell ref="C16:C17"/>
    <mergeCell ref="D16:D17"/>
    <mergeCell ref="E16:G17"/>
    <mergeCell ref="H16:H17"/>
    <mergeCell ref="A14:A15"/>
    <mergeCell ref="B14:B15"/>
    <mergeCell ref="C14:C15"/>
    <mergeCell ref="D14:D15"/>
    <mergeCell ref="E14:G15"/>
    <mergeCell ref="H14:H15"/>
    <mergeCell ref="A12:A13"/>
    <mergeCell ref="B12:B13"/>
    <mergeCell ref="C12:C13"/>
    <mergeCell ref="D12:D13"/>
    <mergeCell ref="E12:G13"/>
    <mergeCell ref="H12:H13"/>
    <mergeCell ref="A8:A9"/>
    <mergeCell ref="B8:H9"/>
    <mergeCell ref="A10:A11"/>
    <mergeCell ref="B10:B11"/>
    <mergeCell ref="C10:C11"/>
    <mergeCell ref="D10:D11"/>
    <mergeCell ref="E10:G11"/>
    <mergeCell ref="H10:H11"/>
    <mergeCell ref="A6:A7"/>
    <mergeCell ref="B6:B7"/>
    <mergeCell ref="C6:C7"/>
    <mergeCell ref="D6:D7"/>
    <mergeCell ref="E6:G7"/>
    <mergeCell ref="H6:H7"/>
    <mergeCell ref="A3:H3"/>
    <mergeCell ref="A4:A5"/>
    <mergeCell ref="B4:B5"/>
    <mergeCell ref="C4:C5"/>
    <mergeCell ref="D4:D5"/>
    <mergeCell ref="E4:G5"/>
    <mergeCell ref="H4:H5"/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</mergeCells>
  <phoneticPr fontId="1" type="noConversion"/>
  <pageMargins left="0" right="0" top="0" bottom="0" header="0" footer="0"/>
  <pageSetup paperSize="9" scale="3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41"/>
  <sheetViews>
    <sheetView showGridLines="0" zoomScale="115" zoomScaleNormal="115" workbookViewId="0">
      <pane xSplit="8" ySplit="2" topLeftCell="I96" activePane="bottomRight" state="frozen"/>
      <selection pane="topRight" activeCell="I1" sqref="I1"/>
      <selection pane="bottomLeft" activeCell="A3" sqref="A3"/>
      <selection pane="bottomRight" activeCell="E104" sqref="E104:G105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0" max="10" width="13.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  <col min="18" max="18" width="9.5" bestFit="1" customWidth="1"/>
  </cols>
  <sheetData>
    <row r="1" spans="1:18" ht="35.25" customHeight="1" thickBot="1">
      <c r="A1" s="388" t="s">
        <v>3329</v>
      </c>
      <c r="B1" s="389"/>
      <c r="C1" s="402" t="s">
        <v>27</v>
      </c>
      <c r="D1" s="403"/>
      <c r="E1" s="21" t="s">
        <v>26</v>
      </c>
      <c r="F1" s="20">
        <f>H1/31</f>
        <v>859677.41935483867</v>
      </c>
      <c r="G1" s="21" t="s">
        <v>4</v>
      </c>
      <c r="H1" s="22">
        <f>SUM(D4:D141)</f>
        <v>26650000</v>
      </c>
      <c r="I1" s="392"/>
      <c r="J1" s="338"/>
      <c r="K1" s="394"/>
      <c r="L1" s="396"/>
      <c r="M1" s="377"/>
      <c r="N1" s="379"/>
      <c r="O1" s="381"/>
      <c r="P1" s="383"/>
      <c r="Q1" s="377"/>
      <c r="R1" s="376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385" t="s">
        <v>25</v>
      </c>
      <c r="F2" s="386"/>
      <c r="G2" s="387"/>
      <c r="H2" s="25" t="s">
        <v>5</v>
      </c>
      <c r="I2" s="393"/>
      <c r="J2" s="333"/>
      <c r="K2" s="395"/>
      <c r="L2" s="397"/>
      <c r="M2" s="378"/>
      <c r="N2" s="380"/>
      <c r="O2" s="382"/>
      <c r="P2" s="384"/>
      <c r="Q2" s="378"/>
      <c r="R2" s="376"/>
    </row>
    <row r="3" spans="1:18" ht="36" customHeight="1">
      <c r="A3" s="441" t="s">
        <v>3365</v>
      </c>
      <c r="B3" s="442"/>
      <c r="C3" s="442"/>
      <c r="D3" s="442"/>
      <c r="E3" s="442"/>
      <c r="F3" s="442"/>
      <c r="G3" s="442"/>
      <c r="H3" s="443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322">
        <v>45383</v>
      </c>
      <c r="B4" s="439" t="s">
        <v>3332</v>
      </c>
      <c r="C4" s="341"/>
      <c r="D4" s="326">
        <v>180000</v>
      </c>
      <c r="E4" s="327" t="s">
        <v>3334</v>
      </c>
      <c r="F4" s="328"/>
      <c r="G4" s="329"/>
      <c r="H4" s="398" t="s">
        <v>3337</v>
      </c>
      <c r="J4" s="43"/>
    </row>
    <row r="5" spans="1:18" ht="16.5" customHeight="1">
      <c r="A5" s="323"/>
      <c r="B5" s="440"/>
      <c r="C5" s="342"/>
      <c r="D5" s="326"/>
      <c r="E5" s="330"/>
      <c r="F5" s="331"/>
      <c r="G5" s="332"/>
      <c r="H5" s="399"/>
      <c r="J5" s="43"/>
    </row>
    <row r="6" spans="1:18" ht="16.5" customHeight="1">
      <c r="A6" s="322">
        <v>45384</v>
      </c>
      <c r="B6" s="439" t="s">
        <v>3333</v>
      </c>
      <c r="C6" s="341"/>
      <c r="D6" s="343">
        <v>1350000</v>
      </c>
      <c r="E6" s="562" t="s">
        <v>3335</v>
      </c>
      <c r="F6" s="563"/>
      <c r="G6" s="564"/>
      <c r="H6" s="398" t="s">
        <v>3337</v>
      </c>
    </row>
    <row r="7" spans="1:18" ht="16.5" customHeight="1">
      <c r="A7" s="323"/>
      <c r="B7" s="440"/>
      <c r="C7" s="342"/>
      <c r="D7" s="344"/>
      <c r="E7" s="565"/>
      <c r="F7" s="566"/>
      <c r="G7" s="567"/>
      <c r="H7" s="399"/>
    </row>
    <row r="8" spans="1:18" ht="16.5" customHeight="1">
      <c r="A8" s="322">
        <v>45384</v>
      </c>
      <c r="B8" s="444" t="s">
        <v>3376</v>
      </c>
      <c r="C8" s="341"/>
      <c r="D8" s="326">
        <v>610000</v>
      </c>
      <c r="E8" s="562" t="s">
        <v>3336</v>
      </c>
      <c r="F8" s="582"/>
      <c r="G8" s="583"/>
      <c r="H8" s="398" t="s">
        <v>145</v>
      </c>
      <c r="J8" s="48"/>
    </row>
    <row r="9" spans="1:18" ht="16.5" customHeight="1">
      <c r="A9" s="323"/>
      <c r="B9" s="445"/>
      <c r="C9" s="342"/>
      <c r="D9" s="326"/>
      <c r="E9" s="584"/>
      <c r="F9" s="585"/>
      <c r="G9" s="586"/>
      <c r="H9" s="399"/>
    </row>
    <row r="10" spans="1:18" ht="16.5" customHeight="1">
      <c r="A10" s="322">
        <v>45386</v>
      </c>
      <c r="B10" s="496" t="s">
        <v>3339</v>
      </c>
      <c r="C10" s="341"/>
      <c r="D10" s="326">
        <v>130000</v>
      </c>
      <c r="E10" s="327" t="s">
        <v>3340</v>
      </c>
      <c r="F10" s="328"/>
      <c r="G10" s="329"/>
      <c r="H10" s="360" t="s">
        <v>3338</v>
      </c>
    </row>
    <row r="11" spans="1:18" ht="26.25" customHeight="1">
      <c r="A11" s="323"/>
      <c r="B11" s="497"/>
      <c r="C11" s="342"/>
      <c r="D11" s="326"/>
      <c r="E11" s="330"/>
      <c r="F11" s="331"/>
      <c r="G11" s="332"/>
      <c r="H11" s="359"/>
    </row>
    <row r="12" spans="1:18" ht="16.5" customHeight="1">
      <c r="A12" s="322">
        <v>45387</v>
      </c>
      <c r="B12" s="496" t="s">
        <v>3341</v>
      </c>
      <c r="C12" s="324"/>
      <c r="D12" s="326">
        <v>130000</v>
      </c>
      <c r="E12" s="327" t="s">
        <v>3342</v>
      </c>
      <c r="F12" s="328"/>
      <c r="G12" s="329"/>
      <c r="H12" s="360" t="s">
        <v>3343</v>
      </c>
      <c r="J12" s="57"/>
    </row>
    <row r="13" spans="1:18" ht="16.5" customHeight="1">
      <c r="A13" s="323"/>
      <c r="B13" s="497"/>
      <c r="C13" s="325"/>
      <c r="D13" s="326"/>
      <c r="E13" s="330"/>
      <c r="F13" s="331"/>
      <c r="G13" s="332"/>
      <c r="H13" s="359"/>
      <c r="J13" s="57"/>
    </row>
    <row r="14" spans="1:18" ht="16.5" customHeight="1">
      <c r="A14" s="322">
        <v>45387</v>
      </c>
      <c r="B14" s="596"/>
      <c r="C14" s="341"/>
      <c r="D14" s="343">
        <v>130000</v>
      </c>
      <c r="E14" s="327"/>
      <c r="F14" s="328"/>
      <c r="G14" s="329"/>
      <c r="H14" s="400" t="s">
        <v>3345</v>
      </c>
    </row>
    <row r="15" spans="1:18" ht="16.5" customHeight="1">
      <c r="A15" s="323"/>
      <c r="B15" s="597"/>
      <c r="C15" s="342"/>
      <c r="D15" s="344"/>
      <c r="E15" s="330"/>
      <c r="F15" s="331"/>
      <c r="G15" s="332"/>
      <c r="H15" s="401"/>
    </row>
    <row r="16" spans="1:18" ht="16.5" customHeight="1">
      <c r="A16" s="322">
        <v>45388</v>
      </c>
      <c r="B16" s="596" t="s">
        <v>3348</v>
      </c>
      <c r="C16" s="324"/>
      <c r="D16" s="343">
        <v>530000</v>
      </c>
      <c r="E16" s="327"/>
      <c r="F16" s="345"/>
      <c r="G16" s="346"/>
      <c r="H16" s="400" t="s">
        <v>3347</v>
      </c>
    </row>
    <row r="17" spans="1:10" ht="41.25" customHeight="1">
      <c r="A17" s="323"/>
      <c r="B17" s="597"/>
      <c r="C17" s="325"/>
      <c r="D17" s="344"/>
      <c r="E17" s="347"/>
      <c r="F17" s="348"/>
      <c r="G17" s="349"/>
      <c r="H17" s="401"/>
    </row>
    <row r="18" spans="1:10" ht="16.5" customHeight="1">
      <c r="A18" s="322">
        <v>45388</v>
      </c>
      <c r="B18" s="439" t="s">
        <v>3349</v>
      </c>
      <c r="C18" s="341"/>
      <c r="D18" s="343">
        <v>240000</v>
      </c>
      <c r="E18" s="327" t="s">
        <v>3368</v>
      </c>
      <c r="F18" s="328"/>
      <c r="G18" s="329"/>
      <c r="H18" s="400" t="s">
        <v>3345</v>
      </c>
    </row>
    <row r="19" spans="1:10" ht="45" customHeight="1">
      <c r="A19" s="323"/>
      <c r="B19" s="440"/>
      <c r="C19" s="342"/>
      <c r="D19" s="344"/>
      <c r="E19" s="330"/>
      <c r="F19" s="331"/>
      <c r="G19" s="332"/>
      <c r="H19" s="401"/>
    </row>
    <row r="20" spans="1:10" ht="45" customHeight="1">
      <c r="A20" s="94">
        <v>45388</v>
      </c>
      <c r="B20" s="97" t="s">
        <v>3369</v>
      </c>
      <c r="C20" s="95"/>
      <c r="D20" s="96">
        <v>155000</v>
      </c>
      <c r="E20" s="627"/>
      <c r="F20" s="628"/>
      <c r="G20" s="629"/>
      <c r="H20" s="98" t="s">
        <v>3370</v>
      </c>
    </row>
    <row r="21" spans="1:10" ht="16.5" customHeight="1">
      <c r="A21" s="322">
        <v>45388</v>
      </c>
      <c r="B21" s="496" t="s">
        <v>3351</v>
      </c>
      <c r="C21" s="325"/>
      <c r="D21" s="326">
        <v>75000</v>
      </c>
      <c r="E21" s="327"/>
      <c r="F21" s="328"/>
      <c r="G21" s="329"/>
      <c r="H21" s="400" t="s">
        <v>3035</v>
      </c>
    </row>
    <row r="22" spans="1:10" ht="18.75" customHeight="1">
      <c r="A22" s="323"/>
      <c r="B22" s="497"/>
      <c r="C22" s="325"/>
      <c r="D22" s="326"/>
      <c r="E22" s="330"/>
      <c r="F22" s="331"/>
      <c r="G22" s="332"/>
      <c r="H22" s="401"/>
    </row>
    <row r="23" spans="1:10" ht="16.5" customHeight="1">
      <c r="A23" s="322">
        <v>45388</v>
      </c>
      <c r="B23" s="496" t="s">
        <v>3350</v>
      </c>
      <c r="C23" s="341"/>
      <c r="D23" s="343">
        <v>25000</v>
      </c>
      <c r="E23" s="327" t="s">
        <v>3367</v>
      </c>
      <c r="F23" s="345"/>
      <c r="G23" s="346"/>
      <c r="H23" s="359" t="s">
        <v>3346</v>
      </c>
    </row>
    <row r="24" spans="1:10" ht="16.5" customHeight="1">
      <c r="A24" s="323"/>
      <c r="B24" s="497"/>
      <c r="C24" s="352"/>
      <c r="D24" s="344"/>
      <c r="E24" s="347"/>
      <c r="F24" s="348"/>
      <c r="G24" s="349"/>
      <c r="H24" s="359"/>
    </row>
    <row r="25" spans="1:10" ht="16.5" customHeight="1">
      <c r="A25" s="322">
        <v>45388</v>
      </c>
      <c r="B25" s="496" t="s">
        <v>3344</v>
      </c>
      <c r="C25" s="324"/>
      <c r="D25" s="326">
        <v>270000</v>
      </c>
      <c r="E25" s="327" t="s">
        <v>3366</v>
      </c>
      <c r="F25" s="328"/>
      <c r="G25" s="329"/>
      <c r="H25" s="360" t="s">
        <v>3345</v>
      </c>
    </row>
    <row r="26" spans="1:10" ht="16.5" customHeight="1">
      <c r="A26" s="323"/>
      <c r="B26" s="497"/>
      <c r="C26" s="325"/>
      <c r="D26" s="326"/>
      <c r="E26" s="330"/>
      <c r="F26" s="331"/>
      <c r="G26" s="332"/>
      <c r="H26" s="359"/>
      <c r="J26" t="s">
        <v>995</v>
      </c>
    </row>
    <row r="27" spans="1:10">
      <c r="A27" s="322"/>
      <c r="B27" s="541" t="s">
        <v>3387</v>
      </c>
      <c r="C27" s="542"/>
      <c r="D27" s="542"/>
      <c r="E27" s="542"/>
      <c r="F27" s="542"/>
      <c r="G27" s="542"/>
      <c r="H27" s="543"/>
    </row>
    <row r="28" spans="1:10" ht="62.25" customHeight="1">
      <c r="A28" s="323"/>
      <c r="B28" s="544"/>
      <c r="C28" s="545"/>
      <c r="D28" s="545"/>
      <c r="E28" s="545"/>
      <c r="F28" s="545"/>
      <c r="G28" s="545"/>
      <c r="H28" s="546"/>
    </row>
    <row r="29" spans="1:10" ht="16.5" customHeight="1">
      <c r="A29" s="322">
        <v>45390</v>
      </c>
      <c r="B29" s="324" t="s">
        <v>3352</v>
      </c>
      <c r="C29" s="324"/>
      <c r="D29" s="326">
        <v>30000</v>
      </c>
      <c r="E29" s="337" t="s">
        <v>3353</v>
      </c>
      <c r="F29" s="326"/>
      <c r="G29" s="326"/>
      <c r="H29" s="360" t="s">
        <v>3354</v>
      </c>
    </row>
    <row r="30" spans="1:10">
      <c r="A30" s="323"/>
      <c r="B30" s="325"/>
      <c r="C30" s="325"/>
      <c r="D30" s="326"/>
      <c r="E30" s="326"/>
      <c r="F30" s="326"/>
      <c r="G30" s="326"/>
      <c r="H30" s="359"/>
    </row>
    <row r="31" spans="1:10">
      <c r="A31" s="322">
        <v>45390</v>
      </c>
      <c r="B31" s="324" t="s">
        <v>3355</v>
      </c>
      <c r="C31" s="325"/>
      <c r="D31" s="326">
        <v>10000</v>
      </c>
      <c r="E31" s="337" t="s">
        <v>3356</v>
      </c>
      <c r="F31" s="326"/>
      <c r="G31" s="326"/>
      <c r="H31" s="359" t="s">
        <v>3358</v>
      </c>
    </row>
    <row r="32" spans="1:10">
      <c r="A32" s="323"/>
      <c r="B32" s="325"/>
      <c r="C32" s="325"/>
      <c r="D32" s="326"/>
      <c r="E32" s="326"/>
      <c r="F32" s="326"/>
      <c r="G32" s="326"/>
      <c r="H32" s="359"/>
    </row>
    <row r="33" spans="1:8">
      <c r="A33" s="322">
        <v>45391</v>
      </c>
      <c r="B33" s="324" t="s">
        <v>3357</v>
      </c>
      <c r="C33" s="324"/>
      <c r="D33" s="326">
        <v>210000</v>
      </c>
      <c r="E33" s="337"/>
      <c r="F33" s="326"/>
      <c r="G33" s="326"/>
      <c r="H33" s="360" t="s">
        <v>3358</v>
      </c>
    </row>
    <row r="34" spans="1:8">
      <c r="A34" s="323"/>
      <c r="B34" s="325"/>
      <c r="C34" s="325"/>
      <c r="D34" s="326"/>
      <c r="E34" s="326"/>
      <c r="F34" s="326"/>
      <c r="G34" s="326"/>
      <c r="H34" s="359"/>
    </row>
    <row r="35" spans="1:8">
      <c r="A35" s="322">
        <v>45391</v>
      </c>
      <c r="B35" s="324" t="s">
        <v>3361</v>
      </c>
      <c r="C35" s="325"/>
      <c r="D35" s="326">
        <v>32000</v>
      </c>
      <c r="E35" s="337" t="s">
        <v>3362</v>
      </c>
      <c r="F35" s="326"/>
      <c r="G35" s="326"/>
      <c r="H35" s="359" t="s">
        <v>3363</v>
      </c>
    </row>
    <row r="36" spans="1:8">
      <c r="A36" s="323"/>
      <c r="B36" s="325"/>
      <c r="C36" s="325"/>
      <c r="D36" s="326"/>
      <c r="E36" s="326"/>
      <c r="F36" s="326"/>
      <c r="G36" s="326"/>
      <c r="H36" s="359"/>
    </row>
    <row r="37" spans="1:8">
      <c r="A37" s="322">
        <v>45392</v>
      </c>
      <c r="B37" s="324" t="s">
        <v>3360</v>
      </c>
      <c r="C37" s="325"/>
      <c r="D37" s="326">
        <v>765000</v>
      </c>
      <c r="E37" s="574" t="s">
        <v>3359</v>
      </c>
      <c r="F37" s="575"/>
      <c r="G37" s="575"/>
      <c r="H37" s="359" t="s">
        <v>3364</v>
      </c>
    </row>
    <row r="38" spans="1:8" ht="42.75" customHeight="1">
      <c r="A38" s="323"/>
      <c r="B38" s="325"/>
      <c r="C38" s="325"/>
      <c r="D38" s="326"/>
      <c r="E38" s="575"/>
      <c r="F38" s="575"/>
      <c r="G38" s="575"/>
      <c r="H38" s="359"/>
    </row>
    <row r="39" spans="1:8">
      <c r="A39" s="322">
        <v>45393</v>
      </c>
      <c r="B39" s="324" t="s">
        <v>3371</v>
      </c>
      <c r="C39" s="325"/>
      <c r="D39" s="326">
        <v>275000</v>
      </c>
      <c r="E39" s="337" t="s">
        <v>3375</v>
      </c>
      <c r="F39" s="326"/>
      <c r="G39" s="326"/>
      <c r="H39" s="359" t="s">
        <v>145</v>
      </c>
    </row>
    <row r="40" spans="1:8">
      <c r="A40" s="323"/>
      <c r="B40" s="325"/>
      <c r="C40" s="325"/>
      <c r="D40" s="326"/>
      <c r="E40" s="326"/>
      <c r="F40" s="326"/>
      <c r="G40" s="326"/>
      <c r="H40" s="359"/>
    </row>
    <row r="41" spans="1:8">
      <c r="A41" s="322">
        <v>45393</v>
      </c>
      <c r="B41" s="325" t="s">
        <v>3372</v>
      </c>
      <c r="C41" s="325"/>
      <c r="D41" s="326">
        <v>470000</v>
      </c>
      <c r="E41" s="337" t="s">
        <v>3374</v>
      </c>
      <c r="F41" s="326"/>
      <c r="G41" s="326"/>
      <c r="H41" s="359" t="s">
        <v>3373</v>
      </c>
    </row>
    <row r="42" spans="1:8" ht="30.75" customHeight="1">
      <c r="A42" s="323"/>
      <c r="B42" s="325"/>
      <c r="C42" s="325"/>
      <c r="D42" s="326"/>
      <c r="E42" s="326"/>
      <c r="F42" s="326"/>
      <c r="G42" s="326"/>
      <c r="H42" s="359"/>
    </row>
    <row r="43" spans="1:8" ht="15.75" customHeight="1">
      <c r="A43" s="322">
        <v>45394</v>
      </c>
      <c r="B43" s="324" t="s">
        <v>3379</v>
      </c>
      <c r="C43" s="325"/>
      <c r="D43" s="326">
        <v>1120000</v>
      </c>
      <c r="E43" s="574" t="s">
        <v>3380</v>
      </c>
      <c r="F43" s="575"/>
      <c r="G43" s="575"/>
      <c r="H43" s="359" t="s">
        <v>3364</v>
      </c>
    </row>
    <row r="44" spans="1:8">
      <c r="A44" s="323"/>
      <c r="B44" s="325"/>
      <c r="C44" s="325"/>
      <c r="D44" s="326"/>
      <c r="E44" s="575"/>
      <c r="F44" s="575"/>
      <c r="G44" s="575"/>
      <c r="H44" s="359"/>
    </row>
    <row r="45" spans="1:8" ht="36" customHeight="1">
      <c r="A45" s="90">
        <v>45394</v>
      </c>
      <c r="B45" s="92" t="s">
        <v>3383</v>
      </c>
      <c r="C45" s="92"/>
      <c r="D45" s="91">
        <v>330000</v>
      </c>
      <c r="E45" s="627" t="s">
        <v>3384</v>
      </c>
      <c r="F45" s="628"/>
      <c r="G45" s="629"/>
      <c r="H45" s="93" t="s">
        <v>3378</v>
      </c>
    </row>
    <row r="46" spans="1:8">
      <c r="A46" s="335">
        <v>45394</v>
      </c>
      <c r="B46" s="341" t="s">
        <v>3382</v>
      </c>
      <c r="C46" s="353"/>
      <c r="D46" s="343">
        <v>88000</v>
      </c>
      <c r="E46" s="337" t="s">
        <v>3381</v>
      </c>
      <c r="F46" s="731"/>
      <c r="G46" s="731"/>
      <c r="H46" s="398" t="s">
        <v>3377</v>
      </c>
    </row>
    <row r="47" spans="1:8" s="30" customFormat="1">
      <c r="A47" s="336"/>
      <c r="B47" s="342"/>
      <c r="C47" s="352"/>
      <c r="D47" s="344"/>
      <c r="E47" s="731"/>
      <c r="F47" s="731"/>
      <c r="G47" s="731"/>
      <c r="H47" s="399"/>
    </row>
    <row r="48" spans="1:8">
      <c r="A48" s="322">
        <v>45395</v>
      </c>
      <c r="B48" s="324" t="s">
        <v>3386</v>
      </c>
      <c r="C48" s="325"/>
      <c r="D48" s="326">
        <v>170000</v>
      </c>
      <c r="E48" s="337"/>
      <c r="F48" s="326"/>
      <c r="G48" s="326"/>
      <c r="H48" s="400" t="s">
        <v>3385</v>
      </c>
    </row>
    <row r="49" spans="1:8">
      <c r="A49" s="323"/>
      <c r="B49" s="325"/>
      <c r="C49" s="325"/>
      <c r="D49" s="326"/>
      <c r="E49" s="326"/>
      <c r="F49" s="326"/>
      <c r="G49" s="326"/>
      <c r="H49" s="401"/>
    </row>
    <row r="50" spans="1:8">
      <c r="A50" s="322">
        <v>45395</v>
      </c>
      <c r="B50" s="325" t="s">
        <v>3388</v>
      </c>
      <c r="C50" s="325"/>
      <c r="D50" s="326">
        <v>5720000</v>
      </c>
      <c r="E50" s="337" t="s">
        <v>3389</v>
      </c>
      <c r="F50" s="326"/>
      <c r="G50" s="326"/>
      <c r="H50" s="400" t="s">
        <v>145</v>
      </c>
    </row>
    <row r="51" spans="1:8">
      <c r="A51" s="323"/>
      <c r="B51" s="325"/>
      <c r="C51" s="325"/>
      <c r="D51" s="326"/>
      <c r="E51" s="326"/>
      <c r="F51" s="326"/>
      <c r="G51" s="326"/>
      <c r="H51" s="401"/>
    </row>
    <row r="52" spans="1:8">
      <c r="A52" s="322"/>
      <c r="B52" s="756" t="s">
        <v>3433</v>
      </c>
      <c r="C52" s="757"/>
      <c r="D52" s="757"/>
      <c r="E52" s="757"/>
      <c r="F52" s="757"/>
      <c r="G52" s="757"/>
      <c r="H52" s="758"/>
    </row>
    <row r="53" spans="1:8" ht="40.5" customHeight="1">
      <c r="A53" s="323"/>
      <c r="B53" s="759"/>
      <c r="C53" s="760"/>
      <c r="D53" s="760"/>
      <c r="E53" s="760"/>
      <c r="F53" s="760"/>
      <c r="G53" s="760"/>
      <c r="H53" s="761"/>
    </row>
    <row r="54" spans="1:8">
      <c r="A54" s="322">
        <v>45398</v>
      </c>
      <c r="B54" s="324" t="s">
        <v>3392</v>
      </c>
      <c r="C54" s="325"/>
      <c r="D54" s="326">
        <v>840000</v>
      </c>
      <c r="E54" s="574" t="s">
        <v>3390</v>
      </c>
      <c r="F54" s="575"/>
      <c r="G54" s="575"/>
      <c r="H54" s="360" t="s">
        <v>3391</v>
      </c>
    </row>
    <row r="55" spans="1:8" s="30" customFormat="1">
      <c r="A55" s="323"/>
      <c r="B55" s="325"/>
      <c r="C55" s="325"/>
      <c r="D55" s="326"/>
      <c r="E55" s="575"/>
      <c r="F55" s="575"/>
      <c r="G55" s="575"/>
      <c r="H55" s="359"/>
    </row>
    <row r="56" spans="1:8">
      <c r="A56" s="322">
        <v>45398</v>
      </c>
      <c r="B56" s="324" t="s">
        <v>3393</v>
      </c>
      <c r="C56" s="325"/>
      <c r="D56" s="326">
        <v>70000</v>
      </c>
      <c r="E56" s="326" t="s">
        <v>3397</v>
      </c>
      <c r="F56" s="326"/>
      <c r="G56" s="326"/>
      <c r="H56" s="360" t="s">
        <v>3394</v>
      </c>
    </row>
    <row r="57" spans="1:8">
      <c r="A57" s="323"/>
      <c r="B57" s="325"/>
      <c r="C57" s="325"/>
      <c r="D57" s="326"/>
      <c r="E57" s="326"/>
      <c r="F57" s="326"/>
      <c r="G57" s="326"/>
      <c r="H57" s="359"/>
    </row>
    <row r="58" spans="1:8">
      <c r="A58" s="322">
        <v>45400</v>
      </c>
      <c r="B58" s="325" t="s">
        <v>3395</v>
      </c>
      <c r="C58" s="325"/>
      <c r="D58" s="326">
        <v>140000</v>
      </c>
      <c r="E58" s="337" t="s">
        <v>3396</v>
      </c>
      <c r="F58" s="326"/>
      <c r="G58" s="326"/>
      <c r="H58" s="360" t="s">
        <v>3197</v>
      </c>
    </row>
    <row r="59" spans="1:8" s="30" customFormat="1">
      <c r="A59" s="323"/>
      <c r="B59" s="325"/>
      <c r="C59" s="325"/>
      <c r="D59" s="326"/>
      <c r="E59" s="326"/>
      <c r="F59" s="326"/>
      <c r="G59" s="326"/>
      <c r="H59" s="359"/>
    </row>
    <row r="60" spans="1:8">
      <c r="A60" s="322">
        <v>45400</v>
      </c>
      <c r="B60" s="325" t="s">
        <v>3399</v>
      </c>
      <c r="C60" s="325"/>
      <c r="D60" s="326">
        <v>470000</v>
      </c>
      <c r="E60" s="337" t="s">
        <v>3398</v>
      </c>
      <c r="F60" s="326"/>
      <c r="G60" s="326"/>
      <c r="H60" s="360" t="s">
        <v>3400</v>
      </c>
    </row>
    <row r="61" spans="1:8">
      <c r="A61" s="323"/>
      <c r="B61" s="325"/>
      <c r="C61" s="325"/>
      <c r="D61" s="326"/>
      <c r="E61" s="326"/>
      <c r="F61" s="326"/>
      <c r="G61" s="326"/>
      <c r="H61" s="359"/>
    </row>
    <row r="62" spans="1:8" ht="16.5" customHeight="1">
      <c r="A62" s="322">
        <v>45400</v>
      </c>
      <c r="B62" s="324" t="s">
        <v>3406</v>
      </c>
      <c r="C62" s="324"/>
      <c r="D62" s="326">
        <v>220000</v>
      </c>
      <c r="E62" s="327" t="s">
        <v>3407</v>
      </c>
      <c r="F62" s="328"/>
      <c r="G62" s="329"/>
      <c r="H62" s="360" t="s">
        <v>3400</v>
      </c>
    </row>
    <row r="63" spans="1:8" ht="46.5" customHeight="1">
      <c r="A63" s="323"/>
      <c r="B63" s="325"/>
      <c r="C63" s="325"/>
      <c r="D63" s="326"/>
      <c r="E63" s="330"/>
      <c r="F63" s="331"/>
      <c r="G63" s="332"/>
      <c r="H63" s="359"/>
    </row>
    <row r="64" spans="1:8" ht="16.5" customHeight="1">
      <c r="A64" s="322">
        <v>45400</v>
      </c>
      <c r="B64" s="324" t="s">
        <v>3402</v>
      </c>
      <c r="C64" s="325"/>
      <c r="D64" s="326">
        <v>170000</v>
      </c>
      <c r="E64" s="326" t="s">
        <v>3401</v>
      </c>
      <c r="F64" s="326"/>
      <c r="G64" s="326"/>
      <c r="H64" s="360" t="s">
        <v>145</v>
      </c>
    </row>
    <row r="65" spans="1:10" ht="16.5" customHeight="1">
      <c r="A65" s="323"/>
      <c r="B65" s="325"/>
      <c r="C65" s="325"/>
      <c r="D65" s="326"/>
      <c r="E65" s="326"/>
      <c r="F65" s="326"/>
      <c r="G65" s="326"/>
      <c r="H65" s="359"/>
    </row>
    <row r="66" spans="1:10" ht="16.5" customHeight="1">
      <c r="A66" s="322">
        <v>45400</v>
      </c>
      <c r="B66" s="324" t="s">
        <v>3403</v>
      </c>
      <c r="C66" s="324"/>
      <c r="D66" s="326">
        <v>525000</v>
      </c>
      <c r="E66" s="327" t="s">
        <v>3404</v>
      </c>
      <c r="F66" s="328"/>
      <c r="G66" s="329"/>
      <c r="H66" s="360" t="s">
        <v>3405</v>
      </c>
    </row>
    <row r="67" spans="1:10" ht="36" customHeight="1">
      <c r="A67" s="323"/>
      <c r="B67" s="325"/>
      <c r="C67" s="325"/>
      <c r="D67" s="326"/>
      <c r="E67" s="330"/>
      <c r="F67" s="331"/>
      <c r="G67" s="332"/>
      <c r="H67" s="359"/>
      <c r="J67">
        <v>492470</v>
      </c>
    </row>
    <row r="68" spans="1:10" ht="16.5" customHeight="1">
      <c r="A68" s="336">
        <v>45401</v>
      </c>
      <c r="B68" s="324" t="s">
        <v>3409</v>
      </c>
      <c r="C68" s="325"/>
      <c r="D68" s="326">
        <v>1090000</v>
      </c>
      <c r="E68" s="562" t="s">
        <v>3408</v>
      </c>
      <c r="F68" s="582"/>
      <c r="G68" s="583"/>
      <c r="H68" s="400" t="s">
        <v>3411</v>
      </c>
    </row>
    <row r="69" spans="1:10" ht="16.5" customHeight="1">
      <c r="A69" s="323"/>
      <c r="B69" s="325"/>
      <c r="C69" s="325"/>
      <c r="D69" s="326"/>
      <c r="E69" s="584"/>
      <c r="F69" s="585"/>
      <c r="G69" s="586"/>
      <c r="H69" s="401"/>
    </row>
    <row r="70" spans="1:10" ht="16.5" customHeight="1">
      <c r="A70" s="336">
        <v>45401</v>
      </c>
      <c r="B70" s="324" t="s">
        <v>3410</v>
      </c>
      <c r="C70" s="324"/>
      <c r="D70" s="326">
        <v>210000</v>
      </c>
      <c r="E70" s="327" t="s">
        <v>3412</v>
      </c>
      <c r="F70" s="328"/>
      <c r="G70" s="329"/>
      <c r="H70" s="400" t="s">
        <v>145</v>
      </c>
    </row>
    <row r="71" spans="1:10" ht="16.5" customHeight="1">
      <c r="A71" s="323"/>
      <c r="B71" s="325"/>
      <c r="C71" s="325"/>
      <c r="D71" s="326"/>
      <c r="E71" s="330"/>
      <c r="F71" s="331"/>
      <c r="G71" s="332"/>
      <c r="H71" s="401"/>
    </row>
    <row r="72" spans="1:10" ht="16.5" customHeight="1">
      <c r="A72" s="336">
        <v>45402</v>
      </c>
      <c r="B72" s="324" t="s">
        <v>3435</v>
      </c>
      <c r="C72" s="325"/>
      <c r="D72" s="326">
        <v>500000</v>
      </c>
      <c r="E72" s="327" t="s">
        <v>3438</v>
      </c>
      <c r="F72" s="328"/>
      <c r="G72" s="329"/>
      <c r="H72" s="400" t="s">
        <v>145</v>
      </c>
    </row>
    <row r="73" spans="1:10" ht="17.25" customHeight="1">
      <c r="A73" s="323"/>
      <c r="B73" s="325"/>
      <c r="C73" s="325"/>
      <c r="D73" s="326"/>
      <c r="E73" s="330"/>
      <c r="F73" s="331"/>
      <c r="G73" s="332"/>
      <c r="H73" s="401"/>
    </row>
    <row r="74" spans="1:10" ht="16.5" customHeight="1">
      <c r="A74" s="336">
        <v>45402</v>
      </c>
      <c r="B74" s="324" t="s">
        <v>3436</v>
      </c>
      <c r="C74" s="325"/>
      <c r="D74" s="326">
        <v>735000</v>
      </c>
      <c r="E74" s="562" t="s">
        <v>3434</v>
      </c>
      <c r="F74" s="582"/>
      <c r="G74" s="583"/>
      <c r="H74" s="359" t="s">
        <v>3413</v>
      </c>
    </row>
    <row r="75" spans="1:10" ht="16.5" customHeight="1">
      <c r="A75" s="323"/>
      <c r="B75" s="325"/>
      <c r="C75" s="325"/>
      <c r="D75" s="326"/>
      <c r="E75" s="584"/>
      <c r="F75" s="585"/>
      <c r="G75" s="586"/>
      <c r="H75" s="359"/>
    </row>
    <row r="76" spans="1:10" ht="16.5" customHeight="1">
      <c r="A76" s="336">
        <v>45402</v>
      </c>
      <c r="B76" s="324" t="s">
        <v>3437</v>
      </c>
      <c r="C76" s="324"/>
      <c r="D76" s="326">
        <v>850000</v>
      </c>
      <c r="E76" s="562" t="s">
        <v>3434</v>
      </c>
      <c r="F76" s="582"/>
      <c r="G76" s="583"/>
      <c r="H76" s="359" t="s">
        <v>3413</v>
      </c>
    </row>
    <row r="77" spans="1:10" ht="16.5" customHeight="1">
      <c r="A77" s="323"/>
      <c r="B77" s="325"/>
      <c r="C77" s="325"/>
      <c r="D77" s="326"/>
      <c r="E77" s="584"/>
      <c r="F77" s="585"/>
      <c r="G77" s="586"/>
      <c r="H77" s="359"/>
    </row>
    <row r="78" spans="1:10" ht="16.5" customHeight="1">
      <c r="A78" s="322"/>
      <c r="B78" s="644" t="s">
        <v>3468</v>
      </c>
      <c r="C78" s="645"/>
      <c r="D78" s="645"/>
      <c r="E78" s="645"/>
      <c r="F78" s="645"/>
      <c r="G78" s="645"/>
      <c r="H78" s="646"/>
    </row>
    <row r="79" spans="1:10" ht="36.75" customHeight="1">
      <c r="A79" s="323"/>
      <c r="B79" s="647"/>
      <c r="C79" s="648"/>
      <c r="D79" s="648"/>
      <c r="E79" s="648"/>
      <c r="F79" s="648"/>
      <c r="G79" s="648"/>
      <c r="H79" s="649"/>
    </row>
    <row r="80" spans="1:10" ht="16.5" customHeight="1">
      <c r="A80" s="322">
        <v>45344</v>
      </c>
      <c r="B80" s="324" t="s">
        <v>3425</v>
      </c>
      <c r="C80" s="324"/>
      <c r="D80" s="326">
        <v>120000</v>
      </c>
      <c r="E80" s="337" t="s">
        <v>3414</v>
      </c>
      <c r="F80" s="326"/>
      <c r="G80" s="326"/>
      <c r="H80" s="359" t="s">
        <v>3415</v>
      </c>
    </row>
    <row r="81" spans="1:11" ht="16.5" customHeight="1">
      <c r="A81" s="323"/>
      <c r="B81" s="325"/>
      <c r="C81" s="325"/>
      <c r="D81" s="326"/>
      <c r="E81" s="326"/>
      <c r="F81" s="326"/>
      <c r="G81" s="326"/>
      <c r="H81" s="359"/>
    </row>
    <row r="82" spans="1:11" ht="16.5" customHeight="1">
      <c r="A82" s="322">
        <v>45344</v>
      </c>
      <c r="B82" s="324" t="s">
        <v>3416</v>
      </c>
      <c r="C82" s="324"/>
      <c r="D82" s="326">
        <v>220000</v>
      </c>
      <c r="E82" s="562" t="s">
        <v>3417</v>
      </c>
      <c r="F82" s="582"/>
      <c r="G82" s="583"/>
      <c r="H82" s="359" t="s">
        <v>3418</v>
      </c>
    </row>
    <row r="83" spans="1:11" ht="16.5" customHeight="1">
      <c r="A83" s="323"/>
      <c r="B83" s="325"/>
      <c r="C83" s="325"/>
      <c r="D83" s="326"/>
      <c r="E83" s="584"/>
      <c r="F83" s="585"/>
      <c r="G83" s="586"/>
      <c r="H83" s="359"/>
    </row>
    <row r="84" spans="1:11" ht="16.5" customHeight="1">
      <c r="A84" s="322">
        <v>45405</v>
      </c>
      <c r="B84" s="324" t="s">
        <v>3419</v>
      </c>
      <c r="C84" s="324"/>
      <c r="D84" s="326">
        <v>25000</v>
      </c>
      <c r="E84" s="327"/>
      <c r="F84" s="328"/>
      <c r="G84" s="329"/>
      <c r="H84" s="359" t="s">
        <v>145</v>
      </c>
    </row>
    <row r="85" spans="1:11" ht="16.5" customHeight="1">
      <c r="A85" s="323"/>
      <c r="B85" s="325"/>
      <c r="C85" s="325"/>
      <c r="D85" s="326"/>
      <c r="E85" s="330"/>
      <c r="F85" s="331"/>
      <c r="G85" s="332"/>
      <c r="H85" s="359"/>
      <c r="K85" s="24"/>
    </row>
    <row r="86" spans="1:11" ht="16.5" customHeight="1">
      <c r="A86" s="322">
        <v>45405</v>
      </c>
      <c r="B86" s="324" t="s">
        <v>3420</v>
      </c>
      <c r="C86" s="324"/>
      <c r="D86" s="326">
        <v>150000</v>
      </c>
      <c r="E86" s="327"/>
      <c r="F86" s="328"/>
      <c r="G86" s="329"/>
      <c r="H86" s="359" t="s">
        <v>3421</v>
      </c>
    </row>
    <row r="87" spans="1:11" ht="16.5" customHeight="1">
      <c r="A87" s="323"/>
      <c r="B87" s="325"/>
      <c r="C87" s="325"/>
      <c r="D87" s="326"/>
      <c r="E87" s="330"/>
      <c r="F87" s="331"/>
      <c r="G87" s="332"/>
      <c r="H87" s="359"/>
      <c r="K87" s="24"/>
    </row>
    <row r="88" spans="1:11" ht="16.5" customHeight="1">
      <c r="A88" s="322">
        <v>45406</v>
      </c>
      <c r="B88" s="324" t="s">
        <v>3422</v>
      </c>
      <c r="C88" s="324"/>
      <c r="D88" s="326">
        <v>400000</v>
      </c>
      <c r="E88" s="327" t="s">
        <v>3423</v>
      </c>
      <c r="F88" s="328"/>
      <c r="G88" s="329"/>
      <c r="H88" s="359" t="s">
        <v>145</v>
      </c>
      <c r="K88" s="24"/>
    </row>
    <row r="89" spans="1:11" ht="16.5" customHeight="1">
      <c r="A89" s="323"/>
      <c r="B89" s="325"/>
      <c r="C89" s="325"/>
      <c r="D89" s="326"/>
      <c r="E89" s="330"/>
      <c r="F89" s="331"/>
      <c r="G89" s="332"/>
      <c r="H89" s="359"/>
      <c r="K89" s="24"/>
    </row>
    <row r="90" spans="1:11" ht="16.5" customHeight="1">
      <c r="A90" s="322">
        <v>45406</v>
      </c>
      <c r="B90" s="324" t="s">
        <v>3424</v>
      </c>
      <c r="C90" s="325"/>
      <c r="D90" s="326">
        <v>120000</v>
      </c>
      <c r="E90" s="337"/>
      <c r="F90" s="326"/>
      <c r="G90" s="326"/>
      <c r="H90" s="359" t="s">
        <v>3426</v>
      </c>
      <c r="K90" s="24"/>
    </row>
    <row r="91" spans="1:11" ht="16.5" customHeight="1">
      <c r="A91" s="323"/>
      <c r="B91" s="325"/>
      <c r="C91" s="325"/>
      <c r="D91" s="326"/>
      <c r="E91" s="326"/>
      <c r="F91" s="326"/>
      <c r="G91" s="326"/>
      <c r="H91" s="359"/>
      <c r="K91" s="24"/>
    </row>
    <row r="92" spans="1:11" ht="16.5" customHeight="1">
      <c r="A92" s="322">
        <v>45406</v>
      </c>
      <c r="B92" s="324" t="s">
        <v>3427</v>
      </c>
      <c r="C92" s="325"/>
      <c r="D92" s="326">
        <v>120000</v>
      </c>
      <c r="E92" s="327" t="s">
        <v>3429</v>
      </c>
      <c r="F92" s="328"/>
      <c r="G92" s="329"/>
      <c r="H92" s="360" t="s">
        <v>3432</v>
      </c>
      <c r="I92" s="4"/>
    </row>
    <row r="93" spans="1:11" ht="16.5" customHeight="1">
      <c r="A93" s="323"/>
      <c r="B93" s="325"/>
      <c r="C93" s="325"/>
      <c r="D93" s="326"/>
      <c r="E93" s="330"/>
      <c r="F93" s="331"/>
      <c r="G93" s="332"/>
      <c r="H93" s="359"/>
    </row>
    <row r="94" spans="1:11" ht="16.5" customHeight="1">
      <c r="A94" s="322">
        <v>45406</v>
      </c>
      <c r="B94" s="324" t="s">
        <v>3428</v>
      </c>
      <c r="C94" s="325"/>
      <c r="D94" s="326">
        <v>160000</v>
      </c>
      <c r="E94" s="327" t="s">
        <v>3430</v>
      </c>
      <c r="F94" s="328"/>
      <c r="G94" s="329"/>
      <c r="H94" s="359" t="s">
        <v>3431</v>
      </c>
    </row>
    <row r="95" spans="1:11" ht="16.5" customHeight="1">
      <c r="A95" s="323"/>
      <c r="B95" s="325"/>
      <c r="C95" s="325"/>
      <c r="D95" s="326"/>
      <c r="E95" s="330"/>
      <c r="F95" s="331"/>
      <c r="G95" s="332"/>
      <c r="H95" s="359"/>
    </row>
    <row r="96" spans="1:11" ht="16.5" customHeight="1">
      <c r="A96" s="322">
        <v>45407</v>
      </c>
      <c r="B96" s="324" t="s">
        <v>3451</v>
      </c>
      <c r="C96" s="325"/>
      <c r="D96" s="326">
        <v>1170000</v>
      </c>
      <c r="E96" s="562" t="s">
        <v>3434</v>
      </c>
      <c r="F96" s="582"/>
      <c r="G96" s="583"/>
      <c r="H96" s="359" t="s">
        <v>145</v>
      </c>
    </row>
    <row r="97" spans="1:11" ht="16.5" customHeight="1">
      <c r="A97" s="323"/>
      <c r="B97" s="325"/>
      <c r="C97" s="325"/>
      <c r="D97" s="326"/>
      <c r="E97" s="584"/>
      <c r="F97" s="585"/>
      <c r="G97" s="586"/>
      <c r="H97" s="359"/>
    </row>
    <row r="98" spans="1:11" ht="16.5" customHeight="1">
      <c r="A98" s="322">
        <v>45408</v>
      </c>
      <c r="B98" s="324"/>
      <c r="C98" s="325"/>
      <c r="D98" s="326">
        <v>120000</v>
      </c>
      <c r="E98" s="327"/>
      <c r="F98" s="328"/>
      <c r="G98" s="329"/>
      <c r="H98" s="359" t="s">
        <v>3453</v>
      </c>
    </row>
    <row r="99" spans="1:11" ht="16.5" customHeight="1">
      <c r="A99" s="323"/>
      <c r="B99" s="325"/>
      <c r="C99" s="325"/>
      <c r="D99" s="326"/>
      <c r="E99" s="330"/>
      <c r="F99" s="331"/>
      <c r="G99" s="332"/>
      <c r="H99" s="359"/>
    </row>
    <row r="100" spans="1:11" ht="16.5" customHeight="1">
      <c r="A100" s="322">
        <v>45409</v>
      </c>
      <c r="B100" s="324" t="s">
        <v>3454</v>
      </c>
      <c r="C100" s="325"/>
      <c r="D100" s="326">
        <v>130000</v>
      </c>
      <c r="E100" s="547">
        <v>416</v>
      </c>
      <c r="F100" s="751"/>
      <c r="G100" s="752"/>
      <c r="H100" s="359" t="s">
        <v>3452</v>
      </c>
    </row>
    <row r="101" spans="1:11" ht="16.5" customHeight="1">
      <c r="A101" s="323"/>
      <c r="B101" s="325"/>
      <c r="C101" s="325"/>
      <c r="D101" s="326"/>
      <c r="E101" s="753"/>
      <c r="F101" s="754"/>
      <c r="G101" s="755"/>
      <c r="H101" s="359"/>
    </row>
    <row r="102" spans="1:11" ht="16.5" customHeight="1">
      <c r="A102" s="322">
        <v>45411</v>
      </c>
      <c r="B102" s="324" t="s">
        <v>3455</v>
      </c>
      <c r="C102" s="326"/>
      <c r="D102" s="326">
        <v>200000</v>
      </c>
      <c r="E102" s="327" t="s">
        <v>3456</v>
      </c>
      <c r="F102" s="328"/>
      <c r="G102" s="329"/>
      <c r="H102" s="359" t="s">
        <v>3453</v>
      </c>
    </row>
    <row r="103" spans="1:11" ht="16.5" customHeight="1">
      <c r="A103" s="323"/>
      <c r="B103" s="325"/>
      <c r="C103" s="326"/>
      <c r="D103" s="326"/>
      <c r="E103" s="330"/>
      <c r="F103" s="331"/>
      <c r="G103" s="332"/>
      <c r="H103" s="359"/>
    </row>
    <row r="104" spans="1:11" ht="16.5" customHeight="1">
      <c r="A104" s="322">
        <v>45412</v>
      </c>
      <c r="B104" s="324" t="s">
        <v>3470</v>
      </c>
      <c r="C104" s="325"/>
      <c r="D104" s="326">
        <v>4030000</v>
      </c>
      <c r="E104" s="337" t="s">
        <v>3469</v>
      </c>
      <c r="F104" s="326"/>
      <c r="G104" s="326"/>
      <c r="H104" s="610" t="s">
        <v>3457</v>
      </c>
      <c r="I104" s="3"/>
      <c r="K104" s="23"/>
    </row>
    <row r="105" spans="1:11" ht="16.5" customHeight="1">
      <c r="A105" s="323"/>
      <c r="B105" s="325"/>
      <c r="C105" s="325"/>
      <c r="D105" s="326"/>
      <c r="E105" s="326"/>
      <c r="F105" s="326"/>
      <c r="G105" s="326"/>
      <c r="H105" s="611"/>
    </row>
    <row r="106" spans="1:11" ht="16.5" customHeight="1">
      <c r="A106" s="322">
        <v>45412</v>
      </c>
      <c r="B106" s="324"/>
      <c r="C106" s="325"/>
      <c r="D106" s="326">
        <v>820000</v>
      </c>
      <c r="E106" s="562" t="s">
        <v>3459</v>
      </c>
      <c r="F106" s="582"/>
      <c r="G106" s="583"/>
      <c r="H106" s="398" t="s">
        <v>145</v>
      </c>
    </row>
    <row r="107" spans="1:11" ht="16.5" customHeight="1">
      <c r="A107" s="323"/>
      <c r="B107" s="325"/>
      <c r="C107" s="325"/>
      <c r="D107" s="326"/>
      <c r="E107" s="584"/>
      <c r="F107" s="585"/>
      <c r="G107" s="586"/>
      <c r="H107" s="399"/>
    </row>
    <row r="108" spans="1:11" ht="16.5" customHeight="1">
      <c r="A108" s="322"/>
      <c r="B108" s="324"/>
      <c r="C108" s="324"/>
      <c r="D108" s="326"/>
      <c r="E108" s="327"/>
      <c r="F108" s="328"/>
      <c r="G108" s="329"/>
      <c r="H108" s="333"/>
    </row>
    <row r="109" spans="1:11" ht="16.5" customHeight="1">
      <c r="A109" s="323"/>
      <c r="B109" s="325"/>
      <c r="C109" s="325"/>
      <c r="D109" s="326"/>
      <c r="E109" s="330"/>
      <c r="F109" s="331"/>
      <c r="G109" s="332"/>
      <c r="H109" s="333"/>
    </row>
    <row r="110" spans="1:11" ht="16.5" customHeight="1">
      <c r="A110" s="335"/>
      <c r="B110" s="739" t="s">
        <v>3458</v>
      </c>
      <c r="C110" s="740"/>
      <c r="D110" s="740"/>
      <c r="E110" s="740"/>
      <c r="F110" s="740"/>
      <c r="G110" s="740"/>
      <c r="H110" s="741"/>
    </row>
    <row r="111" spans="1:11" ht="16.5" customHeight="1">
      <c r="A111" s="336"/>
      <c r="B111" s="748"/>
      <c r="C111" s="749"/>
      <c r="D111" s="749"/>
      <c r="E111" s="749"/>
      <c r="F111" s="749"/>
      <c r="G111" s="749"/>
      <c r="H111" s="750"/>
    </row>
    <row r="112" spans="1:11" ht="16.5" customHeight="1">
      <c r="A112" s="334"/>
      <c r="B112" s="748"/>
      <c r="C112" s="749"/>
      <c r="D112" s="749"/>
      <c r="E112" s="749"/>
      <c r="F112" s="749"/>
      <c r="G112" s="749"/>
      <c r="H112" s="750"/>
    </row>
    <row r="113" spans="1:8" ht="16.5" customHeight="1">
      <c r="A113" s="323"/>
      <c r="B113" s="742"/>
      <c r="C113" s="743"/>
      <c r="D113" s="743"/>
      <c r="E113" s="743"/>
      <c r="F113" s="743"/>
      <c r="G113" s="743"/>
      <c r="H113" s="744"/>
    </row>
    <row r="114" spans="1:8" ht="16.5" customHeight="1">
      <c r="A114" s="322"/>
      <c r="B114" s="324"/>
      <c r="C114" s="325"/>
      <c r="D114" s="326"/>
      <c r="E114" s="327"/>
      <c r="F114" s="328"/>
      <c r="G114" s="329"/>
      <c r="H114" s="333"/>
    </row>
    <row r="115" spans="1:8" ht="16.5" customHeight="1">
      <c r="A115" s="323"/>
      <c r="B115" s="325"/>
      <c r="C115" s="325"/>
      <c r="D115" s="326"/>
      <c r="E115" s="330"/>
      <c r="F115" s="331"/>
      <c r="G115" s="332"/>
      <c r="H115" s="333"/>
    </row>
    <row r="116" spans="1:8" ht="16.5" customHeight="1">
      <c r="A116" s="313"/>
      <c r="B116" s="314"/>
      <c r="C116" s="307"/>
      <c r="D116" s="309"/>
      <c r="E116" s="315"/>
      <c r="F116" s="316"/>
      <c r="G116" s="317"/>
      <c r="H116" s="321"/>
    </row>
    <row r="117" spans="1:8" ht="16.5" customHeight="1">
      <c r="A117" s="305"/>
      <c r="B117" s="307"/>
      <c r="C117" s="307"/>
      <c r="D117" s="309"/>
      <c r="E117" s="318"/>
      <c r="F117" s="319"/>
      <c r="G117" s="320"/>
      <c r="H117" s="311"/>
    </row>
    <row r="118" spans="1:8" ht="16.5" customHeight="1">
      <c r="A118" s="313"/>
      <c r="B118" s="314"/>
      <c r="C118" s="307"/>
      <c r="D118" s="309"/>
      <c r="E118" s="315"/>
      <c r="F118" s="316"/>
      <c r="G118" s="317"/>
      <c r="H118" s="321"/>
    </row>
    <row r="119" spans="1:8" ht="16.5" customHeight="1">
      <c r="A119" s="305"/>
      <c r="B119" s="307"/>
      <c r="C119" s="307"/>
      <c r="D119" s="309"/>
      <c r="E119" s="318"/>
      <c r="F119" s="319"/>
      <c r="G119" s="320"/>
      <c r="H119" s="311"/>
    </row>
    <row r="120" spans="1:8">
      <c r="A120" s="305"/>
      <c r="B120" s="307"/>
      <c r="C120" s="307"/>
      <c r="D120" s="309"/>
      <c r="E120" s="309"/>
      <c r="F120" s="309"/>
      <c r="G120" s="309"/>
      <c r="H120" s="311"/>
    </row>
    <row r="121" spans="1:8">
      <c r="A121" s="305"/>
      <c r="B121" s="307"/>
      <c r="C121" s="307"/>
      <c r="D121" s="309"/>
      <c r="E121" s="309"/>
      <c r="F121" s="309"/>
      <c r="G121" s="309"/>
      <c r="H121" s="311"/>
    </row>
    <row r="122" spans="1:8" ht="16.5" customHeight="1">
      <c r="A122" s="313"/>
      <c r="B122" s="314"/>
      <c r="C122" s="307"/>
      <c r="D122" s="309"/>
      <c r="E122" s="315"/>
      <c r="F122" s="316"/>
      <c r="G122" s="317"/>
      <c r="H122" s="311"/>
    </row>
    <row r="123" spans="1:8" ht="16.5" customHeight="1">
      <c r="A123" s="305"/>
      <c r="B123" s="307"/>
      <c r="C123" s="307"/>
      <c r="D123" s="309"/>
      <c r="E123" s="318"/>
      <c r="F123" s="319"/>
      <c r="G123" s="320"/>
      <c r="H123" s="311"/>
    </row>
    <row r="124" spans="1:8" ht="16.5" customHeight="1">
      <c r="A124" s="313"/>
      <c r="B124" s="314"/>
      <c r="C124" s="307"/>
      <c r="D124" s="309"/>
      <c r="E124" s="315"/>
      <c r="F124" s="316"/>
      <c r="G124" s="317"/>
      <c r="H124" s="311"/>
    </row>
    <row r="125" spans="1:8" ht="16.5" customHeight="1">
      <c r="A125" s="305"/>
      <c r="B125" s="307"/>
      <c r="C125" s="307"/>
      <c r="D125" s="309"/>
      <c r="E125" s="318"/>
      <c r="F125" s="319"/>
      <c r="G125" s="320"/>
      <c r="H125" s="311"/>
    </row>
    <row r="126" spans="1:8" ht="16.5" customHeight="1">
      <c r="A126" s="313"/>
      <c r="B126" s="314"/>
      <c r="C126" s="307"/>
      <c r="D126" s="309"/>
      <c r="E126" s="315"/>
      <c r="F126" s="316"/>
      <c r="G126" s="317"/>
      <c r="H126" s="321"/>
    </row>
    <row r="127" spans="1:8" ht="16.5" customHeight="1">
      <c r="A127" s="305"/>
      <c r="B127" s="307"/>
      <c r="C127" s="307"/>
      <c r="D127" s="309"/>
      <c r="E127" s="318"/>
      <c r="F127" s="319"/>
      <c r="G127" s="320"/>
      <c r="H127" s="311"/>
    </row>
    <row r="128" spans="1:8" ht="16.5" customHeight="1">
      <c r="A128" s="313"/>
      <c r="B128" s="314"/>
      <c r="C128" s="307"/>
      <c r="D128" s="309"/>
      <c r="E128" s="315"/>
      <c r="F128" s="316"/>
      <c r="G128" s="317"/>
      <c r="H128" s="321"/>
    </row>
    <row r="129" spans="1:8" ht="16.5" customHeight="1">
      <c r="A129" s="305"/>
      <c r="B129" s="307"/>
      <c r="C129" s="307"/>
      <c r="D129" s="309"/>
      <c r="E129" s="318"/>
      <c r="F129" s="319"/>
      <c r="G129" s="320"/>
      <c r="H129" s="311"/>
    </row>
    <row r="130" spans="1:8">
      <c r="A130" s="305"/>
      <c r="B130" s="307"/>
      <c r="C130" s="307"/>
      <c r="D130" s="309"/>
      <c r="E130" s="309"/>
      <c r="F130" s="309"/>
      <c r="G130" s="309"/>
      <c r="H130" s="311"/>
    </row>
    <row r="131" spans="1:8">
      <c r="A131" s="305"/>
      <c r="B131" s="307"/>
      <c r="C131" s="307"/>
      <c r="D131" s="309"/>
      <c r="E131" s="309"/>
      <c r="F131" s="309"/>
      <c r="G131" s="309"/>
      <c r="H131" s="311"/>
    </row>
    <row r="132" spans="1:8" ht="16.5" customHeight="1">
      <c r="A132" s="313"/>
      <c r="B132" s="314"/>
      <c r="C132" s="307"/>
      <c r="D132" s="309"/>
      <c r="E132" s="315"/>
      <c r="F132" s="316"/>
      <c r="G132" s="317"/>
      <c r="H132" s="311"/>
    </row>
    <row r="133" spans="1:8" ht="16.5" customHeight="1">
      <c r="A133" s="305"/>
      <c r="B133" s="307"/>
      <c r="C133" s="307"/>
      <c r="D133" s="309"/>
      <c r="E133" s="318"/>
      <c r="F133" s="319"/>
      <c r="G133" s="320"/>
      <c r="H133" s="311"/>
    </row>
    <row r="134" spans="1:8" ht="16.5" customHeight="1">
      <c r="A134" s="313"/>
      <c r="B134" s="314"/>
      <c r="C134" s="307"/>
      <c r="D134" s="309"/>
      <c r="E134" s="315"/>
      <c r="F134" s="316"/>
      <c r="G134" s="317"/>
      <c r="H134" s="321"/>
    </row>
    <row r="135" spans="1:8" ht="16.5" customHeight="1">
      <c r="A135" s="305"/>
      <c r="B135" s="307"/>
      <c r="C135" s="307"/>
      <c r="D135" s="309"/>
      <c r="E135" s="318"/>
      <c r="F135" s="319"/>
      <c r="G135" s="320"/>
      <c r="H135" s="311"/>
    </row>
    <row r="136" spans="1:8" ht="16.5" customHeight="1">
      <c r="A136" s="313"/>
      <c r="B136" s="314"/>
      <c r="C136" s="307"/>
      <c r="D136" s="309"/>
      <c r="E136" s="315"/>
      <c r="F136" s="316"/>
      <c r="G136" s="317"/>
      <c r="H136" s="321"/>
    </row>
    <row r="137" spans="1:8" ht="16.5" customHeight="1">
      <c r="A137" s="305"/>
      <c r="B137" s="307"/>
      <c r="C137" s="307"/>
      <c r="D137" s="309"/>
      <c r="E137" s="318"/>
      <c r="F137" s="319"/>
      <c r="G137" s="320"/>
      <c r="H137" s="311"/>
    </row>
    <row r="138" spans="1:8">
      <c r="A138" s="305"/>
      <c r="B138" s="307"/>
      <c r="C138" s="307"/>
      <c r="D138" s="309"/>
      <c r="E138" s="309"/>
      <c r="F138" s="309"/>
      <c r="G138" s="309"/>
      <c r="H138" s="311"/>
    </row>
    <row r="139" spans="1:8">
      <c r="A139" s="305"/>
      <c r="B139" s="307"/>
      <c r="C139" s="307"/>
      <c r="D139" s="309"/>
      <c r="E139" s="309"/>
      <c r="F139" s="309"/>
      <c r="G139" s="309"/>
      <c r="H139" s="311"/>
    </row>
    <row r="140" spans="1:8">
      <c r="A140" s="305"/>
      <c r="B140" s="307"/>
      <c r="C140" s="307"/>
      <c r="D140" s="309"/>
      <c r="E140" s="309"/>
      <c r="F140" s="309"/>
      <c r="G140" s="309"/>
      <c r="H140" s="311"/>
    </row>
    <row r="141" spans="1:8" ht="17.25" thickBot="1">
      <c r="A141" s="306"/>
      <c r="B141" s="308"/>
      <c r="C141" s="308"/>
      <c r="D141" s="310"/>
      <c r="E141" s="310"/>
      <c r="F141" s="310"/>
      <c r="G141" s="310"/>
      <c r="H141" s="312"/>
    </row>
  </sheetData>
  <mergeCells count="403">
    <mergeCell ref="A3:H3"/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  <mergeCell ref="A6:A7"/>
    <mergeCell ref="B6:B7"/>
    <mergeCell ref="C6:C7"/>
    <mergeCell ref="D6:D7"/>
    <mergeCell ref="E6:G7"/>
    <mergeCell ref="H6:H7"/>
    <mergeCell ref="A4:A5"/>
    <mergeCell ref="B4:B5"/>
    <mergeCell ref="C4:C5"/>
    <mergeCell ref="D4:D5"/>
    <mergeCell ref="E4:G5"/>
    <mergeCell ref="H4:H5"/>
    <mergeCell ref="A10:A11"/>
    <mergeCell ref="B10:B11"/>
    <mergeCell ref="C10:C11"/>
    <mergeCell ref="D10:D11"/>
    <mergeCell ref="E10:G11"/>
    <mergeCell ref="H10:H11"/>
    <mergeCell ref="A8:A9"/>
    <mergeCell ref="B8:B9"/>
    <mergeCell ref="C8:C9"/>
    <mergeCell ref="D8:D9"/>
    <mergeCell ref="E8:G9"/>
    <mergeCell ref="H8:H9"/>
    <mergeCell ref="A14:A15"/>
    <mergeCell ref="B14:B15"/>
    <mergeCell ref="C14:C15"/>
    <mergeCell ref="D14:D15"/>
    <mergeCell ref="E14:G15"/>
    <mergeCell ref="H14:H15"/>
    <mergeCell ref="A12:A13"/>
    <mergeCell ref="B12:B13"/>
    <mergeCell ref="C12:C13"/>
    <mergeCell ref="D12:D13"/>
    <mergeCell ref="E12:G13"/>
    <mergeCell ref="H12:H13"/>
    <mergeCell ref="A18:A19"/>
    <mergeCell ref="B18:B19"/>
    <mergeCell ref="C18:C19"/>
    <mergeCell ref="D18:D19"/>
    <mergeCell ref="E18:G19"/>
    <mergeCell ref="H18:H19"/>
    <mergeCell ref="E20:G20"/>
    <mergeCell ref="A16:A17"/>
    <mergeCell ref="B16:B17"/>
    <mergeCell ref="C16:C17"/>
    <mergeCell ref="D16:D17"/>
    <mergeCell ref="E16:G17"/>
    <mergeCell ref="H16:H17"/>
    <mergeCell ref="A23:A24"/>
    <mergeCell ref="B23:B24"/>
    <mergeCell ref="C23:C24"/>
    <mergeCell ref="D23:D24"/>
    <mergeCell ref="E23:G24"/>
    <mergeCell ref="H23:H24"/>
    <mergeCell ref="A21:A22"/>
    <mergeCell ref="B21:B22"/>
    <mergeCell ref="C21:C22"/>
    <mergeCell ref="D21:D22"/>
    <mergeCell ref="E21:G22"/>
    <mergeCell ref="H21:H22"/>
    <mergeCell ref="A27:A28"/>
    <mergeCell ref="B27:H28"/>
    <mergeCell ref="A29:A30"/>
    <mergeCell ref="B29:B30"/>
    <mergeCell ref="C29:C30"/>
    <mergeCell ref="D29:D30"/>
    <mergeCell ref="E29:G30"/>
    <mergeCell ref="H29:H30"/>
    <mergeCell ref="A25:A26"/>
    <mergeCell ref="B25:B26"/>
    <mergeCell ref="C25:C26"/>
    <mergeCell ref="D25:D26"/>
    <mergeCell ref="E25:G26"/>
    <mergeCell ref="H25:H26"/>
    <mergeCell ref="A33:A34"/>
    <mergeCell ref="B33:B34"/>
    <mergeCell ref="C33:C34"/>
    <mergeCell ref="D33:D34"/>
    <mergeCell ref="E33:G34"/>
    <mergeCell ref="H33:H34"/>
    <mergeCell ref="A31:A32"/>
    <mergeCell ref="B31:B32"/>
    <mergeCell ref="C31:C32"/>
    <mergeCell ref="D31:D32"/>
    <mergeCell ref="E31:G32"/>
    <mergeCell ref="H31:H32"/>
    <mergeCell ref="A37:A38"/>
    <mergeCell ref="B37:B38"/>
    <mergeCell ref="C37:C38"/>
    <mergeCell ref="D37:D38"/>
    <mergeCell ref="E37:G38"/>
    <mergeCell ref="H37:H38"/>
    <mergeCell ref="A35:A36"/>
    <mergeCell ref="B35:B36"/>
    <mergeCell ref="C35:C36"/>
    <mergeCell ref="D35:D36"/>
    <mergeCell ref="E35:G36"/>
    <mergeCell ref="H35:H36"/>
    <mergeCell ref="H43:H44"/>
    <mergeCell ref="A41:A42"/>
    <mergeCell ref="B41:B42"/>
    <mergeCell ref="C41:C42"/>
    <mergeCell ref="D41:D42"/>
    <mergeCell ref="E41:G42"/>
    <mergeCell ref="H41:H42"/>
    <mergeCell ref="A39:A40"/>
    <mergeCell ref="B39:B40"/>
    <mergeCell ref="C39:C40"/>
    <mergeCell ref="D39:D40"/>
    <mergeCell ref="E39:G40"/>
    <mergeCell ref="H39:H40"/>
    <mergeCell ref="E45:G45"/>
    <mergeCell ref="A46:A47"/>
    <mergeCell ref="B46:B47"/>
    <mergeCell ref="C46:C47"/>
    <mergeCell ref="D46:D47"/>
    <mergeCell ref="E46:G47"/>
    <mergeCell ref="A43:A44"/>
    <mergeCell ref="B43:B44"/>
    <mergeCell ref="C43:C44"/>
    <mergeCell ref="D43:D44"/>
    <mergeCell ref="E43:G44"/>
    <mergeCell ref="A52:A53"/>
    <mergeCell ref="A50:A51"/>
    <mergeCell ref="B50:B51"/>
    <mergeCell ref="C50:C51"/>
    <mergeCell ref="D50:D51"/>
    <mergeCell ref="E50:G51"/>
    <mergeCell ref="H50:H51"/>
    <mergeCell ref="B52:H53"/>
    <mergeCell ref="H46:H47"/>
    <mergeCell ref="A48:A49"/>
    <mergeCell ref="B48:B49"/>
    <mergeCell ref="C48:C49"/>
    <mergeCell ref="D48:D49"/>
    <mergeCell ref="E48:G49"/>
    <mergeCell ref="H48:H49"/>
    <mergeCell ref="A56:A57"/>
    <mergeCell ref="B56:B57"/>
    <mergeCell ref="C56:C57"/>
    <mergeCell ref="D56:D57"/>
    <mergeCell ref="E56:G57"/>
    <mergeCell ref="H56:H57"/>
    <mergeCell ref="A54:A55"/>
    <mergeCell ref="B54:B55"/>
    <mergeCell ref="C54:C55"/>
    <mergeCell ref="D54:D55"/>
    <mergeCell ref="E54:G55"/>
    <mergeCell ref="H54:H55"/>
    <mergeCell ref="A60:A61"/>
    <mergeCell ref="B60:B61"/>
    <mergeCell ref="C60:C61"/>
    <mergeCell ref="D60:D61"/>
    <mergeCell ref="E60:G61"/>
    <mergeCell ref="H60:H61"/>
    <mergeCell ref="A58:A59"/>
    <mergeCell ref="B58:B59"/>
    <mergeCell ref="C58:C59"/>
    <mergeCell ref="D58:D59"/>
    <mergeCell ref="E58:G59"/>
    <mergeCell ref="H58:H59"/>
    <mergeCell ref="A68:A69"/>
    <mergeCell ref="B68:B69"/>
    <mergeCell ref="C68:C69"/>
    <mergeCell ref="D68:D69"/>
    <mergeCell ref="E68:G69"/>
    <mergeCell ref="H68:H69"/>
    <mergeCell ref="A62:A63"/>
    <mergeCell ref="B62:B63"/>
    <mergeCell ref="C62:C63"/>
    <mergeCell ref="D62:D63"/>
    <mergeCell ref="E62:G63"/>
    <mergeCell ref="H62:H63"/>
    <mergeCell ref="A66:A67"/>
    <mergeCell ref="B66:B67"/>
    <mergeCell ref="C66:C67"/>
    <mergeCell ref="D66:D67"/>
    <mergeCell ref="E66:G67"/>
    <mergeCell ref="H66:H67"/>
    <mergeCell ref="A64:A65"/>
    <mergeCell ref="B64:B65"/>
    <mergeCell ref="C64:C65"/>
    <mergeCell ref="D64:D65"/>
    <mergeCell ref="E64:G65"/>
    <mergeCell ref="H64:H65"/>
    <mergeCell ref="A72:A73"/>
    <mergeCell ref="B72:B73"/>
    <mergeCell ref="C72:C73"/>
    <mergeCell ref="D72:D73"/>
    <mergeCell ref="E72:G73"/>
    <mergeCell ref="H72:H73"/>
    <mergeCell ref="A70:A71"/>
    <mergeCell ref="B70:B71"/>
    <mergeCell ref="C70:C71"/>
    <mergeCell ref="D70:D71"/>
    <mergeCell ref="E70:G71"/>
    <mergeCell ref="H70:H71"/>
    <mergeCell ref="A78:A79"/>
    <mergeCell ref="B78:H79"/>
    <mergeCell ref="A76:A77"/>
    <mergeCell ref="B76:B77"/>
    <mergeCell ref="C76:C77"/>
    <mergeCell ref="D76:D77"/>
    <mergeCell ref="E76:G77"/>
    <mergeCell ref="H76:H77"/>
    <mergeCell ref="A74:A75"/>
    <mergeCell ref="B74:B75"/>
    <mergeCell ref="C74:C75"/>
    <mergeCell ref="D74:D75"/>
    <mergeCell ref="E74:G75"/>
    <mergeCell ref="H74:H75"/>
    <mergeCell ref="A82:A83"/>
    <mergeCell ref="B82:B83"/>
    <mergeCell ref="C82:C83"/>
    <mergeCell ref="D82:D83"/>
    <mergeCell ref="E82:G83"/>
    <mergeCell ref="H82:H83"/>
    <mergeCell ref="A80:A81"/>
    <mergeCell ref="B80:B81"/>
    <mergeCell ref="C80:C81"/>
    <mergeCell ref="D80:D81"/>
    <mergeCell ref="E80:G81"/>
    <mergeCell ref="H80:H81"/>
    <mergeCell ref="A86:A87"/>
    <mergeCell ref="B86:B87"/>
    <mergeCell ref="C86:C87"/>
    <mergeCell ref="D86:D87"/>
    <mergeCell ref="E86:G87"/>
    <mergeCell ref="H86:H87"/>
    <mergeCell ref="A84:A85"/>
    <mergeCell ref="B84:B85"/>
    <mergeCell ref="C84:C85"/>
    <mergeCell ref="D84:D85"/>
    <mergeCell ref="E84:G85"/>
    <mergeCell ref="H84:H85"/>
    <mergeCell ref="A90:A91"/>
    <mergeCell ref="B90:B91"/>
    <mergeCell ref="C90:C91"/>
    <mergeCell ref="D90:D91"/>
    <mergeCell ref="E90:G91"/>
    <mergeCell ref="H90:H91"/>
    <mergeCell ref="A88:A89"/>
    <mergeCell ref="B88:B89"/>
    <mergeCell ref="C88:C89"/>
    <mergeCell ref="D88:D89"/>
    <mergeCell ref="E88:G89"/>
    <mergeCell ref="H88:H89"/>
    <mergeCell ref="A94:A95"/>
    <mergeCell ref="B94:B95"/>
    <mergeCell ref="C94:C95"/>
    <mergeCell ref="D94:D95"/>
    <mergeCell ref="E94:G95"/>
    <mergeCell ref="H94:H95"/>
    <mergeCell ref="A92:A93"/>
    <mergeCell ref="B92:B93"/>
    <mergeCell ref="C92:C93"/>
    <mergeCell ref="D92:D93"/>
    <mergeCell ref="E92:G93"/>
    <mergeCell ref="H92:H93"/>
    <mergeCell ref="A98:A99"/>
    <mergeCell ref="B98:B99"/>
    <mergeCell ref="C98:C99"/>
    <mergeCell ref="D98:D99"/>
    <mergeCell ref="E98:G99"/>
    <mergeCell ref="H98:H99"/>
    <mergeCell ref="A96:A97"/>
    <mergeCell ref="B96:B97"/>
    <mergeCell ref="C96:C97"/>
    <mergeCell ref="D96:D97"/>
    <mergeCell ref="E96:G97"/>
    <mergeCell ref="H96:H97"/>
    <mergeCell ref="A102:A103"/>
    <mergeCell ref="B102:B103"/>
    <mergeCell ref="C102:C103"/>
    <mergeCell ref="D102:D103"/>
    <mergeCell ref="E102:G103"/>
    <mergeCell ref="H102:H103"/>
    <mergeCell ref="A100:A101"/>
    <mergeCell ref="B100:B101"/>
    <mergeCell ref="C100:C101"/>
    <mergeCell ref="D100:D101"/>
    <mergeCell ref="E100:G101"/>
    <mergeCell ref="H100:H101"/>
    <mergeCell ref="A106:A107"/>
    <mergeCell ref="B106:B107"/>
    <mergeCell ref="C106:C107"/>
    <mergeCell ref="D106:D107"/>
    <mergeCell ref="E106:G107"/>
    <mergeCell ref="H106:H107"/>
    <mergeCell ref="A104:A105"/>
    <mergeCell ref="B104:B105"/>
    <mergeCell ref="C104:C105"/>
    <mergeCell ref="D104:D105"/>
    <mergeCell ref="E104:G105"/>
    <mergeCell ref="H104:H105"/>
    <mergeCell ref="A112:A113"/>
    <mergeCell ref="A110:A111"/>
    <mergeCell ref="B110:H113"/>
    <mergeCell ref="A108:A109"/>
    <mergeCell ref="B108:B109"/>
    <mergeCell ref="C108:C109"/>
    <mergeCell ref="D108:D109"/>
    <mergeCell ref="E108:G109"/>
    <mergeCell ref="H108:H109"/>
    <mergeCell ref="A116:A117"/>
    <mergeCell ref="B116:B117"/>
    <mergeCell ref="C116:C117"/>
    <mergeCell ref="D116:D117"/>
    <mergeCell ref="E116:G117"/>
    <mergeCell ref="H116:H117"/>
    <mergeCell ref="A114:A115"/>
    <mergeCell ref="B114:B115"/>
    <mergeCell ref="C114:C115"/>
    <mergeCell ref="D114:D115"/>
    <mergeCell ref="E114:G115"/>
    <mergeCell ref="H114:H115"/>
    <mergeCell ref="A120:A121"/>
    <mergeCell ref="B120:B121"/>
    <mergeCell ref="C120:C121"/>
    <mergeCell ref="D120:D121"/>
    <mergeCell ref="E120:G121"/>
    <mergeCell ref="H120:H121"/>
    <mergeCell ref="A118:A119"/>
    <mergeCell ref="B118:B119"/>
    <mergeCell ref="C118:C119"/>
    <mergeCell ref="D118:D119"/>
    <mergeCell ref="E118:G119"/>
    <mergeCell ref="H118:H119"/>
    <mergeCell ref="A124:A125"/>
    <mergeCell ref="B124:B125"/>
    <mergeCell ref="C124:C125"/>
    <mergeCell ref="D124:D125"/>
    <mergeCell ref="E124:G125"/>
    <mergeCell ref="H124:H125"/>
    <mergeCell ref="A122:A123"/>
    <mergeCell ref="B122:B123"/>
    <mergeCell ref="C122:C123"/>
    <mergeCell ref="D122:D123"/>
    <mergeCell ref="E122:G123"/>
    <mergeCell ref="H122:H123"/>
    <mergeCell ref="A128:A129"/>
    <mergeCell ref="B128:B129"/>
    <mergeCell ref="C128:C129"/>
    <mergeCell ref="D128:D129"/>
    <mergeCell ref="E128:G129"/>
    <mergeCell ref="H128:H129"/>
    <mergeCell ref="A126:A127"/>
    <mergeCell ref="B126:B127"/>
    <mergeCell ref="C126:C127"/>
    <mergeCell ref="D126:D127"/>
    <mergeCell ref="E126:G127"/>
    <mergeCell ref="H126:H127"/>
    <mergeCell ref="A132:A133"/>
    <mergeCell ref="B132:B133"/>
    <mergeCell ref="C132:C133"/>
    <mergeCell ref="D132:D133"/>
    <mergeCell ref="E132:G133"/>
    <mergeCell ref="H132:H133"/>
    <mergeCell ref="A130:A131"/>
    <mergeCell ref="B130:B131"/>
    <mergeCell ref="C130:C131"/>
    <mergeCell ref="D130:D131"/>
    <mergeCell ref="E130:G131"/>
    <mergeCell ref="H130:H131"/>
    <mergeCell ref="A136:A137"/>
    <mergeCell ref="B136:B137"/>
    <mergeCell ref="C136:C137"/>
    <mergeCell ref="D136:D137"/>
    <mergeCell ref="E136:G137"/>
    <mergeCell ref="H136:H137"/>
    <mergeCell ref="A134:A135"/>
    <mergeCell ref="B134:B135"/>
    <mergeCell ref="C134:C135"/>
    <mergeCell ref="D134:D135"/>
    <mergeCell ref="E134:G135"/>
    <mergeCell ref="H134:H135"/>
    <mergeCell ref="A140:A141"/>
    <mergeCell ref="B140:B141"/>
    <mergeCell ref="C140:C141"/>
    <mergeCell ref="D140:D141"/>
    <mergeCell ref="E140:G141"/>
    <mergeCell ref="H140:H141"/>
    <mergeCell ref="A138:A139"/>
    <mergeCell ref="B138:B139"/>
    <mergeCell ref="C138:C139"/>
    <mergeCell ref="D138:D139"/>
    <mergeCell ref="E138:G139"/>
    <mergeCell ref="H138:H139"/>
  </mergeCells>
  <phoneticPr fontId="1" type="noConversion"/>
  <pageMargins left="0" right="0" top="0" bottom="0" header="0" footer="0"/>
  <pageSetup paperSize="9" scale="36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85"/>
  <sheetViews>
    <sheetView showGridLines="0" zoomScale="115" zoomScaleNormal="115" workbookViewId="0">
      <pane xSplit="8" ySplit="2" topLeftCell="I126" activePane="bottomRight" state="frozen"/>
      <selection pane="topRight" activeCell="I1" sqref="I1"/>
      <selection pane="bottomLeft" activeCell="A3" sqref="A3"/>
      <selection pane="bottomRight" activeCell="D62" sqref="D56:D63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9" max="9" width="9.5" bestFit="1" customWidth="1"/>
    <col min="10" max="10" width="13.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  <col min="18" max="18" width="9.5" bestFit="1" customWidth="1"/>
  </cols>
  <sheetData>
    <row r="1" spans="1:18" ht="35.25" customHeight="1" thickBot="1">
      <c r="A1" s="388" t="s">
        <v>3460</v>
      </c>
      <c r="B1" s="389"/>
      <c r="C1" s="402" t="s">
        <v>27</v>
      </c>
      <c r="D1" s="403"/>
      <c r="E1" s="21" t="s">
        <v>26</v>
      </c>
      <c r="F1" s="20">
        <f>H1/31</f>
        <v>820935.48387096776</v>
      </c>
      <c r="G1" s="21" t="s">
        <v>4</v>
      </c>
      <c r="H1" s="22">
        <f>SUM(D4:D244)</f>
        <v>25449000</v>
      </c>
      <c r="I1" s="392"/>
      <c r="J1" s="338"/>
      <c r="K1" s="394"/>
      <c r="L1" s="396"/>
      <c r="M1" s="377"/>
      <c r="N1" s="379"/>
      <c r="O1" s="381"/>
      <c r="P1" s="383"/>
      <c r="Q1" s="377"/>
      <c r="R1" s="376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385" t="s">
        <v>25</v>
      </c>
      <c r="F2" s="386"/>
      <c r="G2" s="387"/>
      <c r="H2" s="25" t="s">
        <v>5</v>
      </c>
      <c r="I2" s="393"/>
      <c r="J2" s="333"/>
      <c r="K2" s="395"/>
      <c r="L2" s="397"/>
      <c r="M2" s="378"/>
      <c r="N2" s="380"/>
      <c r="O2" s="382"/>
      <c r="P2" s="384"/>
      <c r="Q2" s="378"/>
      <c r="R2" s="376"/>
    </row>
    <row r="3" spans="1:18" ht="36" customHeight="1">
      <c r="A3" s="441" t="s">
        <v>3477</v>
      </c>
      <c r="B3" s="442"/>
      <c r="C3" s="442"/>
      <c r="D3" s="442"/>
      <c r="E3" s="442"/>
      <c r="F3" s="442"/>
      <c r="G3" s="442"/>
      <c r="H3" s="443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322">
        <v>45415</v>
      </c>
      <c r="B4" s="439" t="s">
        <v>3461</v>
      </c>
      <c r="C4" s="341"/>
      <c r="D4" s="326">
        <v>200000</v>
      </c>
      <c r="E4" s="327"/>
      <c r="F4" s="328"/>
      <c r="G4" s="329"/>
      <c r="H4" s="398" t="s">
        <v>3462</v>
      </c>
      <c r="J4" s="43"/>
    </row>
    <row r="5" spans="1:18" ht="16.5" customHeight="1">
      <c r="A5" s="323"/>
      <c r="B5" s="440"/>
      <c r="C5" s="342"/>
      <c r="D5" s="326"/>
      <c r="E5" s="330"/>
      <c r="F5" s="331"/>
      <c r="G5" s="332"/>
      <c r="H5" s="399"/>
      <c r="J5" s="43"/>
    </row>
    <row r="6" spans="1:18" ht="16.5" customHeight="1">
      <c r="A6" s="322">
        <v>45415</v>
      </c>
      <c r="B6" s="439" t="s">
        <v>3463</v>
      </c>
      <c r="C6" s="341"/>
      <c r="D6" s="343">
        <v>600000</v>
      </c>
      <c r="E6" s="327" t="s">
        <v>3473</v>
      </c>
      <c r="F6" s="345"/>
      <c r="G6" s="346"/>
      <c r="H6" s="398" t="s">
        <v>145</v>
      </c>
    </row>
    <row r="7" spans="1:18" ht="51" customHeight="1">
      <c r="A7" s="323"/>
      <c r="B7" s="440"/>
      <c r="C7" s="342"/>
      <c r="D7" s="344"/>
      <c r="E7" s="347"/>
      <c r="F7" s="348"/>
      <c r="G7" s="349"/>
      <c r="H7" s="399"/>
    </row>
    <row r="8" spans="1:18" ht="16.5" customHeight="1">
      <c r="A8" s="322">
        <v>45415</v>
      </c>
      <c r="B8" s="444" t="s">
        <v>3464</v>
      </c>
      <c r="C8" s="341"/>
      <c r="D8" s="326">
        <v>20000</v>
      </c>
      <c r="E8" s="327"/>
      <c r="F8" s="328"/>
      <c r="G8" s="329"/>
      <c r="H8" s="398" t="s">
        <v>3465</v>
      </c>
      <c r="J8" s="48"/>
    </row>
    <row r="9" spans="1:18" ht="16.5" customHeight="1">
      <c r="A9" s="323"/>
      <c r="B9" s="445"/>
      <c r="C9" s="342"/>
      <c r="D9" s="326"/>
      <c r="E9" s="330"/>
      <c r="F9" s="331"/>
      <c r="G9" s="332"/>
      <c r="H9" s="399"/>
    </row>
    <row r="10" spans="1:18" ht="16.5" customHeight="1">
      <c r="A10" s="322">
        <v>45415</v>
      </c>
      <c r="B10" s="496" t="s">
        <v>3466</v>
      </c>
      <c r="C10" s="341"/>
      <c r="D10" s="326">
        <v>150000</v>
      </c>
      <c r="E10" s="562" t="s">
        <v>3472</v>
      </c>
      <c r="F10" s="582"/>
      <c r="G10" s="583"/>
      <c r="H10" s="398" t="s">
        <v>145</v>
      </c>
    </row>
    <row r="11" spans="1:18" ht="26.25" customHeight="1">
      <c r="A11" s="323"/>
      <c r="B11" s="497"/>
      <c r="C11" s="342"/>
      <c r="D11" s="326"/>
      <c r="E11" s="584"/>
      <c r="F11" s="585"/>
      <c r="G11" s="586"/>
      <c r="H11" s="399"/>
    </row>
    <row r="12" spans="1:18" ht="16.5" customHeight="1">
      <c r="A12" s="322">
        <v>45416</v>
      </c>
      <c r="B12" s="496" t="s">
        <v>3474</v>
      </c>
      <c r="C12" s="324"/>
      <c r="D12" s="326">
        <v>250000</v>
      </c>
      <c r="E12" s="327"/>
      <c r="F12" s="328"/>
      <c r="G12" s="329"/>
      <c r="H12" s="398" t="s">
        <v>145</v>
      </c>
      <c r="J12" s="57"/>
    </row>
    <row r="13" spans="1:18" ht="16.5" customHeight="1">
      <c r="A13" s="323"/>
      <c r="B13" s="497"/>
      <c r="C13" s="325"/>
      <c r="D13" s="326"/>
      <c r="E13" s="330"/>
      <c r="F13" s="331"/>
      <c r="G13" s="332"/>
      <c r="H13" s="399"/>
      <c r="J13" s="57"/>
    </row>
    <row r="14" spans="1:18" ht="16.5" customHeight="1">
      <c r="A14" s="322">
        <v>45416</v>
      </c>
      <c r="B14" s="596" t="s">
        <v>3475</v>
      </c>
      <c r="C14" s="341"/>
      <c r="D14" s="343">
        <v>375000</v>
      </c>
      <c r="E14" s="327" t="s">
        <v>3476</v>
      </c>
      <c r="F14" s="328"/>
      <c r="G14" s="329"/>
      <c r="H14" s="398" t="s">
        <v>145</v>
      </c>
    </row>
    <row r="15" spans="1:18" ht="16.5" customHeight="1">
      <c r="A15" s="323"/>
      <c r="B15" s="597"/>
      <c r="C15" s="342"/>
      <c r="D15" s="344"/>
      <c r="E15" s="330"/>
      <c r="F15" s="331"/>
      <c r="G15" s="332"/>
      <c r="H15" s="399"/>
    </row>
    <row r="16" spans="1:18" ht="16.5" customHeight="1">
      <c r="A16" s="322">
        <v>45417</v>
      </c>
      <c r="B16" s="596" t="s">
        <v>3467</v>
      </c>
      <c r="C16" s="324"/>
      <c r="D16" s="343">
        <v>650000</v>
      </c>
      <c r="E16" s="327" t="s">
        <v>3471</v>
      </c>
      <c r="F16" s="345"/>
      <c r="G16" s="346"/>
      <c r="H16" s="398" t="s">
        <v>145</v>
      </c>
    </row>
    <row r="17" spans="1:10" ht="41.25" customHeight="1">
      <c r="A17" s="323"/>
      <c r="B17" s="597"/>
      <c r="C17" s="325"/>
      <c r="D17" s="344"/>
      <c r="E17" s="347"/>
      <c r="F17" s="348"/>
      <c r="G17" s="349"/>
      <c r="H17" s="399"/>
    </row>
    <row r="18" spans="1:10" ht="16.5" customHeight="1">
      <c r="A18" s="322"/>
      <c r="B18" s="553" t="s">
        <v>3526</v>
      </c>
      <c r="C18" s="554"/>
      <c r="D18" s="554"/>
      <c r="E18" s="554"/>
      <c r="F18" s="554"/>
      <c r="G18" s="554"/>
      <c r="H18" s="555"/>
    </row>
    <row r="19" spans="1:10" ht="45" customHeight="1">
      <c r="A19" s="323"/>
      <c r="B19" s="559"/>
      <c r="C19" s="560"/>
      <c r="D19" s="560"/>
      <c r="E19" s="560"/>
      <c r="F19" s="560"/>
      <c r="G19" s="560"/>
      <c r="H19" s="561"/>
    </row>
    <row r="20" spans="1:10" ht="45" customHeight="1">
      <c r="A20" s="100">
        <v>45419</v>
      </c>
      <c r="B20" s="107" t="s">
        <v>3478</v>
      </c>
      <c r="C20" s="102"/>
      <c r="D20" s="104">
        <v>330000</v>
      </c>
      <c r="E20" s="627" t="s">
        <v>3479</v>
      </c>
      <c r="F20" s="628"/>
      <c r="G20" s="629"/>
      <c r="H20" s="98" t="s">
        <v>3480</v>
      </c>
    </row>
    <row r="21" spans="1:10" ht="16.5" customHeight="1">
      <c r="A21" s="322">
        <v>45419</v>
      </c>
      <c r="B21" s="496" t="s">
        <v>3481</v>
      </c>
      <c r="C21" s="325"/>
      <c r="D21" s="326">
        <v>65000</v>
      </c>
      <c r="E21" s="327" t="s">
        <v>3482</v>
      </c>
      <c r="F21" s="328"/>
      <c r="G21" s="329"/>
      <c r="H21" s="400" t="s">
        <v>3483</v>
      </c>
    </row>
    <row r="22" spans="1:10" ht="18.75" customHeight="1">
      <c r="A22" s="323"/>
      <c r="B22" s="497"/>
      <c r="C22" s="325"/>
      <c r="D22" s="326"/>
      <c r="E22" s="330"/>
      <c r="F22" s="331"/>
      <c r="G22" s="332"/>
      <c r="H22" s="401"/>
    </row>
    <row r="23" spans="1:10" ht="16.5" customHeight="1">
      <c r="A23" s="322">
        <v>45420</v>
      </c>
      <c r="B23" s="496" t="s">
        <v>3484</v>
      </c>
      <c r="C23" s="108"/>
      <c r="D23" s="343">
        <v>40000</v>
      </c>
      <c r="E23" s="327" t="s">
        <v>3485</v>
      </c>
      <c r="F23" s="345"/>
      <c r="G23" s="346"/>
      <c r="H23" s="359" t="s">
        <v>3486</v>
      </c>
    </row>
    <row r="24" spans="1:10" ht="16.5" customHeight="1">
      <c r="A24" s="323"/>
      <c r="B24" s="497"/>
      <c r="C24" s="109"/>
      <c r="D24" s="344"/>
      <c r="E24" s="347"/>
      <c r="F24" s="348"/>
      <c r="G24" s="349"/>
      <c r="H24" s="359"/>
    </row>
    <row r="25" spans="1:10" ht="16.5" customHeight="1">
      <c r="A25" s="322">
        <v>45420</v>
      </c>
      <c r="B25" s="496" t="s">
        <v>3487</v>
      </c>
      <c r="C25" s="324"/>
      <c r="D25" s="326">
        <v>100000</v>
      </c>
      <c r="E25" s="327" t="s">
        <v>3488</v>
      </c>
      <c r="F25" s="328"/>
      <c r="G25" s="329"/>
      <c r="H25" s="360" t="s">
        <v>3489</v>
      </c>
    </row>
    <row r="26" spans="1:10" ht="16.5" customHeight="1">
      <c r="A26" s="323"/>
      <c r="B26" s="497"/>
      <c r="C26" s="325"/>
      <c r="D26" s="326"/>
      <c r="E26" s="330"/>
      <c r="F26" s="331"/>
      <c r="G26" s="332"/>
      <c r="H26" s="359"/>
      <c r="J26" t="s">
        <v>995</v>
      </c>
    </row>
    <row r="27" spans="1:10" ht="16.5" customHeight="1">
      <c r="A27" s="322">
        <v>45420</v>
      </c>
      <c r="B27" s="324" t="s">
        <v>3490</v>
      </c>
      <c r="C27" s="324"/>
      <c r="D27" s="326">
        <v>500000</v>
      </c>
      <c r="E27" s="337" t="s">
        <v>3491</v>
      </c>
      <c r="F27" s="326"/>
      <c r="G27" s="326"/>
      <c r="H27" s="360" t="s">
        <v>3492</v>
      </c>
    </row>
    <row r="28" spans="1:10">
      <c r="A28" s="323"/>
      <c r="B28" s="325"/>
      <c r="C28" s="325"/>
      <c r="D28" s="326"/>
      <c r="E28" s="326"/>
      <c r="F28" s="326"/>
      <c r="G28" s="326"/>
      <c r="H28" s="359"/>
    </row>
    <row r="29" spans="1:10">
      <c r="A29" s="322">
        <v>45421</v>
      </c>
      <c r="B29" s="324" t="s">
        <v>3493</v>
      </c>
      <c r="C29" s="325"/>
      <c r="D29" s="326">
        <v>470000</v>
      </c>
      <c r="E29" s="574" t="s">
        <v>3494</v>
      </c>
      <c r="F29" s="575"/>
      <c r="G29" s="575"/>
      <c r="H29" s="359" t="s">
        <v>3500</v>
      </c>
    </row>
    <row r="30" spans="1:10">
      <c r="A30" s="323"/>
      <c r="B30" s="325"/>
      <c r="C30" s="325"/>
      <c r="D30" s="326"/>
      <c r="E30" s="575"/>
      <c r="F30" s="575"/>
      <c r="G30" s="575"/>
      <c r="H30" s="359"/>
    </row>
    <row r="31" spans="1:10">
      <c r="A31" s="322">
        <v>45421</v>
      </c>
      <c r="B31" s="324" t="s">
        <v>3551</v>
      </c>
      <c r="C31" s="324"/>
      <c r="D31" s="326">
        <v>430000</v>
      </c>
      <c r="E31" s="574" t="s">
        <v>3495</v>
      </c>
      <c r="F31" s="575"/>
      <c r="G31" s="575"/>
      <c r="H31" s="338" t="s">
        <v>3501</v>
      </c>
    </row>
    <row r="32" spans="1:10">
      <c r="A32" s="323"/>
      <c r="B32" s="325"/>
      <c r="C32" s="325"/>
      <c r="D32" s="326"/>
      <c r="E32" s="575"/>
      <c r="F32" s="575"/>
      <c r="G32" s="575"/>
      <c r="H32" s="333"/>
    </row>
    <row r="33" spans="1:8">
      <c r="A33" s="322">
        <v>45421</v>
      </c>
      <c r="B33" s="324" t="s">
        <v>3498</v>
      </c>
      <c r="C33" s="325" t="s">
        <v>3499</v>
      </c>
      <c r="D33" s="326">
        <v>1065000</v>
      </c>
      <c r="E33" s="574" t="s">
        <v>3496</v>
      </c>
      <c r="F33" s="575"/>
      <c r="G33" s="575"/>
      <c r="H33" s="359" t="s">
        <v>3525</v>
      </c>
    </row>
    <row r="34" spans="1:8">
      <c r="A34" s="323"/>
      <c r="B34" s="325"/>
      <c r="C34" s="325"/>
      <c r="D34" s="326"/>
      <c r="E34" s="575"/>
      <c r="F34" s="575"/>
      <c r="G34" s="575"/>
      <c r="H34" s="359"/>
    </row>
    <row r="35" spans="1:8">
      <c r="A35" s="322">
        <v>45421</v>
      </c>
      <c r="B35" s="324" t="s">
        <v>3523</v>
      </c>
      <c r="C35" s="325"/>
      <c r="D35" s="326">
        <v>550000</v>
      </c>
      <c r="E35" s="337" t="s">
        <v>3497</v>
      </c>
      <c r="F35" s="326"/>
      <c r="G35" s="326"/>
      <c r="H35" s="359" t="s">
        <v>3524</v>
      </c>
    </row>
    <row r="36" spans="1:8" ht="42.75" customHeight="1">
      <c r="A36" s="323"/>
      <c r="B36" s="325"/>
      <c r="C36" s="325"/>
      <c r="D36" s="326"/>
      <c r="E36" s="326"/>
      <c r="F36" s="326"/>
      <c r="G36" s="326"/>
      <c r="H36" s="359"/>
    </row>
    <row r="37" spans="1:8">
      <c r="A37" s="322">
        <v>45422</v>
      </c>
      <c r="B37" s="324" t="s">
        <v>3514</v>
      </c>
      <c r="C37" s="325"/>
      <c r="D37" s="326">
        <v>1500000</v>
      </c>
      <c r="E37" s="574" t="s">
        <v>3515</v>
      </c>
      <c r="F37" s="575"/>
      <c r="G37" s="575"/>
      <c r="H37" s="359" t="s">
        <v>1751</v>
      </c>
    </row>
    <row r="38" spans="1:8">
      <c r="A38" s="323"/>
      <c r="B38" s="325"/>
      <c r="C38" s="325"/>
      <c r="D38" s="326"/>
      <c r="E38" s="575"/>
      <c r="F38" s="575"/>
      <c r="G38" s="575"/>
      <c r="H38" s="359"/>
    </row>
    <row r="39" spans="1:8">
      <c r="A39" s="322">
        <v>45423</v>
      </c>
      <c r="B39" s="325" t="s">
        <v>3518</v>
      </c>
      <c r="C39" s="325"/>
      <c r="D39" s="326">
        <v>66000</v>
      </c>
      <c r="E39" s="337" t="s">
        <v>3519</v>
      </c>
      <c r="F39" s="326"/>
      <c r="G39" s="326"/>
      <c r="H39" s="359" t="s">
        <v>3513</v>
      </c>
    </row>
    <row r="40" spans="1:8" ht="30.75" customHeight="1">
      <c r="A40" s="323"/>
      <c r="B40" s="325"/>
      <c r="C40" s="325"/>
      <c r="D40" s="326"/>
      <c r="E40" s="326"/>
      <c r="F40" s="326"/>
      <c r="G40" s="326"/>
      <c r="H40" s="359"/>
    </row>
    <row r="41" spans="1:8" ht="15.75" customHeight="1">
      <c r="A41" s="322">
        <v>45423</v>
      </c>
      <c r="B41" s="324" t="s">
        <v>3505</v>
      </c>
      <c r="C41" s="325"/>
      <c r="D41" s="326">
        <v>280000</v>
      </c>
      <c r="E41" s="337" t="s">
        <v>3520</v>
      </c>
      <c r="F41" s="326"/>
      <c r="G41" s="326"/>
      <c r="H41" s="359" t="s">
        <v>3512</v>
      </c>
    </row>
    <row r="42" spans="1:8">
      <c r="A42" s="323"/>
      <c r="B42" s="325"/>
      <c r="C42" s="325"/>
      <c r="D42" s="326"/>
      <c r="E42" s="326"/>
      <c r="F42" s="326"/>
      <c r="G42" s="326"/>
      <c r="H42" s="359"/>
    </row>
    <row r="43" spans="1:8" ht="36" customHeight="1">
      <c r="A43" s="101">
        <v>45423</v>
      </c>
      <c r="B43" s="105" t="s">
        <v>3502</v>
      </c>
      <c r="C43" s="105"/>
      <c r="D43" s="103">
        <v>400000</v>
      </c>
      <c r="E43" s="627" t="s">
        <v>3503</v>
      </c>
      <c r="F43" s="628"/>
      <c r="G43" s="629"/>
      <c r="H43" s="106" t="s">
        <v>3504</v>
      </c>
    </row>
    <row r="44" spans="1:8">
      <c r="A44" s="335">
        <v>45423</v>
      </c>
      <c r="B44" s="341" t="s">
        <v>3507</v>
      </c>
      <c r="C44" s="353"/>
      <c r="D44" s="343">
        <v>120000</v>
      </c>
      <c r="E44" s="337" t="s">
        <v>3506</v>
      </c>
      <c r="F44" s="731"/>
      <c r="G44" s="731"/>
      <c r="H44" s="398" t="s">
        <v>3521</v>
      </c>
    </row>
    <row r="45" spans="1:8" s="30" customFormat="1">
      <c r="A45" s="336"/>
      <c r="B45" s="342"/>
      <c r="C45" s="352"/>
      <c r="D45" s="344"/>
      <c r="E45" s="731"/>
      <c r="F45" s="731"/>
      <c r="G45" s="731"/>
      <c r="H45" s="399"/>
    </row>
    <row r="46" spans="1:8">
      <c r="A46" s="322">
        <v>45423</v>
      </c>
      <c r="B46" s="324" t="s">
        <v>3508</v>
      </c>
      <c r="C46" s="325"/>
      <c r="D46" s="326">
        <v>320000</v>
      </c>
      <c r="E46" s="337" t="s">
        <v>3509</v>
      </c>
      <c r="F46" s="326"/>
      <c r="G46" s="326"/>
      <c r="H46" s="400"/>
    </row>
    <row r="47" spans="1:8">
      <c r="A47" s="323"/>
      <c r="B47" s="325"/>
      <c r="C47" s="325"/>
      <c r="D47" s="326"/>
      <c r="E47" s="326"/>
      <c r="F47" s="326"/>
      <c r="G47" s="326"/>
      <c r="H47" s="401"/>
    </row>
    <row r="48" spans="1:8">
      <c r="A48" s="322">
        <v>45423</v>
      </c>
      <c r="B48" s="325" t="s">
        <v>3510</v>
      </c>
      <c r="C48" s="325"/>
      <c r="D48" s="326">
        <v>320000</v>
      </c>
      <c r="E48" s="337" t="s">
        <v>3511</v>
      </c>
      <c r="F48" s="326"/>
      <c r="G48" s="326"/>
      <c r="H48" s="359" t="s">
        <v>1751</v>
      </c>
    </row>
    <row r="49" spans="1:10">
      <c r="A49" s="323"/>
      <c r="B49" s="325"/>
      <c r="C49" s="325"/>
      <c r="D49" s="326"/>
      <c r="E49" s="326"/>
      <c r="F49" s="326"/>
      <c r="G49" s="326"/>
      <c r="H49" s="359"/>
    </row>
    <row r="50" spans="1:10">
      <c r="A50" s="322">
        <v>45423</v>
      </c>
      <c r="B50" s="324" t="s">
        <v>3517</v>
      </c>
      <c r="C50" s="325"/>
      <c r="D50" s="326">
        <v>100000</v>
      </c>
      <c r="E50" s="337" t="s">
        <v>3516</v>
      </c>
      <c r="F50" s="326"/>
      <c r="G50" s="326"/>
      <c r="H50" s="360" t="s">
        <v>3522</v>
      </c>
    </row>
    <row r="51" spans="1:10" s="30" customFormat="1">
      <c r="A51" s="323"/>
      <c r="B51" s="325"/>
      <c r="C51" s="325"/>
      <c r="D51" s="326"/>
      <c r="E51" s="326"/>
      <c r="F51" s="326"/>
      <c r="G51" s="326"/>
      <c r="H51" s="359"/>
    </row>
    <row r="52" spans="1:10">
      <c r="A52" s="776"/>
      <c r="B52" s="430" t="s">
        <v>3550</v>
      </c>
      <c r="C52" s="431"/>
      <c r="D52" s="431"/>
      <c r="E52" s="431"/>
      <c r="F52" s="431"/>
      <c r="G52" s="431"/>
      <c r="H52" s="432"/>
    </row>
    <row r="53" spans="1:10">
      <c r="A53" s="777"/>
      <c r="B53" s="773"/>
      <c r="C53" s="774"/>
      <c r="D53" s="774"/>
      <c r="E53" s="774"/>
      <c r="F53" s="774"/>
      <c r="G53" s="774"/>
      <c r="H53" s="775"/>
    </row>
    <row r="54" spans="1:10">
      <c r="A54" s="777"/>
      <c r="B54" s="773"/>
      <c r="C54" s="774"/>
      <c r="D54" s="774"/>
      <c r="E54" s="774"/>
      <c r="F54" s="774"/>
      <c r="G54" s="774"/>
      <c r="H54" s="775"/>
    </row>
    <row r="55" spans="1:10" s="30" customFormat="1">
      <c r="A55" s="778"/>
      <c r="B55" s="433"/>
      <c r="C55" s="434"/>
      <c r="D55" s="434"/>
      <c r="E55" s="434"/>
      <c r="F55" s="434"/>
      <c r="G55" s="434"/>
      <c r="H55" s="435"/>
    </row>
    <row r="56" spans="1:10">
      <c r="A56" s="322">
        <v>45425</v>
      </c>
      <c r="B56" s="325" t="s">
        <v>3527</v>
      </c>
      <c r="C56" s="325"/>
      <c r="D56" s="343">
        <v>30000</v>
      </c>
      <c r="E56" s="337"/>
      <c r="F56" s="326"/>
      <c r="G56" s="326"/>
      <c r="H56" s="360" t="s">
        <v>3528</v>
      </c>
    </row>
    <row r="57" spans="1:10">
      <c r="A57" s="323"/>
      <c r="B57" s="325"/>
      <c r="C57" s="325"/>
      <c r="D57" s="344"/>
      <c r="E57" s="326"/>
      <c r="F57" s="326"/>
      <c r="G57" s="326"/>
      <c r="H57" s="359"/>
    </row>
    <row r="58" spans="1:10" ht="16.5" customHeight="1">
      <c r="A58" s="322">
        <v>45425</v>
      </c>
      <c r="B58" s="324" t="s">
        <v>3527</v>
      </c>
      <c r="C58" s="324"/>
      <c r="D58" s="326">
        <v>2000</v>
      </c>
      <c r="E58" s="327"/>
      <c r="F58" s="328"/>
      <c r="G58" s="329"/>
      <c r="H58" s="360" t="s">
        <v>3529</v>
      </c>
    </row>
    <row r="59" spans="1:10" ht="46.5" customHeight="1">
      <c r="A59" s="323"/>
      <c r="B59" s="325"/>
      <c r="C59" s="325"/>
      <c r="D59" s="326"/>
      <c r="E59" s="330"/>
      <c r="F59" s="331"/>
      <c r="G59" s="332"/>
      <c r="H59" s="359"/>
    </row>
    <row r="60" spans="1:10" ht="16.5" customHeight="1">
      <c r="A60" s="322">
        <v>45426</v>
      </c>
      <c r="B60" s="324" t="s">
        <v>3530</v>
      </c>
      <c r="C60" s="325"/>
      <c r="D60" s="326">
        <v>380000</v>
      </c>
      <c r="E60" s="575" t="s">
        <v>3531</v>
      </c>
      <c r="F60" s="575"/>
      <c r="G60" s="575"/>
      <c r="H60" s="338" t="s">
        <v>3532</v>
      </c>
    </row>
    <row r="61" spans="1:10" ht="16.5" customHeight="1">
      <c r="A61" s="323"/>
      <c r="B61" s="325"/>
      <c r="C61" s="325"/>
      <c r="D61" s="326"/>
      <c r="E61" s="575"/>
      <c r="F61" s="575"/>
      <c r="G61" s="575"/>
      <c r="H61" s="333"/>
    </row>
    <row r="62" spans="1:10" ht="16.5" customHeight="1">
      <c r="A62" s="322">
        <v>45428</v>
      </c>
      <c r="B62" s="324" t="s">
        <v>3535</v>
      </c>
      <c r="C62" s="324"/>
      <c r="D62" s="326">
        <v>640000</v>
      </c>
      <c r="E62" s="327" t="s">
        <v>3533</v>
      </c>
      <c r="F62" s="328"/>
      <c r="G62" s="329"/>
      <c r="H62" s="360" t="s">
        <v>3534</v>
      </c>
    </row>
    <row r="63" spans="1:10" ht="36" customHeight="1">
      <c r="A63" s="323"/>
      <c r="B63" s="325"/>
      <c r="C63" s="325"/>
      <c r="D63" s="326"/>
      <c r="E63" s="330"/>
      <c r="F63" s="331"/>
      <c r="G63" s="332"/>
      <c r="H63" s="359"/>
      <c r="J63">
        <v>492470</v>
      </c>
    </row>
    <row r="64" spans="1:10" ht="16.5" customHeight="1">
      <c r="A64" s="336">
        <v>45429</v>
      </c>
      <c r="B64" s="324" t="s">
        <v>3538</v>
      </c>
      <c r="C64" s="325"/>
      <c r="D64" s="326">
        <v>440000</v>
      </c>
      <c r="E64" s="327"/>
      <c r="F64" s="328"/>
      <c r="G64" s="329"/>
      <c r="H64" s="400" t="s">
        <v>3539</v>
      </c>
    </row>
    <row r="65" spans="1:11" ht="16.5" customHeight="1">
      <c r="A65" s="323"/>
      <c r="B65" s="325"/>
      <c r="C65" s="325"/>
      <c r="D65" s="326"/>
      <c r="E65" s="330"/>
      <c r="F65" s="331"/>
      <c r="G65" s="332"/>
      <c r="H65" s="401"/>
    </row>
    <row r="66" spans="1:11" ht="16.5" customHeight="1">
      <c r="A66" s="336">
        <v>45429</v>
      </c>
      <c r="B66" s="324" t="s">
        <v>3537</v>
      </c>
      <c r="C66" s="324"/>
      <c r="D66" s="326">
        <v>40000</v>
      </c>
      <c r="E66" s="327" t="s">
        <v>3541</v>
      </c>
      <c r="F66" s="328"/>
      <c r="G66" s="329"/>
      <c r="H66" s="400" t="s">
        <v>3540</v>
      </c>
    </row>
    <row r="67" spans="1:11" ht="16.5" customHeight="1">
      <c r="A67" s="323"/>
      <c r="B67" s="325"/>
      <c r="C67" s="325"/>
      <c r="D67" s="326"/>
      <c r="E67" s="330"/>
      <c r="F67" s="331"/>
      <c r="G67" s="332"/>
      <c r="H67" s="401"/>
      <c r="J67" t="s">
        <v>3536</v>
      </c>
    </row>
    <row r="68" spans="1:11" ht="16.5" customHeight="1">
      <c r="A68" s="336">
        <v>45430</v>
      </c>
      <c r="B68" s="324" t="s">
        <v>3542</v>
      </c>
      <c r="C68" s="325"/>
      <c r="D68" s="326">
        <v>840000</v>
      </c>
      <c r="E68" s="562" t="s">
        <v>3543</v>
      </c>
      <c r="F68" s="582"/>
      <c r="G68" s="583"/>
      <c r="H68" s="359" t="s">
        <v>147</v>
      </c>
    </row>
    <row r="69" spans="1:11" ht="17.25" customHeight="1">
      <c r="A69" s="323"/>
      <c r="B69" s="325"/>
      <c r="C69" s="325"/>
      <c r="D69" s="326"/>
      <c r="E69" s="584"/>
      <c r="F69" s="585"/>
      <c r="G69" s="586"/>
      <c r="H69" s="359"/>
    </row>
    <row r="70" spans="1:11" ht="16.5" customHeight="1">
      <c r="A70" s="336">
        <v>45430</v>
      </c>
      <c r="B70" s="324" t="s">
        <v>3545</v>
      </c>
      <c r="C70" s="325"/>
      <c r="D70" s="326">
        <v>420000</v>
      </c>
      <c r="E70" s="562" t="s">
        <v>3543</v>
      </c>
      <c r="F70" s="582"/>
      <c r="G70" s="583"/>
      <c r="H70" s="359" t="s">
        <v>3544</v>
      </c>
    </row>
    <row r="71" spans="1:11" ht="16.5" customHeight="1">
      <c r="A71" s="323"/>
      <c r="B71" s="325"/>
      <c r="C71" s="325"/>
      <c r="D71" s="326"/>
      <c r="E71" s="584"/>
      <c r="F71" s="585"/>
      <c r="G71" s="586"/>
      <c r="H71" s="359"/>
    </row>
    <row r="72" spans="1:11" ht="16.5" customHeight="1">
      <c r="A72" s="336">
        <v>45430</v>
      </c>
      <c r="B72" s="324" t="s">
        <v>3547</v>
      </c>
      <c r="C72" s="324"/>
      <c r="D72" s="326">
        <v>160000</v>
      </c>
      <c r="E72" s="327" t="s">
        <v>3549</v>
      </c>
      <c r="F72" s="328"/>
      <c r="G72" s="329"/>
      <c r="H72" s="359" t="s">
        <v>3546</v>
      </c>
    </row>
    <row r="73" spans="1:11" ht="16.5" customHeight="1">
      <c r="A73" s="323"/>
      <c r="B73" s="325"/>
      <c r="C73" s="325"/>
      <c r="D73" s="326"/>
      <c r="E73" s="330"/>
      <c r="F73" s="331"/>
      <c r="G73" s="332"/>
      <c r="H73" s="359"/>
    </row>
    <row r="74" spans="1:11" ht="16.5" customHeight="1">
      <c r="A74" s="336"/>
      <c r="B74" s="739" t="s">
        <v>3584</v>
      </c>
      <c r="C74" s="740"/>
      <c r="D74" s="740"/>
      <c r="E74" s="740"/>
      <c r="F74" s="740"/>
      <c r="G74" s="740"/>
      <c r="H74" s="741"/>
    </row>
    <row r="75" spans="1:11" ht="16.5" customHeight="1">
      <c r="A75" s="323"/>
      <c r="B75" s="748"/>
      <c r="C75" s="749"/>
      <c r="D75" s="749"/>
      <c r="E75" s="749"/>
      <c r="F75" s="749"/>
      <c r="G75" s="749"/>
      <c r="H75" s="750"/>
    </row>
    <row r="76" spans="1:11" ht="16.5" customHeight="1">
      <c r="A76" s="322"/>
      <c r="B76" s="748"/>
      <c r="C76" s="749"/>
      <c r="D76" s="749"/>
      <c r="E76" s="749"/>
      <c r="F76" s="749"/>
      <c r="G76" s="749"/>
      <c r="H76" s="750"/>
    </row>
    <row r="77" spans="1:11" ht="16.5" customHeight="1">
      <c r="A77" s="323"/>
      <c r="B77" s="742"/>
      <c r="C77" s="743"/>
      <c r="D77" s="743"/>
      <c r="E77" s="743"/>
      <c r="F77" s="743"/>
      <c r="G77" s="743"/>
      <c r="H77" s="744"/>
      <c r="K77" s="24"/>
    </row>
    <row r="78" spans="1:11" ht="16.5" customHeight="1">
      <c r="A78" s="322">
        <v>45432</v>
      </c>
      <c r="B78" s="324" t="s">
        <v>3552</v>
      </c>
      <c r="C78" s="324"/>
      <c r="D78" s="326">
        <v>1310000</v>
      </c>
      <c r="E78" s="562" t="s">
        <v>3548</v>
      </c>
      <c r="F78" s="582"/>
      <c r="G78" s="583"/>
      <c r="H78" s="359" t="s">
        <v>3554</v>
      </c>
    </row>
    <row r="79" spans="1:11" ht="16.5" customHeight="1">
      <c r="A79" s="323"/>
      <c r="B79" s="325"/>
      <c r="C79" s="325"/>
      <c r="D79" s="326"/>
      <c r="E79" s="584"/>
      <c r="F79" s="585"/>
      <c r="G79" s="586"/>
      <c r="H79" s="359"/>
      <c r="K79" s="24"/>
    </row>
    <row r="80" spans="1:11" ht="16.5" customHeight="1">
      <c r="A80" s="322">
        <v>45432</v>
      </c>
      <c r="B80" s="324" t="s">
        <v>3553</v>
      </c>
      <c r="C80" s="324"/>
      <c r="D80" s="326">
        <v>340000</v>
      </c>
      <c r="E80" s="562" t="s">
        <v>3548</v>
      </c>
      <c r="F80" s="582"/>
      <c r="G80" s="583"/>
      <c r="H80" s="359" t="s">
        <v>3554</v>
      </c>
      <c r="K80" s="24"/>
    </row>
    <row r="81" spans="1:11" ht="16.5" customHeight="1">
      <c r="A81" s="323"/>
      <c r="B81" s="325"/>
      <c r="C81" s="325"/>
      <c r="D81" s="326"/>
      <c r="E81" s="584"/>
      <c r="F81" s="585"/>
      <c r="G81" s="586"/>
      <c r="H81" s="359"/>
      <c r="K81" s="24"/>
    </row>
    <row r="82" spans="1:11" ht="16.5" customHeight="1">
      <c r="A82" s="322">
        <v>45433</v>
      </c>
      <c r="B82" s="324" t="s">
        <v>3559</v>
      </c>
      <c r="C82" s="325"/>
      <c r="D82" s="326">
        <v>190000</v>
      </c>
      <c r="E82" s="337" t="s">
        <v>3558</v>
      </c>
      <c r="F82" s="326"/>
      <c r="G82" s="326"/>
      <c r="H82" s="359" t="s">
        <v>3555</v>
      </c>
      <c r="K82" s="24"/>
    </row>
    <row r="83" spans="1:11" ht="16.5" customHeight="1">
      <c r="A83" s="323"/>
      <c r="B83" s="325"/>
      <c r="C83" s="325"/>
      <c r="D83" s="326"/>
      <c r="E83" s="326"/>
      <c r="F83" s="326"/>
      <c r="G83" s="326"/>
      <c r="H83" s="359"/>
      <c r="K83" s="24"/>
    </row>
    <row r="84" spans="1:11" ht="16.5" customHeight="1">
      <c r="A84" s="322">
        <v>45433</v>
      </c>
      <c r="B84" s="324" t="s">
        <v>3561</v>
      </c>
      <c r="C84" s="325"/>
      <c r="D84" s="326">
        <v>440000</v>
      </c>
      <c r="E84" s="327" t="s">
        <v>3557</v>
      </c>
      <c r="F84" s="328"/>
      <c r="G84" s="329"/>
      <c r="H84" s="360" t="s">
        <v>3556</v>
      </c>
      <c r="I84" s="4"/>
    </row>
    <row r="85" spans="1:11" ht="16.5" customHeight="1">
      <c r="A85" s="323"/>
      <c r="B85" s="325"/>
      <c r="C85" s="325"/>
      <c r="D85" s="326"/>
      <c r="E85" s="330"/>
      <c r="F85" s="331"/>
      <c r="G85" s="332"/>
      <c r="H85" s="359"/>
    </row>
    <row r="86" spans="1:11" ht="16.5" customHeight="1">
      <c r="A86" s="322">
        <v>45434</v>
      </c>
      <c r="B86" s="324" t="s">
        <v>3560</v>
      </c>
      <c r="C86" s="325"/>
      <c r="D86" s="326">
        <v>670000</v>
      </c>
      <c r="E86" s="562" t="s">
        <v>3569</v>
      </c>
      <c r="F86" s="582"/>
      <c r="G86" s="583"/>
      <c r="H86" s="359" t="s">
        <v>145</v>
      </c>
    </row>
    <row r="87" spans="1:11" ht="16.5" customHeight="1">
      <c r="A87" s="323"/>
      <c r="B87" s="325"/>
      <c r="C87" s="325"/>
      <c r="D87" s="326"/>
      <c r="E87" s="584"/>
      <c r="F87" s="585"/>
      <c r="G87" s="586"/>
      <c r="H87" s="359"/>
    </row>
    <row r="88" spans="1:11" ht="16.5" customHeight="1">
      <c r="A88" s="322">
        <v>45435</v>
      </c>
      <c r="B88" s="324" t="s">
        <v>3562</v>
      </c>
      <c r="C88" s="325"/>
      <c r="D88" s="326">
        <v>300000</v>
      </c>
      <c r="E88" s="327"/>
      <c r="F88" s="328"/>
      <c r="G88" s="329"/>
      <c r="H88" s="359" t="s">
        <v>3573</v>
      </c>
    </row>
    <row r="89" spans="1:11" ht="16.5" customHeight="1">
      <c r="A89" s="323"/>
      <c r="B89" s="325"/>
      <c r="C89" s="325"/>
      <c r="D89" s="326"/>
      <c r="E89" s="330"/>
      <c r="F89" s="331"/>
      <c r="G89" s="332"/>
      <c r="H89" s="359"/>
    </row>
    <row r="90" spans="1:11" ht="16.5" customHeight="1">
      <c r="A90" s="322">
        <v>45435</v>
      </c>
      <c r="B90" s="324" t="s">
        <v>3563</v>
      </c>
      <c r="C90" s="325"/>
      <c r="D90" s="326">
        <v>100000</v>
      </c>
      <c r="E90" s="327"/>
      <c r="F90" s="328"/>
      <c r="G90" s="329"/>
      <c r="H90" s="359" t="s">
        <v>3570</v>
      </c>
    </row>
    <row r="91" spans="1:11" ht="16.5" customHeight="1">
      <c r="A91" s="323"/>
      <c r="B91" s="325"/>
      <c r="C91" s="325"/>
      <c r="D91" s="326"/>
      <c r="E91" s="330"/>
      <c r="F91" s="331"/>
      <c r="G91" s="332"/>
      <c r="H91" s="359"/>
    </row>
    <row r="92" spans="1:11" ht="16.5" customHeight="1">
      <c r="A92" s="322">
        <v>45435</v>
      </c>
      <c r="B92" s="324" t="s">
        <v>3564</v>
      </c>
      <c r="C92" s="325"/>
      <c r="D92" s="326">
        <v>70000</v>
      </c>
      <c r="E92" s="327" t="s">
        <v>3565</v>
      </c>
      <c r="F92" s="328"/>
      <c r="G92" s="329"/>
      <c r="H92" s="359"/>
    </row>
    <row r="93" spans="1:11" ht="16.5" customHeight="1">
      <c r="A93" s="323"/>
      <c r="B93" s="325"/>
      <c r="C93" s="325"/>
      <c r="D93" s="326"/>
      <c r="E93" s="330"/>
      <c r="F93" s="331"/>
      <c r="G93" s="332"/>
      <c r="H93" s="359"/>
    </row>
    <row r="94" spans="1:11" ht="16.5" customHeight="1">
      <c r="A94" s="322">
        <v>45436</v>
      </c>
      <c r="B94" s="324" t="s">
        <v>3572</v>
      </c>
      <c r="C94" s="326"/>
      <c r="D94" s="326">
        <v>270000</v>
      </c>
      <c r="E94" s="327" t="s">
        <v>3571</v>
      </c>
      <c r="F94" s="328"/>
      <c r="G94" s="329"/>
      <c r="H94" s="359" t="s">
        <v>3570</v>
      </c>
    </row>
    <row r="95" spans="1:11" ht="16.5" customHeight="1">
      <c r="A95" s="323"/>
      <c r="B95" s="325"/>
      <c r="C95" s="326"/>
      <c r="D95" s="326"/>
      <c r="E95" s="330"/>
      <c r="F95" s="331"/>
      <c r="G95" s="332"/>
      <c r="H95" s="359"/>
    </row>
    <row r="96" spans="1:11" ht="16.5" customHeight="1">
      <c r="A96" s="322">
        <v>45436</v>
      </c>
      <c r="B96" s="324" t="s">
        <v>3566</v>
      </c>
      <c r="C96" s="325"/>
      <c r="D96" s="326">
        <v>165000</v>
      </c>
      <c r="E96" s="337" t="s">
        <v>3567</v>
      </c>
      <c r="F96" s="326"/>
      <c r="G96" s="326"/>
      <c r="H96" s="359" t="s">
        <v>3568</v>
      </c>
      <c r="I96" s="3"/>
      <c r="K96" s="23"/>
    </row>
    <row r="97" spans="1:8" ht="16.5" customHeight="1">
      <c r="A97" s="323"/>
      <c r="B97" s="325"/>
      <c r="C97" s="325"/>
      <c r="D97" s="326"/>
      <c r="E97" s="326"/>
      <c r="F97" s="326"/>
      <c r="G97" s="326"/>
      <c r="H97" s="359"/>
    </row>
    <row r="98" spans="1:8" ht="16.5" customHeight="1">
      <c r="A98" s="322">
        <v>45437</v>
      </c>
      <c r="B98" s="324" t="s">
        <v>3581</v>
      </c>
      <c r="C98" s="325"/>
      <c r="D98" s="326">
        <v>1800000</v>
      </c>
      <c r="E98" s="562" t="s">
        <v>3582</v>
      </c>
      <c r="F98" s="582"/>
      <c r="G98" s="583"/>
      <c r="H98" s="359" t="s">
        <v>3583</v>
      </c>
    </row>
    <row r="99" spans="1:8" ht="16.5" customHeight="1">
      <c r="A99" s="323"/>
      <c r="B99" s="325"/>
      <c r="C99" s="325"/>
      <c r="D99" s="326"/>
      <c r="E99" s="584"/>
      <c r="F99" s="585"/>
      <c r="G99" s="586"/>
      <c r="H99" s="359"/>
    </row>
    <row r="100" spans="1:8" ht="16.5" customHeight="1">
      <c r="A100" s="322">
        <v>45437</v>
      </c>
      <c r="B100" s="324" t="s">
        <v>1299</v>
      </c>
      <c r="C100" s="324"/>
      <c r="D100" s="326">
        <v>60000</v>
      </c>
      <c r="E100" s="327" t="s">
        <v>3577</v>
      </c>
      <c r="F100" s="328"/>
      <c r="G100" s="329"/>
      <c r="H100" s="359" t="s">
        <v>3574</v>
      </c>
    </row>
    <row r="101" spans="1:8" ht="16.5" customHeight="1">
      <c r="A101" s="323"/>
      <c r="B101" s="325"/>
      <c r="C101" s="325"/>
      <c r="D101" s="326"/>
      <c r="E101" s="330"/>
      <c r="F101" s="331"/>
      <c r="G101" s="332"/>
      <c r="H101" s="359"/>
    </row>
    <row r="102" spans="1:8" ht="16.5" customHeight="1">
      <c r="A102" s="322">
        <v>45437</v>
      </c>
      <c r="B102" s="324" t="s">
        <v>3575</v>
      </c>
      <c r="C102" s="325"/>
      <c r="D102" s="326">
        <v>50000</v>
      </c>
      <c r="E102" s="767">
        <v>416</v>
      </c>
      <c r="F102" s="768"/>
      <c r="G102" s="769"/>
      <c r="H102" s="359" t="s">
        <v>3576</v>
      </c>
    </row>
    <row r="103" spans="1:8" ht="16.5" customHeight="1">
      <c r="A103" s="323"/>
      <c r="B103" s="325"/>
      <c r="C103" s="325"/>
      <c r="D103" s="326"/>
      <c r="E103" s="770"/>
      <c r="F103" s="771"/>
      <c r="G103" s="772"/>
      <c r="H103" s="359"/>
    </row>
    <row r="104" spans="1:8" ht="16.5" customHeight="1">
      <c r="A104" s="334"/>
      <c r="B104" s="568" t="s">
        <v>3628</v>
      </c>
      <c r="C104" s="569"/>
      <c r="D104" s="569"/>
      <c r="E104" s="569"/>
      <c r="F104" s="569"/>
      <c r="G104" s="569"/>
      <c r="H104" s="570"/>
    </row>
    <row r="105" spans="1:8" ht="41.25" customHeight="1">
      <c r="A105" s="323"/>
      <c r="B105" s="571"/>
      <c r="C105" s="572"/>
      <c r="D105" s="572"/>
      <c r="E105" s="572"/>
      <c r="F105" s="572"/>
      <c r="G105" s="572"/>
      <c r="H105" s="573"/>
    </row>
    <row r="106" spans="1:8" ht="16.5" customHeight="1">
      <c r="A106" s="334">
        <v>45439</v>
      </c>
      <c r="B106" s="324" t="s">
        <v>3578</v>
      </c>
      <c r="C106" s="324"/>
      <c r="D106" s="326">
        <v>750000</v>
      </c>
      <c r="E106" s="562" t="s">
        <v>3579</v>
      </c>
      <c r="F106" s="582"/>
      <c r="G106" s="583"/>
      <c r="H106" s="359" t="s">
        <v>3580</v>
      </c>
    </row>
    <row r="107" spans="1:8" ht="16.5" customHeight="1">
      <c r="A107" s="323"/>
      <c r="B107" s="325"/>
      <c r="C107" s="325"/>
      <c r="D107" s="326"/>
      <c r="E107" s="584"/>
      <c r="F107" s="585"/>
      <c r="G107" s="586"/>
      <c r="H107" s="359"/>
    </row>
    <row r="108" spans="1:8" ht="16.5" customHeight="1">
      <c r="A108" s="313">
        <v>45440</v>
      </c>
      <c r="B108" s="314" t="s">
        <v>3585</v>
      </c>
      <c r="C108" s="307"/>
      <c r="D108" s="309">
        <v>1570000</v>
      </c>
      <c r="E108" s="562" t="s">
        <v>3586</v>
      </c>
      <c r="F108" s="582"/>
      <c r="G108" s="583"/>
      <c r="H108" s="764" t="s">
        <v>3587</v>
      </c>
    </row>
    <row r="109" spans="1:8" ht="16.5" customHeight="1">
      <c r="A109" s="305"/>
      <c r="B109" s="307"/>
      <c r="C109" s="307"/>
      <c r="D109" s="309"/>
      <c r="E109" s="584"/>
      <c r="F109" s="585"/>
      <c r="G109" s="586"/>
      <c r="H109" s="762"/>
    </row>
    <row r="110" spans="1:8" ht="16.5" customHeight="1">
      <c r="A110" s="313">
        <v>45440</v>
      </c>
      <c r="B110" s="314" t="s">
        <v>3588</v>
      </c>
      <c r="C110" s="307"/>
      <c r="D110" s="309">
        <v>180000</v>
      </c>
      <c r="E110" s="315" t="s">
        <v>3590</v>
      </c>
      <c r="F110" s="316"/>
      <c r="G110" s="317"/>
      <c r="H110" s="764" t="s">
        <v>3587</v>
      </c>
    </row>
    <row r="111" spans="1:8" ht="16.5" customHeight="1">
      <c r="A111" s="305"/>
      <c r="B111" s="307"/>
      <c r="C111" s="307"/>
      <c r="D111" s="309"/>
      <c r="E111" s="318"/>
      <c r="F111" s="319"/>
      <c r="G111" s="320"/>
      <c r="H111" s="762"/>
    </row>
    <row r="112" spans="1:8">
      <c r="A112" s="313">
        <v>45440</v>
      </c>
      <c r="B112" s="307" t="s">
        <v>3591</v>
      </c>
      <c r="C112" s="307"/>
      <c r="D112" s="309">
        <v>130000</v>
      </c>
      <c r="E112" s="326" t="s">
        <v>3592</v>
      </c>
      <c r="F112" s="326"/>
      <c r="G112" s="326"/>
      <c r="H112" s="762" t="s">
        <v>3597</v>
      </c>
    </row>
    <row r="113" spans="1:9">
      <c r="A113" s="305"/>
      <c r="B113" s="307"/>
      <c r="C113" s="307"/>
      <c r="D113" s="309"/>
      <c r="E113" s="326"/>
      <c r="F113" s="326"/>
      <c r="G113" s="326"/>
      <c r="H113" s="762"/>
    </row>
    <row r="114" spans="1:9" ht="16.5" customHeight="1">
      <c r="A114" s="313">
        <v>45440</v>
      </c>
      <c r="B114" s="314" t="s">
        <v>3588</v>
      </c>
      <c r="C114" s="307"/>
      <c r="D114" s="309">
        <v>20000</v>
      </c>
      <c r="E114" s="327" t="s">
        <v>3596</v>
      </c>
      <c r="F114" s="328"/>
      <c r="G114" s="329"/>
      <c r="H114" s="762" t="s">
        <v>3589</v>
      </c>
    </row>
    <row r="115" spans="1:9" ht="16.5" customHeight="1">
      <c r="A115" s="305"/>
      <c r="B115" s="307"/>
      <c r="C115" s="307"/>
      <c r="D115" s="309"/>
      <c r="E115" s="330"/>
      <c r="F115" s="331"/>
      <c r="G115" s="332"/>
      <c r="H115" s="762"/>
    </row>
    <row r="116" spans="1:9" ht="16.5" customHeight="1">
      <c r="A116" s="313">
        <v>45440</v>
      </c>
      <c r="B116" s="314" t="s">
        <v>3588</v>
      </c>
      <c r="C116" s="307"/>
      <c r="D116" s="309">
        <v>68000</v>
      </c>
      <c r="E116" s="327" t="s">
        <v>3594</v>
      </c>
      <c r="F116" s="328"/>
      <c r="G116" s="329"/>
      <c r="H116" s="762" t="s">
        <v>3595</v>
      </c>
    </row>
    <row r="117" spans="1:9" ht="16.5" customHeight="1">
      <c r="A117" s="305"/>
      <c r="B117" s="307"/>
      <c r="C117" s="307"/>
      <c r="D117" s="309"/>
      <c r="E117" s="330"/>
      <c r="F117" s="331"/>
      <c r="G117" s="332"/>
      <c r="H117" s="762"/>
    </row>
    <row r="118" spans="1:9" ht="16.5" customHeight="1">
      <c r="A118" s="765">
        <v>45441</v>
      </c>
      <c r="B118" s="314" t="s">
        <v>3598</v>
      </c>
      <c r="C118" s="307"/>
      <c r="D118" s="309">
        <v>150000</v>
      </c>
      <c r="E118" s="315"/>
      <c r="F118" s="316"/>
      <c r="G118" s="317"/>
      <c r="H118" s="764" t="s">
        <v>3604</v>
      </c>
    </row>
    <row r="119" spans="1:9" ht="16.5" customHeight="1">
      <c r="A119" s="766"/>
      <c r="B119" s="307"/>
      <c r="C119" s="307"/>
      <c r="D119" s="309"/>
      <c r="E119" s="318"/>
      <c r="F119" s="319"/>
      <c r="G119" s="320"/>
      <c r="H119" s="762"/>
    </row>
    <row r="120" spans="1:9" ht="16.5" customHeight="1">
      <c r="A120" s="765">
        <v>45441</v>
      </c>
      <c r="B120" s="314" t="s">
        <v>3598</v>
      </c>
      <c r="C120" s="307"/>
      <c r="D120" s="309">
        <v>200000</v>
      </c>
      <c r="E120" s="315"/>
      <c r="F120" s="316"/>
      <c r="G120" s="317"/>
      <c r="H120" s="764" t="s">
        <v>3599</v>
      </c>
    </row>
    <row r="121" spans="1:9" ht="16.5" customHeight="1">
      <c r="A121" s="766"/>
      <c r="B121" s="307"/>
      <c r="C121" s="307"/>
      <c r="D121" s="309"/>
      <c r="E121" s="318"/>
      <c r="F121" s="319"/>
      <c r="G121" s="320"/>
      <c r="H121" s="762"/>
    </row>
    <row r="122" spans="1:9">
      <c r="A122" s="765">
        <v>45441</v>
      </c>
      <c r="B122" s="307" t="s">
        <v>3598</v>
      </c>
      <c r="C122" s="307"/>
      <c r="D122" s="309">
        <v>280000</v>
      </c>
      <c r="E122" s="309"/>
      <c r="F122" s="309"/>
      <c r="G122" s="309"/>
      <c r="H122" s="762"/>
    </row>
    <row r="123" spans="1:9">
      <c r="A123" s="766"/>
      <c r="B123" s="307"/>
      <c r="C123" s="307"/>
      <c r="D123" s="309"/>
      <c r="E123" s="309"/>
      <c r="F123" s="309"/>
      <c r="G123" s="309"/>
      <c r="H123" s="762"/>
      <c r="I123">
        <v>25449000</v>
      </c>
    </row>
    <row r="124" spans="1:9" ht="16.5" customHeight="1">
      <c r="A124" s="313">
        <v>45441</v>
      </c>
      <c r="B124" s="314" t="s">
        <v>3600</v>
      </c>
      <c r="C124" s="307"/>
      <c r="D124" s="309">
        <v>110000</v>
      </c>
      <c r="E124" s="315" t="s">
        <v>3601</v>
      </c>
      <c r="F124" s="316"/>
      <c r="G124" s="317"/>
      <c r="H124" s="762" t="s">
        <v>3602</v>
      </c>
    </row>
    <row r="125" spans="1:9" ht="16.5" customHeight="1">
      <c r="A125" s="305"/>
      <c r="B125" s="307"/>
      <c r="C125" s="307"/>
      <c r="D125" s="309"/>
      <c r="E125" s="318"/>
      <c r="F125" s="319"/>
      <c r="G125" s="320"/>
      <c r="H125" s="762"/>
    </row>
    <row r="126" spans="1:9" ht="16.5" customHeight="1">
      <c r="A126" s="313">
        <v>45442</v>
      </c>
      <c r="B126" s="314" t="s">
        <v>3605</v>
      </c>
      <c r="C126" s="307"/>
      <c r="D126" s="309">
        <v>700000</v>
      </c>
      <c r="E126" s="315" t="s">
        <v>3620</v>
      </c>
      <c r="F126" s="316"/>
      <c r="G126" s="317"/>
      <c r="H126" s="764" t="s">
        <v>3613</v>
      </c>
    </row>
    <row r="127" spans="1:9" ht="16.5" customHeight="1">
      <c r="A127" s="305"/>
      <c r="B127" s="307"/>
      <c r="C127" s="307"/>
      <c r="D127" s="309"/>
      <c r="E127" s="318"/>
      <c r="F127" s="319"/>
      <c r="G127" s="320"/>
      <c r="H127" s="762"/>
    </row>
    <row r="128" spans="1:9" ht="16.5" customHeight="1">
      <c r="A128" s="313">
        <v>45442</v>
      </c>
      <c r="B128" s="314" t="s">
        <v>3606</v>
      </c>
      <c r="C128" s="307"/>
      <c r="D128" s="309">
        <v>1610000</v>
      </c>
      <c r="E128" s="562" t="s">
        <v>3619</v>
      </c>
      <c r="F128" s="582"/>
      <c r="G128" s="583"/>
      <c r="H128" s="764" t="s">
        <v>3603</v>
      </c>
    </row>
    <row r="129" spans="1:10" ht="16.5" customHeight="1">
      <c r="A129" s="305"/>
      <c r="B129" s="307"/>
      <c r="C129" s="307"/>
      <c r="D129" s="309"/>
      <c r="E129" s="584"/>
      <c r="F129" s="585"/>
      <c r="G129" s="586"/>
      <c r="H129" s="762"/>
    </row>
    <row r="130" spans="1:10">
      <c r="A130" s="313">
        <v>45442</v>
      </c>
      <c r="B130" s="307" t="s">
        <v>3607</v>
      </c>
      <c r="C130" s="307"/>
      <c r="D130" s="309">
        <v>480000</v>
      </c>
      <c r="E130" s="309" t="s">
        <v>3614</v>
      </c>
      <c r="F130" s="309"/>
      <c r="G130" s="309"/>
      <c r="H130" s="762" t="s">
        <v>3612</v>
      </c>
    </row>
    <row r="131" spans="1:10">
      <c r="A131" s="305"/>
      <c r="B131" s="307"/>
      <c r="C131" s="307"/>
      <c r="D131" s="309"/>
      <c r="E131" s="309"/>
      <c r="F131" s="309"/>
      <c r="G131" s="309"/>
      <c r="H131" s="762"/>
    </row>
    <row r="132" spans="1:10">
      <c r="A132" s="313">
        <v>45442</v>
      </c>
      <c r="B132" s="307" t="s">
        <v>3608</v>
      </c>
      <c r="C132" s="307"/>
      <c r="D132" s="309">
        <v>300000</v>
      </c>
      <c r="E132" s="309" t="s">
        <v>3615</v>
      </c>
      <c r="F132" s="309"/>
      <c r="G132" s="309"/>
      <c r="H132" s="762" t="s">
        <v>3613</v>
      </c>
    </row>
    <row r="133" spans="1:10" ht="17.25" thickBot="1">
      <c r="A133" s="305"/>
      <c r="B133" s="308"/>
      <c r="C133" s="308"/>
      <c r="D133" s="310"/>
      <c r="E133" s="310"/>
      <c r="F133" s="310"/>
      <c r="G133" s="310"/>
      <c r="H133" s="763"/>
    </row>
    <row r="134" spans="1:10">
      <c r="A134" s="313">
        <v>45443</v>
      </c>
      <c r="B134" s="307" t="s">
        <v>3609</v>
      </c>
      <c r="C134" s="307"/>
      <c r="D134" s="309">
        <v>493000</v>
      </c>
      <c r="E134" s="309" t="s">
        <v>3621</v>
      </c>
      <c r="F134" s="309"/>
      <c r="G134" s="309"/>
      <c r="H134" s="762" t="s">
        <v>145</v>
      </c>
      <c r="J134">
        <v>38</v>
      </c>
    </row>
    <row r="135" spans="1:10" ht="17.25" thickBot="1">
      <c r="A135" s="306"/>
      <c r="B135" s="308"/>
      <c r="C135" s="308"/>
      <c r="D135" s="310"/>
      <c r="E135" s="310"/>
      <c r="F135" s="310"/>
      <c r="G135" s="310"/>
      <c r="H135" s="762"/>
      <c r="J135">
        <v>29</v>
      </c>
    </row>
    <row r="136" spans="1:10">
      <c r="A136" s="313">
        <v>45443</v>
      </c>
      <c r="B136" s="307" t="s">
        <v>3610</v>
      </c>
      <c r="C136" s="307"/>
      <c r="D136" s="309">
        <v>250000</v>
      </c>
      <c r="E136" s="575" t="s">
        <v>3618</v>
      </c>
      <c r="F136" s="575"/>
      <c r="G136" s="575"/>
      <c r="H136" s="762" t="s">
        <v>3612</v>
      </c>
      <c r="J136">
        <v>43</v>
      </c>
    </row>
    <row r="137" spans="1:10" ht="17.25" thickBot="1">
      <c r="A137" s="306"/>
      <c r="B137" s="307"/>
      <c r="C137" s="307"/>
      <c r="D137" s="309"/>
      <c r="E137" s="575"/>
      <c r="F137" s="575"/>
      <c r="G137" s="575"/>
      <c r="H137" s="762"/>
      <c r="J137">
        <v>49</v>
      </c>
    </row>
    <row r="138" spans="1:10">
      <c r="A138" s="313">
        <v>45443</v>
      </c>
      <c r="B138" s="307" t="s">
        <v>3611</v>
      </c>
      <c r="C138" s="307"/>
      <c r="D138" s="309">
        <v>290000</v>
      </c>
      <c r="E138" s="779" t="s">
        <v>3622</v>
      </c>
      <c r="F138" s="309"/>
      <c r="G138" s="309"/>
      <c r="H138" s="762" t="s">
        <v>145</v>
      </c>
    </row>
    <row r="139" spans="1:10" ht="17.25" thickBot="1">
      <c r="A139" s="306"/>
      <c r="B139" s="307"/>
      <c r="C139" s="307"/>
      <c r="D139" s="309"/>
      <c r="E139" s="309"/>
      <c r="F139" s="309"/>
      <c r="G139" s="309"/>
      <c r="H139" s="762"/>
    </row>
    <row r="140" spans="1:10">
      <c r="A140" s="313">
        <v>45443</v>
      </c>
      <c r="B140" s="307" t="s">
        <v>3616</v>
      </c>
      <c r="C140" s="307"/>
      <c r="D140" s="309">
        <v>250000</v>
      </c>
      <c r="E140" s="309"/>
      <c r="F140" s="309"/>
      <c r="G140" s="309"/>
      <c r="H140" s="762" t="s">
        <v>3617</v>
      </c>
    </row>
    <row r="141" spans="1:10" ht="17.25" thickBot="1">
      <c r="A141" s="306"/>
      <c r="B141" s="307"/>
      <c r="C141" s="307"/>
      <c r="D141" s="309"/>
      <c r="E141" s="309"/>
      <c r="F141" s="309"/>
      <c r="G141" s="309"/>
      <c r="H141" s="762"/>
    </row>
    <row r="142" spans="1:10">
      <c r="A142" s="305"/>
      <c r="B142" s="780" t="s">
        <v>3626</v>
      </c>
      <c r="C142" s="781"/>
      <c r="D142" s="781"/>
      <c r="E142" s="781"/>
      <c r="F142" s="781"/>
      <c r="G142" s="781"/>
      <c r="H142" s="782"/>
    </row>
    <row r="143" spans="1:10">
      <c r="A143" s="305"/>
      <c r="B143" s="783"/>
      <c r="C143" s="784"/>
      <c r="D143" s="784"/>
      <c r="E143" s="784"/>
      <c r="F143" s="784"/>
      <c r="G143" s="784"/>
      <c r="H143" s="785"/>
    </row>
    <row r="144" spans="1:10">
      <c r="A144" s="305"/>
      <c r="B144" s="783"/>
      <c r="C144" s="784"/>
      <c r="D144" s="784"/>
      <c r="E144" s="784"/>
      <c r="F144" s="784"/>
      <c r="G144" s="784"/>
      <c r="H144" s="785"/>
    </row>
    <row r="145" spans="1:8">
      <c r="A145" s="305"/>
      <c r="B145" s="786"/>
      <c r="C145" s="787"/>
      <c r="D145" s="787"/>
      <c r="E145" s="787"/>
      <c r="F145" s="787"/>
      <c r="G145" s="787"/>
      <c r="H145" s="788"/>
    </row>
    <row r="146" spans="1:8">
      <c r="A146" s="305"/>
      <c r="B146" s="307"/>
      <c r="C146" s="307"/>
      <c r="D146" s="309"/>
      <c r="E146" s="309"/>
      <c r="F146" s="309"/>
      <c r="G146" s="309"/>
      <c r="H146" s="311"/>
    </row>
    <row r="147" spans="1:8">
      <c r="A147" s="305"/>
      <c r="B147" s="307"/>
      <c r="C147" s="307"/>
      <c r="D147" s="309"/>
      <c r="E147" s="309"/>
      <c r="F147" s="309"/>
      <c r="G147" s="309"/>
      <c r="H147" s="311"/>
    </row>
    <row r="148" spans="1:8">
      <c r="A148" s="305"/>
      <c r="B148" s="307"/>
      <c r="C148" s="307"/>
      <c r="D148" s="309"/>
      <c r="E148" s="309"/>
      <c r="F148" s="309"/>
      <c r="G148" s="309"/>
      <c r="H148" s="311"/>
    </row>
    <row r="149" spans="1:8">
      <c r="A149" s="305"/>
      <c r="B149" s="307"/>
      <c r="C149" s="307"/>
      <c r="D149" s="309"/>
      <c r="E149" s="309"/>
      <c r="F149" s="309"/>
      <c r="G149" s="309"/>
      <c r="H149" s="311"/>
    </row>
    <row r="150" spans="1:8" ht="17.25" customHeight="1">
      <c r="A150" s="305"/>
      <c r="B150" s="307"/>
      <c r="C150" s="307"/>
      <c r="D150" s="309"/>
      <c r="E150" s="309"/>
      <c r="F150" s="309"/>
      <c r="G150" s="309"/>
      <c r="H150" s="311"/>
    </row>
    <row r="151" spans="1:8" ht="17.25" customHeight="1">
      <c r="A151" s="305"/>
      <c r="B151" s="307"/>
      <c r="C151" s="307"/>
      <c r="D151" s="309"/>
      <c r="E151" s="309"/>
      <c r="F151" s="309"/>
      <c r="G151" s="309"/>
      <c r="H151" s="311"/>
    </row>
    <row r="152" spans="1:8" ht="17.25" customHeight="1">
      <c r="A152" s="305"/>
      <c r="B152" s="307"/>
      <c r="C152" s="307"/>
      <c r="D152" s="309"/>
      <c r="E152" s="309"/>
      <c r="F152" s="309"/>
      <c r="G152" s="309"/>
      <c r="H152" s="311"/>
    </row>
    <row r="153" spans="1:8" ht="17.25" customHeight="1">
      <c r="A153" s="305"/>
      <c r="B153" s="307"/>
      <c r="C153" s="307"/>
      <c r="D153" s="309"/>
      <c r="E153" s="309"/>
      <c r="F153" s="309"/>
      <c r="G153" s="309"/>
      <c r="H153" s="311"/>
    </row>
    <row r="154" spans="1:8">
      <c r="A154" s="305"/>
      <c r="B154" s="307"/>
      <c r="C154" s="307"/>
      <c r="D154" s="309"/>
      <c r="E154" s="309"/>
      <c r="F154" s="309"/>
      <c r="G154" s="309"/>
      <c r="H154" s="311"/>
    </row>
    <row r="155" spans="1:8">
      <c r="A155" s="305"/>
      <c r="B155" s="307"/>
      <c r="C155" s="307"/>
      <c r="D155" s="309"/>
      <c r="E155" s="309"/>
      <c r="F155" s="309"/>
      <c r="G155" s="309"/>
      <c r="H155" s="311"/>
    </row>
    <row r="156" spans="1:8">
      <c r="A156" s="305"/>
      <c r="B156" s="307"/>
      <c r="C156" s="307"/>
      <c r="D156" s="309"/>
      <c r="E156" s="309"/>
      <c r="F156" s="309"/>
      <c r="G156" s="309"/>
      <c r="H156" s="311"/>
    </row>
    <row r="157" spans="1:8">
      <c r="A157" s="305"/>
      <c r="B157" s="307"/>
      <c r="C157" s="307"/>
      <c r="D157" s="309"/>
      <c r="E157" s="309"/>
      <c r="F157" s="309"/>
      <c r="G157" s="309"/>
      <c r="H157" s="311"/>
    </row>
    <row r="158" spans="1:8">
      <c r="A158" s="305"/>
      <c r="B158" s="307"/>
      <c r="C158" s="307"/>
      <c r="D158" s="309"/>
      <c r="E158" s="309"/>
      <c r="F158" s="309"/>
      <c r="G158" s="309"/>
      <c r="H158" s="311"/>
    </row>
    <row r="159" spans="1:8">
      <c r="A159" s="305"/>
      <c r="B159" s="307"/>
      <c r="C159" s="307"/>
      <c r="D159" s="309"/>
      <c r="E159" s="309"/>
      <c r="F159" s="309"/>
      <c r="G159" s="309"/>
      <c r="H159" s="311"/>
    </row>
    <row r="160" spans="1:8">
      <c r="A160" s="305"/>
      <c r="B160" s="307"/>
      <c r="C160" s="307"/>
      <c r="D160" s="309"/>
      <c r="E160" s="309"/>
      <c r="F160" s="309"/>
      <c r="G160" s="309"/>
      <c r="H160" s="311"/>
    </row>
    <row r="161" spans="1:8">
      <c r="A161" s="305"/>
      <c r="B161" s="307"/>
      <c r="C161" s="307"/>
      <c r="D161" s="309"/>
      <c r="E161" s="309"/>
      <c r="F161" s="309"/>
      <c r="G161" s="309"/>
      <c r="H161" s="311"/>
    </row>
    <row r="162" spans="1:8">
      <c r="A162" s="305"/>
      <c r="B162" s="307"/>
      <c r="C162" s="307"/>
      <c r="D162" s="309"/>
      <c r="E162" s="309"/>
      <c r="F162" s="309"/>
      <c r="G162" s="309"/>
      <c r="H162" s="311"/>
    </row>
    <row r="163" spans="1:8">
      <c r="A163" s="305"/>
      <c r="B163" s="307"/>
      <c r="C163" s="307"/>
      <c r="D163" s="309"/>
      <c r="E163" s="309"/>
      <c r="F163" s="309"/>
      <c r="G163" s="309"/>
      <c r="H163" s="311"/>
    </row>
    <row r="164" spans="1:8">
      <c r="A164" s="305"/>
      <c r="B164" s="307"/>
      <c r="C164" s="307"/>
      <c r="D164" s="309"/>
      <c r="E164" s="309"/>
      <c r="F164" s="309"/>
      <c r="G164" s="309"/>
      <c r="H164" s="311"/>
    </row>
    <row r="165" spans="1:8">
      <c r="A165" s="305"/>
      <c r="B165" s="307"/>
      <c r="C165" s="307"/>
      <c r="D165" s="309"/>
      <c r="E165" s="309"/>
      <c r="F165" s="309"/>
      <c r="G165" s="309"/>
      <c r="H165" s="311"/>
    </row>
    <row r="166" spans="1:8">
      <c r="A166" s="305"/>
      <c r="B166" s="307"/>
      <c r="C166" s="307"/>
      <c r="D166" s="309"/>
      <c r="E166" s="309"/>
      <c r="F166" s="309"/>
      <c r="G166" s="309"/>
      <c r="H166" s="311"/>
    </row>
    <row r="167" spans="1:8">
      <c r="A167" s="305"/>
      <c r="B167" s="307"/>
      <c r="C167" s="307"/>
      <c r="D167" s="309"/>
      <c r="E167" s="309"/>
      <c r="F167" s="309"/>
      <c r="G167" s="309"/>
      <c r="H167" s="311"/>
    </row>
    <row r="168" spans="1:8" ht="17.25" customHeight="1">
      <c r="A168" s="305"/>
      <c r="B168" s="307"/>
      <c r="C168" s="307"/>
      <c r="D168" s="309"/>
      <c r="E168" s="309"/>
      <c r="F168" s="309"/>
      <c r="G168" s="309"/>
      <c r="H168" s="311"/>
    </row>
    <row r="169" spans="1:8" ht="17.25" customHeight="1">
      <c r="A169" s="305"/>
      <c r="B169" s="307"/>
      <c r="C169" s="307"/>
      <c r="D169" s="309"/>
      <c r="E169" s="309"/>
      <c r="F169" s="309"/>
      <c r="G169" s="309"/>
      <c r="H169" s="311"/>
    </row>
    <row r="170" spans="1:8">
      <c r="A170" s="305"/>
      <c r="B170" s="307"/>
      <c r="C170" s="307"/>
      <c r="D170" s="309"/>
      <c r="E170" s="309"/>
      <c r="F170" s="309"/>
      <c r="G170" s="309"/>
      <c r="H170" s="311"/>
    </row>
    <row r="171" spans="1:8">
      <c r="A171" s="305"/>
      <c r="B171" s="307"/>
      <c r="C171" s="307"/>
      <c r="D171" s="309"/>
      <c r="E171" s="309"/>
      <c r="F171" s="309"/>
      <c r="G171" s="309"/>
      <c r="H171" s="311"/>
    </row>
    <row r="172" spans="1:8">
      <c r="A172" s="305"/>
      <c r="B172" s="307"/>
      <c r="C172" s="307"/>
      <c r="D172" s="309"/>
      <c r="E172" s="309"/>
      <c r="F172" s="309"/>
      <c r="G172" s="309"/>
      <c r="H172" s="311"/>
    </row>
    <row r="173" spans="1:8">
      <c r="A173" s="305"/>
      <c r="B173" s="307"/>
      <c r="C173" s="307"/>
      <c r="D173" s="309"/>
      <c r="E173" s="309"/>
      <c r="F173" s="309"/>
      <c r="G173" s="309"/>
      <c r="H173" s="311"/>
    </row>
    <row r="174" spans="1:8">
      <c r="A174" s="305"/>
      <c r="B174" s="307"/>
      <c r="C174" s="307"/>
      <c r="D174" s="309"/>
      <c r="E174" s="309"/>
      <c r="F174" s="309"/>
      <c r="G174" s="309"/>
      <c r="H174" s="311"/>
    </row>
    <row r="175" spans="1:8">
      <c r="A175" s="305"/>
      <c r="B175" s="307"/>
      <c r="C175" s="307"/>
      <c r="D175" s="309"/>
      <c r="E175" s="309"/>
      <c r="F175" s="309"/>
      <c r="G175" s="309"/>
      <c r="H175" s="311"/>
    </row>
    <row r="176" spans="1:8">
      <c r="A176" s="305"/>
      <c r="B176" s="307"/>
      <c r="C176" s="307"/>
      <c r="D176" s="309"/>
      <c r="E176" s="309"/>
      <c r="F176" s="309"/>
      <c r="G176" s="309"/>
      <c r="H176" s="311"/>
    </row>
    <row r="177" spans="1:8">
      <c r="A177" s="305"/>
      <c r="B177" s="307"/>
      <c r="C177" s="307"/>
      <c r="D177" s="309"/>
      <c r="E177" s="309"/>
      <c r="F177" s="309"/>
      <c r="G177" s="309"/>
      <c r="H177" s="311"/>
    </row>
    <row r="178" spans="1:8">
      <c r="A178" s="305"/>
      <c r="B178" s="307"/>
      <c r="C178" s="307"/>
      <c r="D178" s="309"/>
      <c r="E178" s="309"/>
      <c r="F178" s="309"/>
      <c r="G178" s="309"/>
      <c r="H178" s="311"/>
    </row>
    <row r="179" spans="1:8">
      <c r="A179" s="305"/>
      <c r="B179" s="307"/>
      <c r="C179" s="307"/>
      <c r="D179" s="309"/>
      <c r="E179" s="309"/>
      <c r="F179" s="309"/>
      <c r="G179" s="309"/>
      <c r="H179" s="311"/>
    </row>
    <row r="180" spans="1:8">
      <c r="A180" s="305"/>
      <c r="B180" s="307"/>
      <c r="C180" s="307"/>
      <c r="D180" s="309"/>
      <c r="E180" s="309"/>
      <c r="F180" s="309"/>
      <c r="G180" s="309"/>
      <c r="H180" s="311"/>
    </row>
    <row r="181" spans="1:8">
      <c r="A181" s="305"/>
      <c r="B181" s="307"/>
      <c r="C181" s="307"/>
      <c r="D181" s="309"/>
      <c r="E181" s="309"/>
      <c r="F181" s="309"/>
      <c r="G181" s="309"/>
      <c r="H181" s="311"/>
    </row>
    <row r="182" spans="1:8">
      <c r="A182" s="305"/>
      <c r="B182" s="307"/>
      <c r="C182" s="307"/>
      <c r="D182" s="309"/>
      <c r="E182" s="309"/>
      <c r="F182" s="309"/>
      <c r="G182" s="309"/>
      <c r="H182" s="311"/>
    </row>
    <row r="183" spans="1:8">
      <c r="A183" s="305"/>
      <c r="B183" s="307"/>
      <c r="C183" s="307"/>
      <c r="D183" s="309"/>
      <c r="E183" s="309"/>
      <c r="F183" s="309"/>
      <c r="G183" s="309"/>
      <c r="H183" s="311"/>
    </row>
    <row r="184" spans="1:8" ht="17.25" customHeight="1">
      <c r="A184" s="305"/>
      <c r="B184" s="307"/>
      <c r="C184" s="307"/>
      <c r="D184" s="309"/>
      <c r="E184" s="309"/>
      <c r="F184" s="309"/>
      <c r="G184" s="309"/>
      <c r="H184" s="311"/>
    </row>
    <row r="185" spans="1:8" ht="17.25" customHeight="1">
      <c r="A185" s="305"/>
      <c r="B185" s="307"/>
      <c r="C185" s="307"/>
      <c r="D185" s="309"/>
      <c r="E185" s="309"/>
      <c r="F185" s="309"/>
      <c r="G185" s="309"/>
      <c r="H185" s="311"/>
    </row>
  </sheetData>
  <mergeCells count="519">
    <mergeCell ref="A178:A179"/>
    <mergeCell ref="B178:B179"/>
    <mergeCell ref="C178:C179"/>
    <mergeCell ref="D178:D179"/>
    <mergeCell ref="E178:G179"/>
    <mergeCell ref="H178:H179"/>
    <mergeCell ref="A184:A185"/>
    <mergeCell ref="B184:B185"/>
    <mergeCell ref="C184:C185"/>
    <mergeCell ref="D184:D185"/>
    <mergeCell ref="E184:G185"/>
    <mergeCell ref="H184:H185"/>
    <mergeCell ref="A180:A181"/>
    <mergeCell ref="B180:B181"/>
    <mergeCell ref="C180:C181"/>
    <mergeCell ref="D180:D181"/>
    <mergeCell ref="E180:G181"/>
    <mergeCell ref="H180:H181"/>
    <mergeCell ref="A182:A183"/>
    <mergeCell ref="B182:B183"/>
    <mergeCell ref="C182:C183"/>
    <mergeCell ref="D182:D183"/>
    <mergeCell ref="E182:G183"/>
    <mergeCell ref="H182:H183"/>
    <mergeCell ref="A174:A175"/>
    <mergeCell ref="B174:B175"/>
    <mergeCell ref="C174:C175"/>
    <mergeCell ref="D174:D175"/>
    <mergeCell ref="E174:G175"/>
    <mergeCell ref="H174:H175"/>
    <mergeCell ref="A176:A177"/>
    <mergeCell ref="B176:B177"/>
    <mergeCell ref="C176:C177"/>
    <mergeCell ref="D176:D177"/>
    <mergeCell ref="E176:G177"/>
    <mergeCell ref="H176:H177"/>
    <mergeCell ref="A170:A171"/>
    <mergeCell ref="B170:B171"/>
    <mergeCell ref="C170:C171"/>
    <mergeCell ref="D170:D171"/>
    <mergeCell ref="E170:G171"/>
    <mergeCell ref="H170:H171"/>
    <mergeCell ref="A172:A173"/>
    <mergeCell ref="B172:B173"/>
    <mergeCell ref="C172:C173"/>
    <mergeCell ref="D172:D173"/>
    <mergeCell ref="E172:G173"/>
    <mergeCell ref="H172:H173"/>
    <mergeCell ref="A166:A167"/>
    <mergeCell ref="B166:B167"/>
    <mergeCell ref="C166:C167"/>
    <mergeCell ref="D166:D167"/>
    <mergeCell ref="E166:G167"/>
    <mergeCell ref="H166:H167"/>
    <mergeCell ref="A168:A169"/>
    <mergeCell ref="B168:B169"/>
    <mergeCell ref="C168:C169"/>
    <mergeCell ref="D168:D169"/>
    <mergeCell ref="E168:G169"/>
    <mergeCell ref="H168:H169"/>
    <mergeCell ref="A162:A163"/>
    <mergeCell ref="B162:B163"/>
    <mergeCell ref="C162:C163"/>
    <mergeCell ref="D162:D163"/>
    <mergeCell ref="E162:G163"/>
    <mergeCell ref="H162:H163"/>
    <mergeCell ref="A164:A165"/>
    <mergeCell ref="B164:B165"/>
    <mergeCell ref="C164:C165"/>
    <mergeCell ref="D164:D165"/>
    <mergeCell ref="E164:G165"/>
    <mergeCell ref="H164:H165"/>
    <mergeCell ref="A158:A159"/>
    <mergeCell ref="B158:B159"/>
    <mergeCell ref="C158:C159"/>
    <mergeCell ref="D158:D159"/>
    <mergeCell ref="E158:G159"/>
    <mergeCell ref="H158:H159"/>
    <mergeCell ref="A160:A161"/>
    <mergeCell ref="B160:B161"/>
    <mergeCell ref="C160:C161"/>
    <mergeCell ref="D160:D161"/>
    <mergeCell ref="E160:G161"/>
    <mergeCell ref="H160:H161"/>
    <mergeCell ref="A154:A155"/>
    <mergeCell ref="B154:B155"/>
    <mergeCell ref="C154:C155"/>
    <mergeCell ref="D154:D155"/>
    <mergeCell ref="E154:G155"/>
    <mergeCell ref="H154:H155"/>
    <mergeCell ref="A156:A157"/>
    <mergeCell ref="B156:B157"/>
    <mergeCell ref="C156:C157"/>
    <mergeCell ref="D156:D157"/>
    <mergeCell ref="E156:G157"/>
    <mergeCell ref="H156:H157"/>
    <mergeCell ref="A150:A151"/>
    <mergeCell ref="B150:B151"/>
    <mergeCell ref="C150:C151"/>
    <mergeCell ref="D150:D151"/>
    <mergeCell ref="E150:G151"/>
    <mergeCell ref="H150:H151"/>
    <mergeCell ref="A152:A153"/>
    <mergeCell ref="B152:B153"/>
    <mergeCell ref="C152:C153"/>
    <mergeCell ref="D152:D153"/>
    <mergeCell ref="E152:G153"/>
    <mergeCell ref="H152:H153"/>
    <mergeCell ref="A146:A147"/>
    <mergeCell ref="B146:B147"/>
    <mergeCell ref="C146:C147"/>
    <mergeCell ref="D146:D147"/>
    <mergeCell ref="E146:G147"/>
    <mergeCell ref="H146:H147"/>
    <mergeCell ref="A148:A149"/>
    <mergeCell ref="B148:B149"/>
    <mergeCell ref="C148:C149"/>
    <mergeCell ref="D148:D149"/>
    <mergeCell ref="E148:G149"/>
    <mergeCell ref="H148:H149"/>
    <mergeCell ref="A140:A141"/>
    <mergeCell ref="B140:B141"/>
    <mergeCell ref="C140:C141"/>
    <mergeCell ref="D140:D141"/>
    <mergeCell ref="E140:G141"/>
    <mergeCell ref="H140:H141"/>
    <mergeCell ref="A142:A143"/>
    <mergeCell ref="B142:H145"/>
    <mergeCell ref="A144:A145"/>
    <mergeCell ref="A136:A137"/>
    <mergeCell ref="B136:B137"/>
    <mergeCell ref="C136:C137"/>
    <mergeCell ref="D136:D137"/>
    <mergeCell ref="E136:G137"/>
    <mergeCell ref="H136:H137"/>
    <mergeCell ref="A138:A139"/>
    <mergeCell ref="B138:B139"/>
    <mergeCell ref="C138:C139"/>
    <mergeCell ref="D138:D139"/>
    <mergeCell ref="E138:G139"/>
    <mergeCell ref="H138:H139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  <mergeCell ref="A3:H3"/>
    <mergeCell ref="A4:A5"/>
    <mergeCell ref="B4:B5"/>
    <mergeCell ref="C4:C5"/>
    <mergeCell ref="D4:D5"/>
    <mergeCell ref="E4:G5"/>
    <mergeCell ref="H4:H5"/>
    <mergeCell ref="M1:M2"/>
    <mergeCell ref="N1:N2"/>
    <mergeCell ref="A8:A9"/>
    <mergeCell ref="B8:B9"/>
    <mergeCell ref="C8:C9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A12:A13"/>
    <mergeCell ref="B12:B13"/>
    <mergeCell ref="C12:C13"/>
    <mergeCell ref="D12:D13"/>
    <mergeCell ref="E12:G13"/>
    <mergeCell ref="H12:H13"/>
    <mergeCell ref="A10:A11"/>
    <mergeCell ref="B10:B11"/>
    <mergeCell ref="C10:C11"/>
    <mergeCell ref="D10:D11"/>
    <mergeCell ref="E10:G11"/>
    <mergeCell ref="H10:H11"/>
    <mergeCell ref="A16:A17"/>
    <mergeCell ref="B16:B17"/>
    <mergeCell ref="C16:C17"/>
    <mergeCell ref="D16:D17"/>
    <mergeCell ref="E16:G17"/>
    <mergeCell ref="H16:H17"/>
    <mergeCell ref="A14:A15"/>
    <mergeCell ref="B14:B15"/>
    <mergeCell ref="C14:C15"/>
    <mergeCell ref="D14:D15"/>
    <mergeCell ref="E14:G15"/>
    <mergeCell ref="H14:H15"/>
    <mergeCell ref="B18:H19"/>
    <mergeCell ref="E20:G20"/>
    <mergeCell ref="A21:A22"/>
    <mergeCell ref="B21:B22"/>
    <mergeCell ref="C21:C22"/>
    <mergeCell ref="D21:D22"/>
    <mergeCell ref="E21:G22"/>
    <mergeCell ref="A18:A19"/>
    <mergeCell ref="A25:A26"/>
    <mergeCell ref="B25:B26"/>
    <mergeCell ref="C25:C26"/>
    <mergeCell ref="D25:D26"/>
    <mergeCell ref="E25:G26"/>
    <mergeCell ref="H25:H26"/>
    <mergeCell ref="H21:H22"/>
    <mergeCell ref="A23:A24"/>
    <mergeCell ref="B23:B24"/>
    <mergeCell ref="D23:D24"/>
    <mergeCell ref="E23:G24"/>
    <mergeCell ref="H23:H24"/>
    <mergeCell ref="A29:A30"/>
    <mergeCell ref="B29:B30"/>
    <mergeCell ref="C29:C30"/>
    <mergeCell ref="D29:D30"/>
    <mergeCell ref="E29:G30"/>
    <mergeCell ref="H29:H30"/>
    <mergeCell ref="A27:A28"/>
    <mergeCell ref="B27:B28"/>
    <mergeCell ref="C27:C28"/>
    <mergeCell ref="D27:D28"/>
    <mergeCell ref="E27:G28"/>
    <mergeCell ref="H27:H28"/>
    <mergeCell ref="A33:A34"/>
    <mergeCell ref="B33:B34"/>
    <mergeCell ref="C33:C34"/>
    <mergeCell ref="D33:D34"/>
    <mergeCell ref="E33:G34"/>
    <mergeCell ref="H33:H34"/>
    <mergeCell ref="A31:A32"/>
    <mergeCell ref="B31:B32"/>
    <mergeCell ref="C31:C32"/>
    <mergeCell ref="D31:D32"/>
    <mergeCell ref="E31:G32"/>
    <mergeCell ref="H31:H32"/>
    <mergeCell ref="A37:A38"/>
    <mergeCell ref="B37:B38"/>
    <mergeCell ref="C37:C38"/>
    <mergeCell ref="D37:D38"/>
    <mergeCell ref="E37:G38"/>
    <mergeCell ref="H37:H38"/>
    <mergeCell ref="A35:A36"/>
    <mergeCell ref="B35:B36"/>
    <mergeCell ref="C35:C36"/>
    <mergeCell ref="D35:D36"/>
    <mergeCell ref="E35:G36"/>
    <mergeCell ref="H35:H36"/>
    <mergeCell ref="A41:A42"/>
    <mergeCell ref="B41:B42"/>
    <mergeCell ref="C41:C42"/>
    <mergeCell ref="D41:D42"/>
    <mergeCell ref="E41:G42"/>
    <mergeCell ref="H41:H42"/>
    <mergeCell ref="A39:A40"/>
    <mergeCell ref="B39:B40"/>
    <mergeCell ref="C39:C40"/>
    <mergeCell ref="D39:D40"/>
    <mergeCell ref="E39:G40"/>
    <mergeCell ref="H39:H40"/>
    <mergeCell ref="H44:H45"/>
    <mergeCell ref="A46:A47"/>
    <mergeCell ref="B46:B47"/>
    <mergeCell ref="C46:C47"/>
    <mergeCell ref="D46:D47"/>
    <mergeCell ref="E46:G47"/>
    <mergeCell ref="H46:H47"/>
    <mergeCell ref="E43:G43"/>
    <mergeCell ref="A44:A45"/>
    <mergeCell ref="B44:B45"/>
    <mergeCell ref="C44:C45"/>
    <mergeCell ref="D44:D45"/>
    <mergeCell ref="E44:G45"/>
    <mergeCell ref="B52:H55"/>
    <mergeCell ref="A50:A51"/>
    <mergeCell ref="B50:B51"/>
    <mergeCell ref="C50:C51"/>
    <mergeCell ref="D50:D51"/>
    <mergeCell ref="E50:G51"/>
    <mergeCell ref="H50:H51"/>
    <mergeCell ref="A48:A49"/>
    <mergeCell ref="B48:B49"/>
    <mergeCell ref="C48:C49"/>
    <mergeCell ref="D48:D49"/>
    <mergeCell ref="E48:G49"/>
    <mergeCell ref="H48:H49"/>
    <mergeCell ref="A52:A55"/>
    <mergeCell ref="A58:A59"/>
    <mergeCell ref="B58:B59"/>
    <mergeCell ref="C58:C59"/>
    <mergeCell ref="D58:D59"/>
    <mergeCell ref="E58:G59"/>
    <mergeCell ref="H58:H59"/>
    <mergeCell ref="A56:A57"/>
    <mergeCell ref="B56:B57"/>
    <mergeCell ref="C56:C57"/>
    <mergeCell ref="D56:D57"/>
    <mergeCell ref="E56:G57"/>
    <mergeCell ref="H56:H57"/>
    <mergeCell ref="A62:A63"/>
    <mergeCell ref="B62:B63"/>
    <mergeCell ref="C62:C63"/>
    <mergeCell ref="D62:D63"/>
    <mergeCell ref="E62:G63"/>
    <mergeCell ref="H62:H63"/>
    <mergeCell ref="A60:A61"/>
    <mergeCell ref="B60:B61"/>
    <mergeCell ref="C60:C61"/>
    <mergeCell ref="D60:D61"/>
    <mergeCell ref="E60:G61"/>
    <mergeCell ref="H60:H61"/>
    <mergeCell ref="A66:A67"/>
    <mergeCell ref="B66:B67"/>
    <mergeCell ref="C66:C67"/>
    <mergeCell ref="D66:D67"/>
    <mergeCell ref="E66:G67"/>
    <mergeCell ref="H66:H67"/>
    <mergeCell ref="A64:A65"/>
    <mergeCell ref="B64:B65"/>
    <mergeCell ref="C64:C65"/>
    <mergeCell ref="D64:D65"/>
    <mergeCell ref="E64:G65"/>
    <mergeCell ref="H64:H65"/>
    <mergeCell ref="A70:A71"/>
    <mergeCell ref="B70:B71"/>
    <mergeCell ref="C70:C71"/>
    <mergeCell ref="D70:D71"/>
    <mergeCell ref="E70:G71"/>
    <mergeCell ref="H70:H71"/>
    <mergeCell ref="A68:A69"/>
    <mergeCell ref="B68:B69"/>
    <mergeCell ref="C68:C69"/>
    <mergeCell ref="D68:D69"/>
    <mergeCell ref="E68:G69"/>
    <mergeCell ref="H68:H69"/>
    <mergeCell ref="A72:A73"/>
    <mergeCell ref="B72:B73"/>
    <mergeCell ref="C72:C73"/>
    <mergeCell ref="D72:D73"/>
    <mergeCell ref="E72:G73"/>
    <mergeCell ref="H72:H73"/>
    <mergeCell ref="A76:A77"/>
    <mergeCell ref="A74:A75"/>
    <mergeCell ref="B74:H77"/>
    <mergeCell ref="A80:A81"/>
    <mergeCell ref="B80:B81"/>
    <mergeCell ref="C80:C81"/>
    <mergeCell ref="D80:D81"/>
    <mergeCell ref="E80:G81"/>
    <mergeCell ref="H80:H81"/>
    <mergeCell ref="A78:A79"/>
    <mergeCell ref="B78:B79"/>
    <mergeCell ref="C78:C79"/>
    <mergeCell ref="D78:D79"/>
    <mergeCell ref="E78:G79"/>
    <mergeCell ref="H78:H79"/>
    <mergeCell ref="A84:A85"/>
    <mergeCell ref="B84:B85"/>
    <mergeCell ref="C84:C85"/>
    <mergeCell ref="D84:D85"/>
    <mergeCell ref="E84:G85"/>
    <mergeCell ref="H84:H85"/>
    <mergeCell ref="A82:A83"/>
    <mergeCell ref="B82:B83"/>
    <mergeCell ref="C82:C83"/>
    <mergeCell ref="D82:D83"/>
    <mergeCell ref="E82:G83"/>
    <mergeCell ref="H82:H83"/>
    <mergeCell ref="A88:A89"/>
    <mergeCell ref="B88:B89"/>
    <mergeCell ref="C88:C89"/>
    <mergeCell ref="D88:D89"/>
    <mergeCell ref="E88:G89"/>
    <mergeCell ref="H88:H89"/>
    <mergeCell ref="A86:A87"/>
    <mergeCell ref="B86:B87"/>
    <mergeCell ref="C86:C87"/>
    <mergeCell ref="D86:D87"/>
    <mergeCell ref="E86:G87"/>
    <mergeCell ref="H86:H87"/>
    <mergeCell ref="A92:A93"/>
    <mergeCell ref="B92:B93"/>
    <mergeCell ref="C92:C93"/>
    <mergeCell ref="D92:D93"/>
    <mergeCell ref="E92:G93"/>
    <mergeCell ref="H92:H93"/>
    <mergeCell ref="A90:A91"/>
    <mergeCell ref="B90:B91"/>
    <mergeCell ref="C90:C91"/>
    <mergeCell ref="D90:D91"/>
    <mergeCell ref="E90:G91"/>
    <mergeCell ref="H90:H91"/>
    <mergeCell ref="A96:A97"/>
    <mergeCell ref="B96:B97"/>
    <mergeCell ref="C96:C97"/>
    <mergeCell ref="D96:D97"/>
    <mergeCell ref="E96:G97"/>
    <mergeCell ref="H96:H97"/>
    <mergeCell ref="A94:A95"/>
    <mergeCell ref="B94:B95"/>
    <mergeCell ref="C94:C95"/>
    <mergeCell ref="D94:D95"/>
    <mergeCell ref="E94:G95"/>
    <mergeCell ref="H94:H95"/>
    <mergeCell ref="E106:G107"/>
    <mergeCell ref="H106:H107"/>
    <mergeCell ref="A100:A101"/>
    <mergeCell ref="B100:B101"/>
    <mergeCell ref="C100:C101"/>
    <mergeCell ref="D100:D101"/>
    <mergeCell ref="E100:G101"/>
    <mergeCell ref="H100:H101"/>
    <mergeCell ref="A98:A99"/>
    <mergeCell ref="B98:B99"/>
    <mergeCell ref="C98:C99"/>
    <mergeCell ref="D98:D99"/>
    <mergeCell ref="E98:G99"/>
    <mergeCell ref="H98:H99"/>
    <mergeCell ref="A110:A111"/>
    <mergeCell ref="B110:B111"/>
    <mergeCell ref="C110:C111"/>
    <mergeCell ref="D110:D111"/>
    <mergeCell ref="E110:G111"/>
    <mergeCell ref="H110:H111"/>
    <mergeCell ref="A104:A105"/>
    <mergeCell ref="A102:A103"/>
    <mergeCell ref="B102:B103"/>
    <mergeCell ref="C102:C103"/>
    <mergeCell ref="D102:D103"/>
    <mergeCell ref="E102:G103"/>
    <mergeCell ref="H102:H103"/>
    <mergeCell ref="B104:H105"/>
    <mergeCell ref="A108:A109"/>
    <mergeCell ref="B108:B109"/>
    <mergeCell ref="C108:C109"/>
    <mergeCell ref="D108:D109"/>
    <mergeCell ref="E108:G109"/>
    <mergeCell ref="H108:H109"/>
    <mergeCell ref="A106:A107"/>
    <mergeCell ref="B106:B107"/>
    <mergeCell ref="C106:C107"/>
    <mergeCell ref="D106:D107"/>
    <mergeCell ref="A114:A115"/>
    <mergeCell ref="B114:B115"/>
    <mergeCell ref="C114:C115"/>
    <mergeCell ref="D114:D115"/>
    <mergeCell ref="E114:G115"/>
    <mergeCell ref="H114:H115"/>
    <mergeCell ref="A112:A113"/>
    <mergeCell ref="B112:B113"/>
    <mergeCell ref="C112:C113"/>
    <mergeCell ref="D112:D113"/>
    <mergeCell ref="E112:G113"/>
    <mergeCell ref="H112:H113"/>
    <mergeCell ref="A118:A119"/>
    <mergeCell ref="B118:B119"/>
    <mergeCell ref="C118:C119"/>
    <mergeCell ref="D118:D119"/>
    <mergeCell ref="E118:G119"/>
    <mergeCell ref="H118:H119"/>
    <mergeCell ref="A116:A117"/>
    <mergeCell ref="B116:B117"/>
    <mergeCell ref="C116:C117"/>
    <mergeCell ref="D116:D117"/>
    <mergeCell ref="E116:G117"/>
    <mergeCell ref="H116:H117"/>
    <mergeCell ref="A122:A123"/>
    <mergeCell ref="B122:B123"/>
    <mergeCell ref="C122:C123"/>
    <mergeCell ref="D122:D123"/>
    <mergeCell ref="E122:G123"/>
    <mergeCell ref="H122:H123"/>
    <mergeCell ref="A120:A121"/>
    <mergeCell ref="B120:B121"/>
    <mergeCell ref="C120:C121"/>
    <mergeCell ref="D120:D121"/>
    <mergeCell ref="E120:G121"/>
    <mergeCell ref="H120:H121"/>
    <mergeCell ref="A126:A127"/>
    <mergeCell ref="B126:B127"/>
    <mergeCell ref="C126:C127"/>
    <mergeCell ref="D126:D127"/>
    <mergeCell ref="E126:G127"/>
    <mergeCell ref="H126:H127"/>
    <mergeCell ref="A124:A125"/>
    <mergeCell ref="B124:B125"/>
    <mergeCell ref="C124:C125"/>
    <mergeCell ref="D124:D125"/>
    <mergeCell ref="E124:G125"/>
    <mergeCell ref="H124:H125"/>
    <mergeCell ref="A130:A131"/>
    <mergeCell ref="B130:B131"/>
    <mergeCell ref="C130:C131"/>
    <mergeCell ref="D130:D131"/>
    <mergeCell ref="E130:G131"/>
    <mergeCell ref="H130:H131"/>
    <mergeCell ref="A128:A129"/>
    <mergeCell ref="B128:B129"/>
    <mergeCell ref="C128:C129"/>
    <mergeCell ref="D128:D129"/>
    <mergeCell ref="E128:G129"/>
    <mergeCell ref="H128:H129"/>
    <mergeCell ref="A134:A135"/>
    <mergeCell ref="B134:B135"/>
    <mergeCell ref="C134:C135"/>
    <mergeCell ref="D134:D135"/>
    <mergeCell ref="E134:G135"/>
    <mergeCell ref="H134:H135"/>
    <mergeCell ref="A132:A133"/>
    <mergeCell ref="B132:B133"/>
    <mergeCell ref="C132:C133"/>
    <mergeCell ref="D132:D133"/>
    <mergeCell ref="E132:G133"/>
    <mergeCell ref="H132:H133"/>
  </mergeCells>
  <phoneticPr fontId="1" type="noConversion"/>
  <pageMargins left="0" right="0" top="0" bottom="0" header="0" footer="0"/>
  <pageSetup paperSize="9" scale="36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61"/>
  <sheetViews>
    <sheetView showGridLines="0" zoomScale="115" zoomScaleNormal="115" workbookViewId="0">
      <pane xSplit="8" ySplit="2" topLeftCell="I121" activePane="bottomRight" state="frozen"/>
      <selection pane="topRight" activeCell="I1" sqref="I1"/>
      <selection pane="bottomLeft" activeCell="A3" sqref="A3"/>
      <selection pane="bottomRight" activeCell="D27" sqref="D27:D28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0" max="10" width="13.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  <col min="18" max="18" width="9.5" bestFit="1" customWidth="1"/>
  </cols>
  <sheetData>
    <row r="1" spans="1:18" ht="35.25" customHeight="1" thickBot="1">
      <c r="A1" s="388" t="s">
        <v>3623</v>
      </c>
      <c r="B1" s="389"/>
      <c r="C1" s="402" t="s">
        <v>27</v>
      </c>
      <c r="D1" s="403"/>
      <c r="E1" s="21" t="s">
        <v>26</v>
      </c>
      <c r="F1" s="20">
        <f>H1/21</f>
        <v>1352923.8095238095</v>
      </c>
      <c r="G1" s="21" t="s">
        <v>4</v>
      </c>
      <c r="H1" s="22">
        <f>SUM(D4:D220)</f>
        <v>28411400</v>
      </c>
      <c r="I1" s="392"/>
      <c r="J1" s="338"/>
      <c r="K1" s="394"/>
      <c r="L1" s="396"/>
      <c r="M1" s="377"/>
      <c r="N1" s="379"/>
      <c r="O1" s="381"/>
      <c r="P1" s="383"/>
      <c r="Q1" s="377"/>
      <c r="R1" s="376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385" t="s">
        <v>25</v>
      </c>
      <c r="F2" s="386"/>
      <c r="G2" s="387"/>
      <c r="H2" s="25" t="s">
        <v>5</v>
      </c>
      <c r="I2" s="393"/>
      <c r="J2" s="333"/>
      <c r="K2" s="395"/>
      <c r="L2" s="397"/>
      <c r="M2" s="378"/>
      <c r="N2" s="380"/>
      <c r="O2" s="382"/>
      <c r="P2" s="384"/>
      <c r="Q2" s="378"/>
      <c r="R2" s="376"/>
    </row>
    <row r="3" spans="1:18" ht="36" customHeight="1">
      <c r="A3" s="441" t="s">
        <v>3629</v>
      </c>
      <c r="B3" s="442"/>
      <c r="C3" s="442"/>
      <c r="D3" s="442"/>
      <c r="E3" s="442"/>
      <c r="F3" s="442"/>
      <c r="G3" s="442"/>
      <c r="H3" s="443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322">
        <v>45444</v>
      </c>
      <c r="B4" s="439" t="s">
        <v>3624</v>
      </c>
      <c r="C4" s="341"/>
      <c r="D4" s="326">
        <v>230000</v>
      </c>
      <c r="E4" s="327" t="s">
        <v>3625</v>
      </c>
      <c r="F4" s="328"/>
      <c r="G4" s="329"/>
      <c r="H4" s="398" t="s">
        <v>31</v>
      </c>
      <c r="J4" s="43"/>
    </row>
    <row r="5" spans="1:18" ht="16.5" customHeight="1">
      <c r="A5" s="323"/>
      <c r="B5" s="440"/>
      <c r="C5" s="342"/>
      <c r="D5" s="326"/>
      <c r="E5" s="330"/>
      <c r="F5" s="331"/>
      <c r="G5" s="332"/>
      <c r="H5" s="399"/>
      <c r="J5" s="43"/>
    </row>
    <row r="6" spans="1:18" ht="16.5" customHeight="1">
      <c r="A6" s="322">
        <v>45444</v>
      </c>
      <c r="B6" s="439" t="s">
        <v>43</v>
      </c>
      <c r="C6" s="341"/>
      <c r="D6" s="343">
        <v>170000</v>
      </c>
      <c r="E6" s="327" t="s">
        <v>3627</v>
      </c>
      <c r="F6" s="345"/>
      <c r="G6" s="346"/>
      <c r="H6" s="398" t="s">
        <v>614</v>
      </c>
    </row>
    <row r="7" spans="1:18" ht="51" customHeight="1">
      <c r="A7" s="323"/>
      <c r="B7" s="440"/>
      <c r="C7" s="342"/>
      <c r="D7" s="344"/>
      <c r="E7" s="347"/>
      <c r="F7" s="348"/>
      <c r="G7" s="349"/>
      <c r="H7" s="399"/>
    </row>
    <row r="8" spans="1:18" ht="16.5" customHeight="1">
      <c r="A8" s="322">
        <v>45444</v>
      </c>
      <c r="B8" s="444" t="s">
        <v>43</v>
      </c>
      <c r="C8" s="341"/>
      <c r="D8" s="326">
        <v>64000</v>
      </c>
      <c r="E8" s="327" t="s">
        <v>2536</v>
      </c>
      <c r="F8" s="328"/>
      <c r="G8" s="329"/>
      <c r="H8" s="400" t="s">
        <v>145</v>
      </c>
      <c r="J8" s="48"/>
    </row>
    <row r="9" spans="1:18" ht="16.5" customHeight="1">
      <c r="A9" s="323"/>
      <c r="B9" s="445"/>
      <c r="C9" s="342"/>
      <c r="D9" s="326"/>
      <c r="E9" s="330"/>
      <c r="F9" s="331"/>
      <c r="G9" s="332"/>
      <c r="H9" s="401"/>
    </row>
    <row r="10" spans="1:18" ht="16.5" customHeight="1">
      <c r="A10" s="322">
        <v>45444</v>
      </c>
      <c r="B10" s="496" t="s">
        <v>43</v>
      </c>
      <c r="C10" s="341"/>
      <c r="D10" s="326">
        <v>225000</v>
      </c>
      <c r="E10" s="327"/>
      <c r="F10" s="328"/>
      <c r="G10" s="329"/>
      <c r="H10" s="400" t="s">
        <v>145</v>
      </c>
    </row>
    <row r="11" spans="1:18" ht="26.25" customHeight="1">
      <c r="A11" s="323"/>
      <c r="B11" s="497"/>
      <c r="C11" s="342"/>
      <c r="D11" s="326"/>
      <c r="E11" s="330"/>
      <c r="F11" s="331"/>
      <c r="G11" s="332"/>
      <c r="H11" s="401"/>
    </row>
    <row r="12" spans="1:18" ht="16.5" customHeight="1">
      <c r="A12" s="322"/>
      <c r="B12" s="553" t="s">
        <v>3651</v>
      </c>
      <c r="C12" s="554"/>
      <c r="D12" s="554"/>
      <c r="E12" s="554"/>
      <c r="F12" s="554"/>
      <c r="G12" s="554"/>
      <c r="H12" s="555"/>
    </row>
    <row r="13" spans="1:18" ht="45" customHeight="1">
      <c r="A13" s="323"/>
      <c r="B13" s="559"/>
      <c r="C13" s="560"/>
      <c r="D13" s="560"/>
      <c r="E13" s="560"/>
      <c r="F13" s="560"/>
      <c r="G13" s="560"/>
      <c r="H13" s="561"/>
    </row>
    <row r="14" spans="1:18" ht="45" customHeight="1">
      <c r="A14" s="113">
        <v>45446</v>
      </c>
      <c r="B14" s="122" t="s">
        <v>3630</v>
      </c>
      <c r="C14" s="116"/>
      <c r="D14" s="118">
        <v>1000000</v>
      </c>
      <c r="E14" s="808" t="s">
        <v>1980</v>
      </c>
      <c r="F14" s="722"/>
      <c r="G14" s="723"/>
      <c r="H14" s="98" t="s">
        <v>145</v>
      </c>
    </row>
    <row r="15" spans="1:18" ht="16.5" customHeight="1">
      <c r="A15" s="322">
        <v>45446</v>
      </c>
      <c r="B15" s="496" t="s">
        <v>43</v>
      </c>
      <c r="C15" s="325"/>
      <c r="D15" s="326">
        <v>190000</v>
      </c>
      <c r="E15" s="327" t="s">
        <v>3631</v>
      </c>
      <c r="F15" s="328"/>
      <c r="G15" s="329"/>
      <c r="H15" s="400" t="s">
        <v>145</v>
      </c>
    </row>
    <row r="16" spans="1:18" ht="18.75" customHeight="1">
      <c r="A16" s="323"/>
      <c r="B16" s="497"/>
      <c r="C16" s="325"/>
      <c r="D16" s="326"/>
      <c r="E16" s="330"/>
      <c r="F16" s="331"/>
      <c r="G16" s="332"/>
      <c r="H16" s="401"/>
    </row>
    <row r="17" spans="1:10" ht="16.5" customHeight="1">
      <c r="A17" s="322">
        <v>45447</v>
      </c>
      <c r="B17" s="496" t="s">
        <v>3632</v>
      </c>
      <c r="C17" s="115"/>
      <c r="D17" s="343">
        <v>900000</v>
      </c>
      <c r="E17" s="562" t="s">
        <v>1980</v>
      </c>
      <c r="F17" s="563"/>
      <c r="G17" s="564"/>
      <c r="H17" s="400" t="s">
        <v>145</v>
      </c>
    </row>
    <row r="18" spans="1:10" ht="16.5" customHeight="1">
      <c r="A18" s="323"/>
      <c r="B18" s="497"/>
      <c r="C18" s="119"/>
      <c r="D18" s="344"/>
      <c r="E18" s="565"/>
      <c r="F18" s="566"/>
      <c r="G18" s="567"/>
      <c r="H18" s="401"/>
    </row>
    <row r="19" spans="1:10" ht="16.5" customHeight="1">
      <c r="A19" s="322">
        <v>45447</v>
      </c>
      <c r="B19" s="496" t="s">
        <v>3633</v>
      </c>
      <c r="C19" s="324"/>
      <c r="D19" s="326">
        <v>1100000</v>
      </c>
      <c r="E19" s="562" t="s">
        <v>1980</v>
      </c>
      <c r="F19" s="582"/>
      <c r="G19" s="583"/>
      <c r="H19" s="400" t="s">
        <v>145</v>
      </c>
    </row>
    <row r="20" spans="1:10" ht="16.5" customHeight="1">
      <c r="A20" s="323"/>
      <c r="B20" s="497"/>
      <c r="C20" s="325"/>
      <c r="D20" s="326"/>
      <c r="E20" s="584"/>
      <c r="F20" s="585"/>
      <c r="G20" s="586"/>
      <c r="H20" s="401"/>
      <c r="J20" t="s">
        <v>995</v>
      </c>
    </row>
    <row r="21" spans="1:10" ht="16.5" customHeight="1">
      <c r="A21" s="322">
        <v>45447</v>
      </c>
      <c r="B21" s="324" t="s">
        <v>3634</v>
      </c>
      <c r="C21" s="324"/>
      <c r="D21" s="326">
        <v>220000</v>
      </c>
      <c r="E21" s="337" t="s">
        <v>3636</v>
      </c>
      <c r="F21" s="326"/>
      <c r="G21" s="326"/>
      <c r="H21" s="400" t="s">
        <v>145</v>
      </c>
    </row>
    <row r="22" spans="1:10">
      <c r="A22" s="323"/>
      <c r="B22" s="325"/>
      <c r="C22" s="325"/>
      <c r="D22" s="326"/>
      <c r="E22" s="326"/>
      <c r="F22" s="326"/>
      <c r="G22" s="326"/>
      <c r="H22" s="401"/>
    </row>
    <row r="23" spans="1:10">
      <c r="A23" s="322">
        <v>45447</v>
      </c>
      <c r="B23" s="324" t="s">
        <v>3635</v>
      </c>
      <c r="C23" s="325"/>
      <c r="D23" s="326">
        <v>245000</v>
      </c>
      <c r="E23" s="337" t="s">
        <v>3637</v>
      </c>
      <c r="F23" s="326"/>
      <c r="G23" s="326"/>
      <c r="H23" s="400" t="s">
        <v>145</v>
      </c>
    </row>
    <row r="24" spans="1:10">
      <c r="A24" s="323"/>
      <c r="B24" s="325"/>
      <c r="C24" s="325"/>
      <c r="D24" s="326"/>
      <c r="E24" s="326"/>
      <c r="F24" s="326"/>
      <c r="G24" s="326"/>
      <c r="H24" s="401"/>
    </row>
    <row r="25" spans="1:10">
      <c r="A25" s="322">
        <v>45447</v>
      </c>
      <c r="B25" s="324" t="s">
        <v>43</v>
      </c>
      <c r="C25" s="324"/>
      <c r="D25" s="326">
        <v>99000</v>
      </c>
      <c r="E25" s="337" t="s">
        <v>3638</v>
      </c>
      <c r="F25" s="326"/>
      <c r="G25" s="326"/>
      <c r="H25" s="360" t="s">
        <v>8</v>
      </c>
    </row>
    <row r="26" spans="1:10">
      <c r="A26" s="323"/>
      <c r="B26" s="325"/>
      <c r="C26" s="325"/>
      <c r="D26" s="326"/>
      <c r="E26" s="326"/>
      <c r="F26" s="326"/>
      <c r="G26" s="326"/>
      <c r="H26" s="359"/>
    </row>
    <row r="27" spans="1:10">
      <c r="A27" s="322">
        <v>45448</v>
      </c>
      <c r="B27" s="324" t="s">
        <v>3642</v>
      </c>
      <c r="C27" s="325"/>
      <c r="D27" s="326">
        <v>600000</v>
      </c>
      <c r="E27" s="337" t="s">
        <v>3639</v>
      </c>
      <c r="F27" s="326"/>
      <c r="G27" s="326"/>
      <c r="H27" s="359" t="s">
        <v>614</v>
      </c>
    </row>
    <row r="28" spans="1:10" ht="53.25" customHeight="1">
      <c r="A28" s="323"/>
      <c r="B28" s="325"/>
      <c r="C28" s="325"/>
      <c r="D28" s="326"/>
      <c r="E28" s="326"/>
      <c r="F28" s="326"/>
      <c r="G28" s="326"/>
      <c r="H28" s="359"/>
    </row>
    <row r="29" spans="1:10">
      <c r="A29" s="322">
        <v>45449</v>
      </c>
      <c r="B29" s="324" t="s">
        <v>3643</v>
      </c>
      <c r="C29" s="325"/>
      <c r="D29" s="326">
        <v>858000</v>
      </c>
      <c r="E29" s="337" t="s">
        <v>3640</v>
      </c>
      <c r="F29" s="326"/>
      <c r="G29" s="326"/>
      <c r="H29" s="359" t="s">
        <v>654</v>
      </c>
    </row>
    <row r="30" spans="1:10" ht="42.75" customHeight="1">
      <c r="A30" s="323"/>
      <c r="B30" s="325"/>
      <c r="C30" s="325"/>
      <c r="D30" s="326"/>
      <c r="E30" s="326"/>
      <c r="F30" s="326"/>
      <c r="G30" s="326"/>
      <c r="H30" s="359"/>
    </row>
    <row r="31" spans="1:10">
      <c r="A31" s="322">
        <v>45449</v>
      </c>
      <c r="B31" s="324" t="s">
        <v>3641</v>
      </c>
      <c r="C31" s="325"/>
      <c r="D31" s="326">
        <v>160000</v>
      </c>
      <c r="E31" s="337" t="s">
        <v>197</v>
      </c>
      <c r="F31" s="326"/>
      <c r="G31" s="326"/>
      <c r="H31" s="359" t="s">
        <v>31</v>
      </c>
    </row>
    <row r="32" spans="1:10">
      <c r="A32" s="323"/>
      <c r="B32" s="325"/>
      <c r="C32" s="325"/>
      <c r="D32" s="326"/>
      <c r="E32" s="326"/>
      <c r="F32" s="326"/>
      <c r="G32" s="326"/>
      <c r="H32" s="359"/>
    </row>
    <row r="33" spans="1:8">
      <c r="A33" s="322">
        <v>45450</v>
      </c>
      <c r="B33" s="325" t="s">
        <v>3644</v>
      </c>
      <c r="C33" s="325"/>
      <c r="D33" s="326">
        <v>885000</v>
      </c>
      <c r="E33" s="574" t="s">
        <v>1980</v>
      </c>
      <c r="F33" s="575"/>
      <c r="G33" s="575"/>
      <c r="H33" s="359" t="s">
        <v>145</v>
      </c>
    </row>
    <row r="34" spans="1:8" ht="30.75" customHeight="1">
      <c r="A34" s="323"/>
      <c r="B34" s="325"/>
      <c r="C34" s="325"/>
      <c r="D34" s="326"/>
      <c r="E34" s="575"/>
      <c r="F34" s="575"/>
      <c r="G34" s="575"/>
      <c r="H34" s="359"/>
    </row>
    <row r="35" spans="1:8" ht="15.75" customHeight="1">
      <c r="A35" s="322">
        <v>45450</v>
      </c>
      <c r="B35" s="324" t="s">
        <v>3646</v>
      </c>
      <c r="C35" s="325"/>
      <c r="D35" s="326">
        <v>340000</v>
      </c>
      <c r="E35" s="337" t="s">
        <v>3645</v>
      </c>
      <c r="F35" s="326"/>
      <c r="G35" s="326"/>
      <c r="H35" s="359" t="s">
        <v>145</v>
      </c>
    </row>
    <row r="36" spans="1:8">
      <c r="A36" s="323"/>
      <c r="B36" s="325"/>
      <c r="C36" s="325"/>
      <c r="D36" s="326"/>
      <c r="E36" s="326"/>
      <c r="F36" s="326"/>
      <c r="G36" s="326"/>
      <c r="H36" s="359"/>
    </row>
    <row r="37" spans="1:8" ht="36" customHeight="1">
      <c r="A37" s="114">
        <v>45450</v>
      </c>
      <c r="B37" s="120" t="s">
        <v>3294</v>
      </c>
      <c r="C37" s="120"/>
      <c r="D37" s="117">
        <v>704000</v>
      </c>
      <c r="E37" s="808" t="s">
        <v>1980</v>
      </c>
      <c r="F37" s="722"/>
      <c r="G37" s="723"/>
      <c r="H37" s="121" t="s">
        <v>614</v>
      </c>
    </row>
    <row r="38" spans="1:8">
      <c r="A38" s="335">
        <v>45450</v>
      </c>
      <c r="B38" s="341" t="s">
        <v>43</v>
      </c>
      <c r="C38" s="353"/>
      <c r="D38" s="343">
        <v>80000</v>
      </c>
      <c r="E38" s="337"/>
      <c r="F38" s="731"/>
      <c r="G38" s="731"/>
      <c r="H38" s="398" t="s">
        <v>145</v>
      </c>
    </row>
    <row r="39" spans="1:8" s="30" customFormat="1">
      <c r="A39" s="336"/>
      <c r="B39" s="342"/>
      <c r="C39" s="352"/>
      <c r="D39" s="344"/>
      <c r="E39" s="731"/>
      <c r="F39" s="731"/>
      <c r="G39" s="731"/>
      <c r="H39" s="399"/>
    </row>
    <row r="40" spans="1:8">
      <c r="A40" s="322">
        <v>45451</v>
      </c>
      <c r="B40" s="324" t="s">
        <v>3647</v>
      </c>
      <c r="C40" s="325"/>
      <c r="D40" s="326">
        <v>1390000</v>
      </c>
      <c r="E40" s="574" t="s">
        <v>1980</v>
      </c>
      <c r="F40" s="575"/>
      <c r="G40" s="575"/>
      <c r="H40" s="398" t="s">
        <v>145</v>
      </c>
    </row>
    <row r="41" spans="1:8">
      <c r="A41" s="323"/>
      <c r="B41" s="325"/>
      <c r="C41" s="325"/>
      <c r="D41" s="326"/>
      <c r="E41" s="575"/>
      <c r="F41" s="575"/>
      <c r="G41" s="575"/>
      <c r="H41" s="399"/>
    </row>
    <row r="42" spans="1:8">
      <c r="A42" s="322">
        <v>45451</v>
      </c>
      <c r="B42" s="325" t="s">
        <v>3649</v>
      </c>
      <c r="C42" s="325"/>
      <c r="D42" s="326">
        <v>640000</v>
      </c>
      <c r="E42" s="574" t="s">
        <v>3648</v>
      </c>
      <c r="F42" s="575"/>
      <c r="G42" s="575"/>
      <c r="H42" s="359" t="s">
        <v>570</v>
      </c>
    </row>
    <row r="43" spans="1:8">
      <c r="A43" s="323"/>
      <c r="B43" s="325"/>
      <c r="C43" s="325"/>
      <c r="D43" s="326"/>
      <c r="E43" s="575"/>
      <c r="F43" s="575"/>
      <c r="G43" s="575"/>
      <c r="H43" s="359"/>
    </row>
    <row r="44" spans="1:8">
      <c r="A44" s="322">
        <v>45451</v>
      </c>
      <c r="B44" s="324" t="s">
        <v>43</v>
      </c>
      <c r="C44" s="325"/>
      <c r="D44" s="326">
        <v>100000</v>
      </c>
      <c r="E44" s="337" t="s">
        <v>3650</v>
      </c>
      <c r="F44" s="326"/>
      <c r="G44" s="326"/>
      <c r="H44" s="360" t="s">
        <v>31</v>
      </c>
    </row>
    <row r="45" spans="1:8" s="30" customFormat="1">
      <c r="A45" s="323"/>
      <c r="B45" s="325"/>
      <c r="C45" s="325"/>
      <c r="D45" s="326"/>
      <c r="E45" s="326"/>
      <c r="F45" s="326"/>
      <c r="G45" s="326"/>
      <c r="H45" s="359"/>
    </row>
    <row r="46" spans="1:8">
      <c r="A46" s="322">
        <v>45451</v>
      </c>
      <c r="B46" s="324" t="s">
        <v>43</v>
      </c>
      <c r="C46" s="325"/>
      <c r="D46" s="343">
        <v>60000</v>
      </c>
      <c r="E46" s="337"/>
      <c r="F46" s="326"/>
      <c r="G46" s="326"/>
      <c r="H46" s="360" t="s">
        <v>7</v>
      </c>
    </row>
    <row r="47" spans="1:8">
      <c r="A47" s="323"/>
      <c r="B47" s="325"/>
      <c r="C47" s="325"/>
      <c r="D47" s="344"/>
      <c r="E47" s="326"/>
      <c r="F47" s="326"/>
      <c r="G47" s="326"/>
      <c r="H47" s="359"/>
    </row>
    <row r="48" spans="1:8" ht="16.5" customHeight="1">
      <c r="A48" s="322"/>
      <c r="B48" s="712" t="s">
        <v>3665</v>
      </c>
      <c r="C48" s="713"/>
      <c r="D48" s="713"/>
      <c r="E48" s="713"/>
      <c r="F48" s="713"/>
      <c r="G48" s="713"/>
      <c r="H48" s="714"/>
    </row>
    <row r="49" spans="1:11" ht="46.5" customHeight="1">
      <c r="A49" s="323"/>
      <c r="B49" s="715"/>
      <c r="C49" s="716"/>
      <c r="D49" s="716"/>
      <c r="E49" s="716"/>
      <c r="F49" s="716"/>
      <c r="G49" s="716"/>
      <c r="H49" s="717"/>
    </row>
    <row r="50" spans="1:11" ht="16.5" customHeight="1">
      <c r="A50" s="322">
        <v>45453</v>
      </c>
      <c r="B50" s="324" t="s">
        <v>3652</v>
      </c>
      <c r="C50" s="325"/>
      <c r="D50" s="326">
        <v>284000</v>
      </c>
      <c r="E50" s="337" t="s">
        <v>3653</v>
      </c>
      <c r="F50" s="326"/>
      <c r="G50" s="326"/>
      <c r="H50" s="360" t="s">
        <v>614</v>
      </c>
    </row>
    <row r="51" spans="1:11" ht="16.5" customHeight="1">
      <c r="A51" s="323"/>
      <c r="B51" s="325"/>
      <c r="C51" s="325"/>
      <c r="D51" s="326"/>
      <c r="E51" s="326"/>
      <c r="F51" s="326"/>
      <c r="G51" s="326"/>
      <c r="H51" s="359"/>
    </row>
    <row r="52" spans="1:11" ht="16.5" customHeight="1">
      <c r="A52" s="322">
        <v>45454</v>
      </c>
      <c r="B52" s="324" t="s">
        <v>43</v>
      </c>
      <c r="C52" s="324"/>
      <c r="D52" s="326">
        <v>250000</v>
      </c>
      <c r="E52" s="327"/>
      <c r="F52" s="328"/>
      <c r="G52" s="329"/>
      <c r="H52" s="360" t="s">
        <v>614</v>
      </c>
    </row>
    <row r="53" spans="1:11" ht="36" customHeight="1">
      <c r="A53" s="323"/>
      <c r="B53" s="325"/>
      <c r="C53" s="325"/>
      <c r="D53" s="326"/>
      <c r="E53" s="330"/>
      <c r="F53" s="331"/>
      <c r="G53" s="332"/>
      <c r="H53" s="359"/>
      <c r="J53">
        <v>492470</v>
      </c>
    </row>
    <row r="54" spans="1:11" ht="16.5" customHeight="1">
      <c r="A54" s="336">
        <v>45455</v>
      </c>
      <c r="B54" s="324" t="s">
        <v>3654</v>
      </c>
      <c r="C54" s="325"/>
      <c r="D54" s="326">
        <v>1850000</v>
      </c>
      <c r="E54" s="327" t="s">
        <v>2931</v>
      </c>
      <c r="F54" s="328"/>
      <c r="G54" s="329"/>
      <c r="H54" s="400" t="s">
        <v>8</v>
      </c>
    </row>
    <row r="55" spans="1:11" ht="16.5" customHeight="1">
      <c r="A55" s="323"/>
      <c r="B55" s="325"/>
      <c r="C55" s="325"/>
      <c r="D55" s="326"/>
      <c r="E55" s="330"/>
      <c r="F55" s="331"/>
      <c r="G55" s="332"/>
      <c r="H55" s="401"/>
    </row>
    <row r="56" spans="1:11" ht="16.5" customHeight="1">
      <c r="A56" s="336">
        <v>45455</v>
      </c>
      <c r="B56" s="324" t="s">
        <v>43</v>
      </c>
      <c r="C56" s="324" t="s">
        <v>3655</v>
      </c>
      <c r="D56" s="326">
        <v>44000</v>
      </c>
      <c r="E56" s="327"/>
      <c r="F56" s="328"/>
      <c r="G56" s="329"/>
      <c r="H56" s="400" t="s">
        <v>8</v>
      </c>
    </row>
    <row r="57" spans="1:11" ht="16.5" customHeight="1">
      <c r="A57" s="323"/>
      <c r="B57" s="325"/>
      <c r="C57" s="325"/>
      <c r="D57" s="326"/>
      <c r="E57" s="330"/>
      <c r="F57" s="331"/>
      <c r="G57" s="332"/>
      <c r="H57" s="401"/>
      <c r="J57" t="s">
        <v>3536</v>
      </c>
    </row>
    <row r="58" spans="1:11" ht="16.5" customHeight="1">
      <c r="A58" s="336">
        <v>45455</v>
      </c>
      <c r="B58" s="324" t="s">
        <v>43</v>
      </c>
      <c r="C58" s="325"/>
      <c r="D58" s="326">
        <v>6000</v>
      </c>
      <c r="E58" s="327"/>
      <c r="F58" s="328"/>
      <c r="G58" s="329"/>
      <c r="H58" s="359" t="s">
        <v>31</v>
      </c>
    </row>
    <row r="59" spans="1:11" ht="17.25" customHeight="1">
      <c r="A59" s="323"/>
      <c r="B59" s="325"/>
      <c r="C59" s="325"/>
      <c r="D59" s="326"/>
      <c r="E59" s="330"/>
      <c r="F59" s="331"/>
      <c r="G59" s="332"/>
      <c r="H59" s="359"/>
    </row>
    <row r="60" spans="1:11" ht="16.5" customHeight="1">
      <c r="A60" s="336">
        <v>45457</v>
      </c>
      <c r="B60" s="324" t="s">
        <v>3669</v>
      </c>
      <c r="C60" s="324"/>
      <c r="D60" s="326">
        <v>190000</v>
      </c>
      <c r="E60" s="327"/>
      <c r="F60" s="328"/>
      <c r="G60" s="329"/>
      <c r="H60" s="359" t="s">
        <v>145</v>
      </c>
    </row>
    <row r="61" spans="1:11" ht="16.5" customHeight="1">
      <c r="A61" s="323"/>
      <c r="B61" s="325"/>
      <c r="C61" s="325"/>
      <c r="D61" s="326"/>
      <c r="E61" s="330"/>
      <c r="F61" s="331"/>
      <c r="G61" s="332"/>
      <c r="H61" s="359"/>
    </row>
    <row r="62" spans="1:11" ht="16.5" customHeight="1">
      <c r="A62" s="336">
        <v>45457</v>
      </c>
      <c r="B62" s="324" t="s">
        <v>3666</v>
      </c>
      <c r="C62" s="324"/>
      <c r="D62" s="326">
        <v>410000</v>
      </c>
      <c r="E62" s="327" t="s">
        <v>3667</v>
      </c>
      <c r="F62" s="328"/>
      <c r="G62" s="329"/>
      <c r="H62" s="359" t="s">
        <v>145</v>
      </c>
    </row>
    <row r="63" spans="1:11" ht="16.5" customHeight="1">
      <c r="A63" s="323"/>
      <c r="B63" s="325"/>
      <c r="C63" s="325"/>
      <c r="D63" s="326"/>
      <c r="E63" s="330"/>
      <c r="F63" s="331"/>
      <c r="G63" s="332"/>
      <c r="H63" s="359"/>
      <c r="K63" s="24"/>
    </row>
    <row r="64" spans="1:11" ht="16.5" customHeight="1">
      <c r="A64" s="336">
        <v>45457</v>
      </c>
      <c r="B64" s="324" t="s">
        <v>3656</v>
      </c>
      <c r="C64" s="324"/>
      <c r="D64" s="326">
        <v>320000</v>
      </c>
      <c r="E64" s="327"/>
      <c r="F64" s="328"/>
      <c r="G64" s="329"/>
      <c r="H64" s="360" t="s">
        <v>146</v>
      </c>
      <c r="K64" s="24"/>
    </row>
    <row r="65" spans="1:11" ht="16.5" customHeight="1">
      <c r="A65" s="323"/>
      <c r="B65" s="325"/>
      <c r="C65" s="325"/>
      <c r="D65" s="326"/>
      <c r="E65" s="330"/>
      <c r="F65" s="331"/>
      <c r="G65" s="332"/>
      <c r="H65" s="359"/>
      <c r="K65" s="24"/>
    </row>
    <row r="66" spans="1:11" ht="16.5" customHeight="1">
      <c r="A66" s="336">
        <v>45457</v>
      </c>
      <c r="B66" s="324" t="s">
        <v>3659</v>
      </c>
      <c r="C66" s="325"/>
      <c r="D66" s="326">
        <v>100000</v>
      </c>
      <c r="E66" s="327" t="s">
        <v>3660</v>
      </c>
      <c r="F66" s="328"/>
      <c r="G66" s="329"/>
      <c r="H66" s="360" t="s">
        <v>145</v>
      </c>
      <c r="I66" s="4"/>
    </row>
    <row r="67" spans="1:11" ht="16.5" customHeight="1">
      <c r="A67" s="323"/>
      <c r="B67" s="325"/>
      <c r="C67" s="325"/>
      <c r="D67" s="326"/>
      <c r="E67" s="330"/>
      <c r="F67" s="331"/>
      <c r="G67" s="332"/>
      <c r="H67" s="359"/>
    </row>
    <row r="68" spans="1:11" ht="16.5" customHeight="1">
      <c r="A68" s="336">
        <v>45457</v>
      </c>
      <c r="B68" s="324" t="s">
        <v>3657</v>
      </c>
      <c r="C68" s="325"/>
      <c r="D68" s="326">
        <v>360000</v>
      </c>
      <c r="E68" s="562" t="s">
        <v>3658</v>
      </c>
      <c r="F68" s="582"/>
      <c r="G68" s="583"/>
      <c r="H68" s="359" t="s">
        <v>145</v>
      </c>
    </row>
    <row r="69" spans="1:11" ht="16.5" customHeight="1">
      <c r="A69" s="323"/>
      <c r="B69" s="325"/>
      <c r="C69" s="325"/>
      <c r="D69" s="326"/>
      <c r="E69" s="584"/>
      <c r="F69" s="585"/>
      <c r="G69" s="586"/>
      <c r="H69" s="359"/>
    </row>
    <row r="70" spans="1:11" ht="16.5" customHeight="1">
      <c r="A70" s="322">
        <v>45458</v>
      </c>
      <c r="B70" s="324" t="s">
        <v>3661</v>
      </c>
      <c r="C70" s="325"/>
      <c r="D70" s="326">
        <v>55000</v>
      </c>
      <c r="E70" s="327"/>
      <c r="F70" s="328"/>
      <c r="G70" s="329"/>
      <c r="H70" s="359" t="s">
        <v>145</v>
      </c>
    </row>
    <row r="71" spans="1:11" ht="16.5" customHeight="1">
      <c r="A71" s="323"/>
      <c r="B71" s="325"/>
      <c r="C71" s="325"/>
      <c r="D71" s="326"/>
      <c r="E71" s="330"/>
      <c r="F71" s="331"/>
      <c r="G71" s="332"/>
      <c r="H71" s="359"/>
    </row>
    <row r="72" spans="1:11" ht="16.5" customHeight="1">
      <c r="A72" s="322">
        <v>45458</v>
      </c>
      <c r="B72" s="324" t="s">
        <v>3662</v>
      </c>
      <c r="C72" s="325"/>
      <c r="D72" s="326">
        <v>125000</v>
      </c>
      <c r="E72" s="327"/>
      <c r="F72" s="328"/>
      <c r="G72" s="329"/>
      <c r="H72" s="359" t="s">
        <v>145</v>
      </c>
    </row>
    <row r="73" spans="1:11" ht="16.5" customHeight="1">
      <c r="A73" s="323"/>
      <c r="B73" s="325"/>
      <c r="C73" s="325"/>
      <c r="D73" s="326"/>
      <c r="E73" s="330"/>
      <c r="F73" s="331"/>
      <c r="G73" s="332"/>
      <c r="H73" s="359"/>
    </row>
    <row r="74" spans="1:11" ht="16.5" customHeight="1">
      <c r="A74" s="322">
        <v>45458</v>
      </c>
      <c r="B74" s="324" t="s">
        <v>3663</v>
      </c>
      <c r="C74" s="325"/>
      <c r="D74" s="326">
        <v>120000</v>
      </c>
      <c r="E74" s="327"/>
      <c r="F74" s="328"/>
      <c r="G74" s="329"/>
      <c r="H74" s="359" t="s">
        <v>145</v>
      </c>
    </row>
    <row r="75" spans="1:11" ht="16.5" customHeight="1">
      <c r="A75" s="323"/>
      <c r="B75" s="325"/>
      <c r="C75" s="325"/>
      <c r="D75" s="326"/>
      <c r="E75" s="330"/>
      <c r="F75" s="331"/>
      <c r="G75" s="332"/>
      <c r="H75" s="359"/>
    </row>
    <row r="76" spans="1:11" ht="16.5" customHeight="1">
      <c r="A76" s="322">
        <v>45458</v>
      </c>
      <c r="B76" s="324" t="s">
        <v>3664</v>
      </c>
      <c r="C76" s="326"/>
      <c r="D76" s="326">
        <v>620000</v>
      </c>
      <c r="E76" s="562" t="s">
        <v>3668</v>
      </c>
      <c r="F76" s="582"/>
      <c r="G76" s="583"/>
      <c r="H76" s="359" t="s">
        <v>31</v>
      </c>
    </row>
    <row r="77" spans="1:11" ht="16.5" customHeight="1">
      <c r="A77" s="323"/>
      <c r="B77" s="325"/>
      <c r="C77" s="326"/>
      <c r="D77" s="326"/>
      <c r="E77" s="584"/>
      <c r="F77" s="585"/>
      <c r="G77" s="586"/>
      <c r="H77" s="359"/>
    </row>
    <row r="78" spans="1:11" ht="16.5" customHeight="1">
      <c r="A78" s="322">
        <v>45458</v>
      </c>
      <c r="B78" s="324" t="s">
        <v>43</v>
      </c>
      <c r="C78" s="325"/>
      <c r="D78" s="326">
        <v>50000</v>
      </c>
      <c r="E78" s="337"/>
      <c r="F78" s="326"/>
      <c r="G78" s="326"/>
      <c r="H78" s="359" t="s">
        <v>8</v>
      </c>
      <c r="I78" s="3"/>
      <c r="K78" s="23"/>
    </row>
    <row r="79" spans="1:11" ht="16.5" customHeight="1">
      <c r="A79" s="323"/>
      <c r="B79" s="325"/>
      <c r="C79" s="325"/>
      <c r="D79" s="326"/>
      <c r="E79" s="326"/>
      <c r="F79" s="326"/>
      <c r="G79" s="326"/>
      <c r="H79" s="359"/>
    </row>
    <row r="80" spans="1:11" ht="16.5" customHeight="1">
      <c r="A80" s="334"/>
      <c r="B80" s="568" t="s">
        <v>3682</v>
      </c>
      <c r="C80" s="569"/>
      <c r="D80" s="569"/>
      <c r="E80" s="569"/>
      <c r="F80" s="569"/>
      <c r="G80" s="569"/>
      <c r="H80" s="570"/>
    </row>
    <row r="81" spans="1:8" ht="41.25" customHeight="1">
      <c r="A81" s="323"/>
      <c r="B81" s="571"/>
      <c r="C81" s="572"/>
      <c r="D81" s="572"/>
      <c r="E81" s="572"/>
      <c r="F81" s="572"/>
      <c r="G81" s="572"/>
      <c r="H81" s="573"/>
    </row>
    <row r="82" spans="1:8" ht="16.5" customHeight="1">
      <c r="A82" s="334">
        <v>45461</v>
      </c>
      <c r="B82" s="324" t="s">
        <v>1336</v>
      </c>
      <c r="C82" s="324"/>
      <c r="D82" s="326">
        <v>150000</v>
      </c>
      <c r="E82" s="327" t="s">
        <v>3675</v>
      </c>
      <c r="F82" s="328"/>
      <c r="G82" s="329"/>
      <c r="H82" s="359" t="s">
        <v>8</v>
      </c>
    </row>
    <row r="83" spans="1:8" ht="16.5" customHeight="1">
      <c r="A83" s="323"/>
      <c r="B83" s="325"/>
      <c r="C83" s="325"/>
      <c r="D83" s="326"/>
      <c r="E83" s="330"/>
      <c r="F83" s="331"/>
      <c r="G83" s="332"/>
      <c r="H83" s="359"/>
    </row>
    <row r="84" spans="1:8" ht="16.5" customHeight="1">
      <c r="A84" s="334">
        <v>45461</v>
      </c>
      <c r="B84" s="314" t="s">
        <v>3673</v>
      </c>
      <c r="C84" s="307"/>
      <c r="D84" s="309">
        <v>270000</v>
      </c>
      <c r="E84" s="327" t="s">
        <v>3674</v>
      </c>
      <c r="F84" s="328"/>
      <c r="G84" s="329"/>
      <c r="H84" s="764" t="s">
        <v>145</v>
      </c>
    </row>
    <row r="85" spans="1:8" ht="16.5" customHeight="1">
      <c r="A85" s="323"/>
      <c r="B85" s="307"/>
      <c r="C85" s="307"/>
      <c r="D85" s="309"/>
      <c r="E85" s="330"/>
      <c r="F85" s="331"/>
      <c r="G85" s="332"/>
      <c r="H85" s="762"/>
    </row>
    <row r="86" spans="1:8" ht="16.5" customHeight="1">
      <c r="A86" s="334">
        <v>45461</v>
      </c>
      <c r="B86" s="314" t="s">
        <v>513</v>
      </c>
      <c r="C86" s="307"/>
      <c r="D86" s="309">
        <v>300000</v>
      </c>
      <c r="E86" s="327" t="s">
        <v>1980</v>
      </c>
      <c r="F86" s="328"/>
      <c r="G86" s="329"/>
      <c r="H86" s="764" t="s">
        <v>145</v>
      </c>
    </row>
    <row r="87" spans="1:8" ht="16.5" customHeight="1">
      <c r="A87" s="323"/>
      <c r="B87" s="307"/>
      <c r="C87" s="307"/>
      <c r="D87" s="309"/>
      <c r="E87" s="330"/>
      <c r="F87" s="331"/>
      <c r="G87" s="332"/>
      <c r="H87" s="762"/>
    </row>
    <row r="88" spans="1:8">
      <c r="A88" s="334">
        <v>45461</v>
      </c>
      <c r="B88" s="307" t="s">
        <v>3671</v>
      </c>
      <c r="C88" s="307"/>
      <c r="D88" s="309">
        <v>350000</v>
      </c>
      <c r="E88" s="326" t="s">
        <v>3672</v>
      </c>
      <c r="F88" s="326"/>
      <c r="G88" s="326"/>
      <c r="H88" s="762" t="s">
        <v>145</v>
      </c>
    </row>
    <row r="89" spans="1:8">
      <c r="A89" s="323"/>
      <c r="B89" s="307"/>
      <c r="C89" s="307"/>
      <c r="D89" s="309"/>
      <c r="E89" s="326"/>
      <c r="F89" s="326"/>
      <c r="G89" s="326"/>
      <c r="H89" s="762"/>
    </row>
    <row r="90" spans="1:8" ht="16.5" customHeight="1">
      <c r="A90" s="313">
        <v>45462</v>
      </c>
      <c r="B90" s="314" t="s">
        <v>3670</v>
      </c>
      <c r="C90" s="307"/>
      <c r="D90" s="309">
        <v>860000</v>
      </c>
      <c r="E90" s="562" t="s">
        <v>1980</v>
      </c>
      <c r="F90" s="582"/>
      <c r="G90" s="583"/>
      <c r="H90" s="762" t="s">
        <v>145</v>
      </c>
    </row>
    <row r="91" spans="1:8" ht="16.5" customHeight="1">
      <c r="A91" s="305"/>
      <c r="B91" s="307"/>
      <c r="C91" s="307"/>
      <c r="D91" s="309"/>
      <c r="E91" s="584"/>
      <c r="F91" s="585"/>
      <c r="G91" s="586"/>
      <c r="H91" s="762"/>
    </row>
    <row r="92" spans="1:8" ht="16.5" customHeight="1">
      <c r="A92" s="313">
        <v>45463</v>
      </c>
      <c r="B92" s="314" t="s">
        <v>3676</v>
      </c>
      <c r="C92" s="307"/>
      <c r="D92" s="309">
        <v>1080000</v>
      </c>
      <c r="E92" s="562" t="s">
        <v>1980</v>
      </c>
      <c r="F92" s="582"/>
      <c r="G92" s="583"/>
      <c r="H92" s="762" t="s">
        <v>145</v>
      </c>
    </row>
    <row r="93" spans="1:8" ht="16.5" customHeight="1">
      <c r="A93" s="305"/>
      <c r="B93" s="307"/>
      <c r="C93" s="307"/>
      <c r="D93" s="309"/>
      <c r="E93" s="584"/>
      <c r="F93" s="585"/>
      <c r="G93" s="586"/>
      <c r="H93" s="762"/>
    </row>
    <row r="94" spans="1:8" ht="16.5" customHeight="1">
      <c r="A94" s="313">
        <v>45463</v>
      </c>
      <c r="B94" s="314" t="s">
        <v>43</v>
      </c>
      <c r="C94" s="307"/>
      <c r="D94" s="309">
        <v>240000</v>
      </c>
      <c r="E94" s="315"/>
      <c r="F94" s="316"/>
      <c r="G94" s="317"/>
      <c r="H94" s="762" t="s">
        <v>8</v>
      </c>
    </row>
    <row r="95" spans="1:8" ht="16.5" customHeight="1">
      <c r="A95" s="305"/>
      <c r="B95" s="307"/>
      <c r="C95" s="307"/>
      <c r="D95" s="309"/>
      <c r="E95" s="318"/>
      <c r="F95" s="319"/>
      <c r="G95" s="320"/>
      <c r="H95" s="762"/>
    </row>
    <row r="96" spans="1:8" ht="16.5" customHeight="1">
      <c r="A96" s="313">
        <v>45463</v>
      </c>
      <c r="B96" s="314" t="s">
        <v>43</v>
      </c>
      <c r="C96" s="307"/>
      <c r="D96" s="309">
        <v>115000</v>
      </c>
      <c r="E96" s="315"/>
      <c r="F96" s="316"/>
      <c r="G96" s="317"/>
      <c r="H96" s="762" t="s">
        <v>145</v>
      </c>
    </row>
    <row r="97" spans="1:10" ht="16.5" customHeight="1">
      <c r="A97" s="305"/>
      <c r="B97" s="307"/>
      <c r="C97" s="307"/>
      <c r="D97" s="309"/>
      <c r="E97" s="318"/>
      <c r="F97" s="319"/>
      <c r="G97" s="320"/>
      <c r="H97" s="762"/>
    </row>
    <row r="98" spans="1:10">
      <c r="A98" s="313">
        <v>45463</v>
      </c>
      <c r="B98" s="314" t="s">
        <v>41</v>
      </c>
      <c r="C98" s="307"/>
      <c r="D98" s="309">
        <v>50000</v>
      </c>
      <c r="E98" s="309"/>
      <c r="F98" s="309"/>
      <c r="G98" s="309"/>
      <c r="H98" s="762" t="s">
        <v>8</v>
      </c>
    </row>
    <row r="99" spans="1:10">
      <c r="A99" s="305"/>
      <c r="B99" s="307"/>
      <c r="C99" s="307"/>
      <c r="D99" s="309"/>
      <c r="E99" s="309"/>
      <c r="F99" s="309"/>
      <c r="G99" s="309"/>
      <c r="H99" s="762"/>
    </row>
    <row r="100" spans="1:10" ht="16.5" customHeight="1">
      <c r="A100" s="765">
        <v>45464</v>
      </c>
      <c r="B100" s="314" t="s">
        <v>3677</v>
      </c>
      <c r="C100" s="307"/>
      <c r="D100" s="309">
        <v>2350000</v>
      </c>
      <c r="E100" s="562" t="s">
        <v>1980</v>
      </c>
      <c r="F100" s="582"/>
      <c r="G100" s="583"/>
      <c r="H100" s="762" t="s">
        <v>145</v>
      </c>
    </row>
    <row r="101" spans="1:10" ht="16.5" customHeight="1">
      <c r="A101" s="766"/>
      <c r="B101" s="307"/>
      <c r="C101" s="307"/>
      <c r="D101" s="309"/>
      <c r="E101" s="584"/>
      <c r="F101" s="585"/>
      <c r="G101" s="586"/>
      <c r="H101" s="762"/>
    </row>
    <row r="102" spans="1:10" ht="16.5" customHeight="1">
      <c r="A102" s="313">
        <v>45465</v>
      </c>
      <c r="B102" s="314" t="s">
        <v>43</v>
      </c>
      <c r="C102" s="307"/>
      <c r="D102" s="309">
        <v>85000</v>
      </c>
      <c r="E102" s="315" t="s">
        <v>3678</v>
      </c>
      <c r="F102" s="316"/>
      <c r="G102" s="317"/>
      <c r="H102" s="764" t="s">
        <v>145</v>
      </c>
    </row>
    <row r="103" spans="1:10" ht="16.5" customHeight="1">
      <c r="A103" s="305"/>
      <c r="B103" s="307"/>
      <c r="C103" s="307"/>
      <c r="D103" s="309"/>
      <c r="E103" s="318"/>
      <c r="F103" s="319"/>
      <c r="G103" s="320"/>
      <c r="H103" s="762"/>
    </row>
    <row r="104" spans="1:10" ht="16.5" customHeight="1">
      <c r="A104" s="313">
        <v>45465</v>
      </c>
      <c r="B104" s="314"/>
      <c r="C104" s="307"/>
      <c r="D104" s="309">
        <v>135000</v>
      </c>
      <c r="E104" s="327"/>
      <c r="F104" s="328"/>
      <c r="G104" s="329"/>
      <c r="H104" s="764"/>
    </row>
    <row r="105" spans="1:10" ht="16.5" customHeight="1">
      <c r="A105" s="305"/>
      <c r="B105" s="307"/>
      <c r="C105" s="307"/>
      <c r="D105" s="309"/>
      <c r="E105" s="330"/>
      <c r="F105" s="331"/>
      <c r="G105" s="332"/>
      <c r="H105" s="762"/>
    </row>
    <row r="106" spans="1:10">
      <c r="A106" s="313"/>
      <c r="B106" s="799" t="s">
        <v>3692</v>
      </c>
      <c r="C106" s="800"/>
      <c r="D106" s="800"/>
      <c r="E106" s="800"/>
      <c r="F106" s="800"/>
      <c r="G106" s="800"/>
      <c r="H106" s="801"/>
    </row>
    <row r="107" spans="1:10" ht="34.5" customHeight="1">
      <c r="A107" s="305"/>
      <c r="B107" s="802"/>
      <c r="C107" s="803"/>
      <c r="D107" s="803"/>
      <c r="E107" s="803"/>
      <c r="F107" s="803"/>
      <c r="G107" s="803"/>
      <c r="H107" s="804"/>
    </row>
    <row r="108" spans="1:10">
      <c r="A108" s="313">
        <v>45467</v>
      </c>
      <c r="B108" s="307" t="s">
        <v>3679</v>
      </c>
      <c r="C108" s="307"/>
      <c r="D108" s="309">
        <v>250000</v>
      </c>
      <c r="E108" s="309"/>
      <c r="F108" s="309"/>
      <c r="G108" s="309"/>
      <c r="H108" s="762" t="s">
        <v>614</v>
      </c>
    </row>
    <row r="109" spans="1:10">
      <c r="A109" s="805"/>
      <c r="B109" s="806"/>
      <c r="C109" s="806"/>
      <c r="D109" s="807"/>
      <c r="E109" s="807"/>
      <c r="F109" s="807"/>
      <c r="G109" s="807"/>
      <c r="H109" s="762"/>
    </row>
    <row r="110" spans="1:10">
      <c r="A110" s="797">
        <v>45467</v>
      </c>
      <c r="B110" s="307" t="s">
        <v>43</v>
      </c>
      <c r="C110" s="307"/>
      <c r="D110" s="309">
        <v>110000</v>
      </c>
      <c r="E110" s="309"/>
      <c r="F110" s="309"/>
      <c r="G110" s="309"/>
      <c r="H110" s="307" t="s">
        <v>8</v>
      </c>
      <c r="J110">
        <v>38</v>
      </c>
    </row>
    <row r="111" spans="1:10">
      <c r="A111" s="798"/>
      <c r="B111" s="307"/>
      <c r="C111" s="307"/>
      <c r="D111" s="309"/>
      <c r="E111" s="309"/>
      <c r="F111" s="309"/>
      <c r="G111" s="309"/>
      <c r="H111" s="307"/>
      <c r="J111">
        <v>29</v>
      </c>
    </row>
    <row r="112" spans="1:10">
      <c r="A112" s="797">
        <v>45468</v>
      </c>
      <c r="B112" s="307" t="s">
        <v>43</v>
      </c>
      <c r="C112" s="307"/>
      <c r="D112" s="309">
        <v>187000</v>
      </c>
      <c r="E112" s="326"/>
      <c r="F112" s="326"/>
      <c r="G112" s="326"/>
      <c r="H112" s="307" t="s">
        <v>8</v>
      </c>
      <c r="J112">
        <v>43</v>
      </c>
    </row>
    <row r="113" spans="1:10">
      <c r="A113" s="798"/>
      <c r="B113" s="307"/>
      <c r="C113" s="307"/>
      <c r="D113" s="309"/>
      <c r="E113" s="326"/>
      <c r="F113" s="326"/>
      <c r="G113" s="326"/>
      <c r="H113" s="307"/>
      <c r="J113">
        <v>49</v>
      </c>
    </row>
    <row r="114" spans="1:10">
      <c r="A114" s="797">
        <v>45468</v>
      </c>
      <c r="B114" s="307" t="s">
        <v>3680</v>
      </c>
      <c r="C114" s="307"/>
      <c r="D114" s="309">
        <v>810000</v>
      </c>
      <c r="E114" s="574" t="s">
        <v>1980</v>
      </c>
      <c r="F114" s="575"/>
      <c r="G114" s="575"/>
      <c r="H114" s="307" t="s">
        <v>145</v>
      </c>
    </row>
    <row r="115" spans="1:10">
      <c r="A115" s="798"/>
      <c r="B115" s="307"/>
      <c r="C115" s="307"/>
      <c r="D115" s="309"/>
      <c r="E115" s="575"/>
      <c r="F115" s="575"/>
      <c r="G115" s="575"/>
      <c r="H115" s="307"/>
    </row>
    <row r="116" spans="1:10">
      <c r="A116" s="797">
        <v>45468</v>
      </c>
      <c r="B116" s="307" t="s">
        <v>3681</v>
      </c>
      <c r="C116" s="307"/>
      <c r="D116" s="309">
        <v>920000</v>
      </c>
      <c r="E116" s="575" t="s">
        <v>1980</v>
      </c>
      <c r="F116" s="575"/>
      <c r="G116" s="575"/>
      <c r="H116" s="307" t="s">
        <v>145</v>
      </c>
    </row>
    <row r="117" spans="1:10">
      <c r="A117" s="798"/>
      <c r="B117" s="307"/>
      <c r="C117" s="307"/>
      <c r="D117" s="309"/>
      <c r="E117" s="575"/>
      <c r="F117" s="575"/>
      <c r="G117" s="575"/>
      <c r="H117" s="307"/>
    </row>
    <row r="118" spans="1:10">
      <c r="A118" s="766">
        <v>45469</v>
      </c>
      <c r="B118" s="795" t="s">
        <v>43</v>
      </c>
      <c r="C118" s="795"/>
      <c r="D118" s="796">
        <v>2540000</v>
      </c>
      <c r="E118" s="796"/>
      <c r="F118" s="796"/>
      <c r="G118" s="796"/>
      <c r="H118" s="307" t="s">
        <v>145</v>
      </c>
    </row>
    <row r="119" spans="1:10">
      <c r="A119" s="305"/>
      <c r="B119" s="307"/>
      <c r="C119" s="307"/>
      <c r="D119" s="309"/>
      <c r="E119" s="309"/>
      <c r="F119" s="309"/>
      <c r="G119" s="309"/>
      <c r="H119" s="307"/>
    </row>
    <row r="120" spans="1:10">
      <c r="A120" s="766">
        <v>45469</v>
      </c>
      <c r="B120" s="307" t="s">
        <v>43</v>
      </c>
      <c r="C120" s="307"/>
      <c r="D120" s="309">
        <v>195000</v>
      </c>
      <c r="E120" s="309"/>
      <c r="F120" s="309"/>
      <c r="G120" s="309"/>
      <c r="H120" s="307" t="s">
        <v>145</v>
      </c>
    </row>
    <row r="121" spans="1:10">
      <c r="A121" s="305"/>
      <c r="B121" s="307"/>
      <c r="C121" s="307"/>
      <c r="D121" s="309"/>
      <c r="E121" s="309"/>
      <c r="F121" s="309"/>
      <c r="G121" s="309"/>
      <c r="H121" s="307"/>
    </row>
    <row r="122" spans="1:10">
      <c r="A122" s="313">
        <v>45470</v>
      </c>
      <c r="B122" s="307" t="s">
        <v>3684</v>
      </c>
      <c r="C122" s="307"/>
      <c r="D122" s="309">
        <v>400000</v>
      </c>
      <c r="E122" s="309"/>
      <c r="F122" s="309"/>
      <c r="G122" s="309"/>
      <c r="H122" s="762" t="s">
        <v>31</v>
      </c>
    </row>
    <row r="123" spans="1:10">
      <c r="A123" s="305"/>
      <c r="B123" s="307"/>
      <c r="C123" s="307"/>
      <c r="D123" s="309"/>
      <c r="E123" s="309"/>
      <c r="F123" s="309"/>
      <c r="G123" s="309"/>
      <c r="H123" s="762"/>
    </row>
    <row r="124" spans="1:10">
      <c r="A124" s="313">
        <v>45470</v>
      </c>
      <c r="B124" s="307" t="s">
        <v>3685</v>
      </c>
      <c r="C124" s="307"/>
      <c r="D124" s="309">
        <v>1090000</v>
      </c>
      <c r="E124" s="309"/>
      <c r="F124" s="309"/>
      <c r="G124" s="309"/>
      <c r="H124" s="762" t="s">
        <v>614</v>
      </c>
    </row>
    <row r="125" spans="1:10">
      <c r="A125" s="305"/>
      <c r="B125" s="307"/>
      <c r="C125" s="307"/>
      <c r="D125" s="309"/>
      <c r="E125" s="309"/>
      <c r="F125" s="309"/>
      <c r="G125" s="309"/>
      <c r="H125" s="762"/>
    </row>
    <row r="126" spans="1:10" ht="17.25" customHeight="1">
      <c r="A126" s="313">
        <v>45470</v>
      </c>
      <c r="B126" s="307" t="s">
        <v>3686</v>
      </c>
      <c r="C126" s="307"/>
      <c r="D126" s="309">
        <v>204000</v>
      </c>
      <c r="E126" s="309" t="s">
        <v>3687</v>
      </c>
      <c r="F126" s="309"/>
      <c r="G126" s="309"/>
      <c r="H126" s="762" t="s">
        <v>8</v>
      </c>
    </row>
    <row r="127" spans="1:10" ht="17.25" customHeight="1">
      <c r="A127" s="305"/>
      <c r="B127" s="307"/>
      <c r="C127" s="307"/>
      <c r="D127" s="309"/>
      <c r="E127" s="309"/>
      <c r="F127" s="309"/>
      <c r="G127" s="309"/>
      <c r="H127" s="762"/>
    </row>
    <row r="128" spans="1:10" ht="17.25" customHeight="1">
      <c r="A128" s="313">
        <v>45470</v>
      </c>
      <c r="B128" s="307" t="s">
        <v>3685</v>
      </c>
      <c r="C128" s="307"/>
      <c r="D128" s="309">
        <v>191400</v>
      </c>
      <c r="E128" s="309" t="s">
        <v>3688</v>
      </c>
      <c r="F128" s="309"/>
      <c r="G128" s="309"/>
      <c r="H128" s="762" t="s">
        <v>614</v>
      </c>
    </row>
    <row r="129" spans="1:8" ht="17.25" customHeight="1">
      <c r="A129" s="305"/>
      <c r="B129" s="307"/>
      <c r="C129" s="307"/>
      <c r="D129" s="309"/>
      <c r="E129" s="309"/>
      <c r="F129" s="309"/>
      <c r="G129" s="309"/>
      <c r="H129" s="762"/>
    </row>
    <row r="130" spans="1:8">
      <c r="A130" s="313">
        <v>45471</v>
      </c>
      <c r="B130" s="307" t="s">
        <v>3689</v>
      </c>
      <c r="C130" s="307"/>
      <c r="D130" s="309">
        <v>260000</v>
      </c>
      <c r="E130" s="779" t="s">
        <v>3691</v>
      </c>
      <c r="F130" s="309"/>
      <c r="G130" s="309"/>
      <c r="H130" s="762" t="s">
        <v>614</v>
      </c>
    </row>
    <row r="131" spans="1:8">
      <c r="A131" s="305"/>
      <c r="B131" s="307"/>
      <c r="C131" s="307"/>
      <c r="D131" s="309"/>
      <c r="E131" s="309"/>
      <c r="F131" s="309"/>
      <c r="G131" s="309"/>
      <c r="H131" s="762"/>
    </row>
    <row r="132" spans="1:8">
      <c r="A132" s="313">
        <v>45472</v>
      </c>
      <c r="B132" s="307" t="s">
        <v>3689</v>
      </c>
      <c r="C132" s="307"/>
      <c r="D132" s="309">
        <v>115000</v>
      </c>
      <c r="E132" s="309" t="s">
        <v>3690</v>
      </c>
      <c r="F132" s="309"/>
      <c r="G132" s="309"/>
      <c r="H132" s="307" t="s">
        <v>145</v>
      </c>
    </row>
    <row r="133" spans="1:8">
      <c r="A133" s="305"/>
      <c r="B133" s="307"/>
      <c r="C133" s="307"/>
      <c r="D133" s="309"/>
      <c r="E133" s="309"/>
      <c r="F133" s="309"/>
      <c r="G133" s="309"/>
      <c r="H133" s="307"/>
    </row>
    <row r="134" spans="1:8">
      <c r="A134" s="313">
        <v>45472</v>
      </c>
      <c r="B134" s="307" t="s">
        <v>43</v>
      </c>
      <c r="C134" s="307"/>
      <c r="D134" s="309">
        <v>110000</v>
      </c>
      <c r="E134" s="309"/>
      <c r="F134" s="309"/>
      <c r="G134" s="309"/>
      <c r="H134" s="307" t="s">
        <v>145</v>
      </c>
    </row>
    <row r="135" spans="1:8">
      <c r="A135" s="305"/>
      <c r="B135" s="307"/>
      <c r="C135" s="307"/>
      <c r="D135" s="309"/>
      <c r="E135" s="309"/>
      <c r="F135" s="309"/>
      <c r="G135" s="309"/>
      <c r="H135" s="307"/>
    </row>
    <row r="136" spans="1:8">
      <c r="A136" s="305"/>
      <c r="B136" s="789" t="s">
        <v>3693</v>
      </c>
      <c r="C136" s="790"/>
      <c r="D136" s="790"/>
      <c r="E136" s="790"/>
      <c r="F136" s="790"/>
      <c r="G136" s="790"/>
      <c r="H136" s="791"/>
    </row>
    <row r="137" spans="1:8" ht="45" customHeight="1">
      <c r="A137" s="305"/>
      <c r="B137" s="792"/>
      <c r="C137" s="793"/>
      <c r="D137" s="793"/>
      <c r="E137" s="793"/>
      <c r="F137" s="793"/>
      <c r="G137" s="793"/>
      <c r="H137" s="794"/>
    </row>
    <row r="138" spans="1:8">
      <c r="A138" s="305"/>
      <c r="B138" s="307"/>
      <c r="C138" s="307"/>
      <c r="D138" s="309"/>
      <c r="E138" s="309"/>
      <c r="F138" s="309"/>
      <c r="G138" s="309"/>
      <c r="H138" s="311"/>
    </row>
    <row r="139" spans="1:8">
      <c r="A139" s="305"/>
      <c r="B139" s="307"/>
      <c r="C139" s="307"/>
      <c r="D139" s="309"/>
      <c r="E139" s="309"/>
      <c r="F139" s="309"/>
      <c r="G139" s="309"/>
      <c r="H139" s="311"/>
    </row>
    <row r="140" spans="1:8">
      <c r="A140" s="305"/>
      <c r="B140" s="307"/>
      <c r="C140" s="307"/>
      <c r="D140" s="309"/>
      <c r="E140" s="309"/>
      <c r="F140" s="309"/>
      <c r="G140" s="309"/>
      <c r="H140" s="311"/>
    </row>
    <row r="141" spans="1:8">
      <c r="A141" s="305"/>
      <c r="B141" s="307"/>
      <c r="C141" s="307"/>
      <c r="D141" s="309"/>
      <c r="E141" s="309"/>
      <c r="F141" s="309"/>
      <c r="G141" s="309"/>
      <c r="H141" s="311"/>
    </row>
    <row r="142" spans="1:8">
      <c r="A142" s="305"/>
      <c r="B142" s="307"/>
      <c r="C142" s="307"/>
      <c r="D142" s="309"/>
      <c r="E142" s="309"/>
      <c r="F142" s="309"/>
      <c r="G142" s="309"/>
      <c r="H142" s="311"/>
    </row>
    <row r="143" spans="1:8">
      <c r="A143" s="305"/>
      <c r="B143" s="307"/>
      <c r="C143" s="307"/>
      <c r="D143" s="309"/>
      <c r="E143" s="309"/>
      <c r="F143" s="309"/>
      <c r="G143" s="309"/>
      <c r="H143" s="311"/>
    </row>
    <row r="144" spans="1:8" ht="17.25" customHeight="1">
      <c r="A144" s="305"/>
      <c r="B144" s="307"/>
      <c r="C144" s="307"/>
      <c r="D144" s="309"/>
      <c r="E144" s="309"/>
      <c r="F144" s="309"/>
      <c r="G144" s="309"/>
      <c r="H144" s="311"/>
    </row>
    <row r="145" spans="1:8" ht="17.25" customHeight="1">
      <c r="A145" s="305"/>
      <c r="B145" s="307"/>
      <c r="C145" s="307"/>
      <c r="D145" s="309"/>
      <c r="E145" s="309"/>
      <c r="F145" s="309"/>
      <c r="G145" s="309"/>
      <c r="H145" s="311"/>
    </row>
    <row r="146" spans="1:8">
      <c r="A146" s="305"/>
      <c r="B146" s="307"/>
      <c r="C146" s="307"/>
      <c r="D146" s="309"/>
      <c r="E146" s="309"/>
      <c r="F146" s="309"/>
      <c r="G146" s="309"/>
      <c r="H146" s="311"/>
    </row>
    <row r="147" spans="1:8">
      <c r="A147" s="305"/>
      <c r="B147" s="307"/>
      <c r="C147" s="307"/>
      <c r="D147" s="309"/>
      <c r="E147" s="309"/>
      <c r="F147" s="309"/>
      <c r="G147" s="309"/>
      <c r="H147" s="311"/>
    </row>
    <row r="148" spans="1:8">
      <c r="A148" s="305"/>
      <c r="B148" s="307"/>
      <c r="C148" s="307"/>
      <c r="D148" s="309"/>
      <c r="E148" s="309"/>
      <c r="F148" s="309"/>
      <c r="G148" s="309"/>
      <c r="H148" s="311"/>
    </row>
    <row r="149" spans="1:8">
      <c r="A149" s="305"/>
      <c r="B149" s="307"/>
      <c r="C149" s="307"/>
      <c r="D149" s="309"/>
      <c r="E149" s="309"/>
      <c r="F149" s="309"/>
      <c r="G149" s="309"/>
      <c r="H149" s="311"/>
    </row>
    <row r="150" spans="1:8">
      <c r="A150" s="305"/>
      <c r="B150" s="307"/>
      <c r="C150" s="307"/>
      <c r="D150" s="309"/>
      <c r="E150" s="309"/>
      <c r="F150" s="309"/>
      <c r="G150" s="309"/>
      <c r="H150" s="311"/>
    </row>
    <row r="151" spans="1:8">
      <c r="A151" s="305"/>
      <c r="B151" s="307"/>
      <c r="C151" s="307"/>
      <c r="D151" s="309"/>
      <c r="E151" s="309"/>
      <c r="F151" s="309"/>
      <c r="G151" s="309"/>
      <c r="H151" s="311"/>
    </row>
    <row r="152" spans="1:8">
      <c r="A152" s="305"/>
      <c r="B152" s="307"/>
      <c r="C152" s="307"/>
      <c r="D152" s="309"/>
      <c r="E152" s="309"/>
      <c r="F152" s="309"/>
      <c r="G152" s="309"/>
      <c r="H152" s="311"/>
    </row>
    <row r="153" spans="1:8">
      <c r="A153" s="305"/>
      <c r="B153" s="307"/>
      <c r="C153" s="307"/>
      <c r="D153" s="309"/>
      <c r="E153" s="309"/>
      <c r="F153" s="309"/>
      <c r="G153" s="309"/>
      <c r="H153" s="311"/>
    </row>
    <row r="154" spans="1:8">
      <c r="A154" s="305"/>
      <c r="B154" s="307"/>
      <c r="C154" s="307"/>
      <c r="D154" s="309"/>
      <c r="E154" s="309"/>
      <c r="F154" s="309"/>
      <c r="G154" s="309"/>
      <c r="H154" s="311"/>
    </row>
    <row r="155" spans="1:8">
      <c r="A155" s="305"/>
      <c r="B155" s="307"/>
      <c r="C155" s="307"/>
      <c r="D155" s="309"/>
      <c r="E155" s="309"/>
      <c r="F155" s="309"/>
      <c r="G155" s="309"/>
      <c r="H155" s="311"/>
    </row>
    <row r="156" spans="1:8">
      <c r="A156" s="305"/>
      <c r="B156" s="307"/>
      <c r="C156" s="307"/>
      <c r="D156" s="309"/>
      <c r="E156" s="309"/>
      <c r="F156" s="309"/>
      <c r="G156" s="309"/>
      <c r="H156" s="311"/>
    </row>
    <row r="157" spans="1:8">
      <c r="A157" s="305"/>
      <c r="B157" s="307"/>
      <c r="C157" s="307"/>
      <c r="D157" s="309"/>
      <c r="E157" s="309"/>
      <c r="F157" s="309"/>
      <c r="G157" s="309"/>
      <c r="H157" s="311"/>
    </row>
    <row r="158" spans="1:8">
      <c r="A158" s="305"/>
      <c r="B158" s="307"/>
      <c r="C158" s="307"/>
      <c r="D158" s="309"/>
      <c r="E158" s="309"/>
      <c r="F158" s="309"/>
      <c r="G158" s="309"/>
      <c r="H158" s="311"/>
    </row>
    <row r="159" spans="1:8">
      <c r="A159" s="305"/>
      <c r="B159" s="307"/>
      <c r="C159" s="307"/>
      <c r="D159" s="309"/>
      <c r="E159" s="309"/>
      <c r="F159" s="309"/>
      <c r="G159" s="309"/>
      <c r="H159" s="311"/>
    </row>
    <row r="160" spans="1:8" ht="17.25" customHeight="1">
      <c r="A160" s="305"/>
      <c r="B160" s="307"/>
      <c r="C160" s="307"/>
      <c r="D160" s="309"/>
      <c r="E160" s="309"/>
      <c r="F160" s="309"/>
      <c r="G160" s="309"/>
      <c r="H160" s="311"/>
    </row>
    <row r="161" spans="1:8" ht="17.25" customHeight="1">
      <c r="A161" s="305"/>
      <c r="B161" s="307"/>
      <c r="C161" s="307"/>
      <c r="D161" s="309"/>
      <c r="E161" s="309"/>
      <c r="F161" s="309"/>
      <c r="G161" s="309"/>
      <c r="H161" s="311"/>
    </row>
  </sheetData>
  <mergeCells count="463"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  <mergeCell ref="A6:A7"/>
    <mergeCell ref="B6:B7"/>
    <mergeCell ref="C6:C7"/>
    <mergeCell ref="D6:D7"/>
    <mergeCell ref="E6:G7"/>
    <mergeCell ref="H6:H7"/>
    <mergeCell ref="A3:H3"/>
    <mergeCell ref="A4:A5"/>
    <mergeCell ref="B4:B5"/>
    <mergeCell ref="C4:C5"/>
    <mergeCell ref="D4:D5"/>
    <mergeCell ref="E4:G5"/>
    <mergeCell ref="H4:H5"/>
    <mergeCell ref="A10:A11"/>
    <mergeCell ref="B10:B11"/>
    <mergeCell ref="C10:C11"/>
    <mergeCell ref="D10:D11"/>
    <mergeCell ref="E10:G11"/>
    <mergeCell ref="H10:H11"/>
    <mergeCell ref="A8:A9"/>
    <mergeCell ref="B8:B9"/>
    <mergeCell ref="C8:C9"/>
    <mergeCell ref="D8:D9"/>
    <mergeCell ref="E8:G9"/>
    <mergeCell ref="H8:H9"/>
    <mergeCell ref="A12:A13"/>
    <mergeCell ref="B12:H13"/>
    <mergeCell ref="E14:G14"/>
    <mergeCell ref="A15:A16"/>
    <mergeCell ref="B15:B16"/>
    <mergeCell ref="C15:C16"/>
    <mergeCell ref="D15:D16"/>
    <mergeCell ref="E15:G16"/>
    <mergeCell ref="H15:H16"/>
    <mergeCell ref="A17:A18"/>
    <mergeCell ref="B17:B18"/>
    <mergeCell ref="D17:D18"/>
    <mergeCell ref="E17:G18"/>
    <mergeCell ref="H17:H18"/>
    <mergeCell ref="A19:A20"/>
    <mergeCell ref="B19:B20"/>
    <mergeCell ref="C19:C20"/>
    <mergeCell ref="D19:D20"/>
    <mergeCell ref="E19:G20"/>
    <mergeCell ref="A23:A24"/>
    <mergeCell ref="B23:B24"/>
    <mergeCell ref="C23:C24"/>
    <mergeCell ref="D23:D24"/>
    <mergeCell ref="E23:G24"/>
    <mergeCell ref="H23:H24"/>
    <mergeCell ref="H19:H20"/>
    <mergeCell ref="A21:A22"/>
    <mergeCell ref="B21:B22"/>
    <mergeCell ref="C21:C22"/>
    <mergeCell ref="D21:D22"/>
    <mergeCell ref="E21:G22"/>
    <mergeCell ref="H21:H22"/>
    <mergeCell ref="A27:A28"/>
    <mergeCell ref="B27:B28"/>
    <mergeCell ref="C27:C28"/>
    <mergeCell ref="D27:D28"/>
    <mergeCell ref="E27:G28"/>
    <mergeCell ref="H27:H28"/>
    <mergeCell ref="A25:A26"/>
    <mergeCell ref="B25:B26"/>
    <mergeCell ref="C25:C26"/>
    <mergeCell ref="D25:D26"/>
    <mergeCell ref="E25:G26"/>
    <mergeCell ref="H25:H26"/>
    <mergeCell ref="A31:A32"/>
    <mergeCell ref="B31:B32"/>
    <mergeCell ref="C31:C32"/>
    <mergeCell ref="D31:D32"/>
    <mergeCell ref="E31:G32"/>
    <mergeCell ref="H31:H32"/>
    <mergeCell ref="A29:A30"/>
    <mergeCell ref="B29:B30"/>
    <mergeCell ref="C29:C30"/>
    <mergeCell ref="D29:D30"/>
    <mergeCell ref="E29:G30"/>
    <mergeCell ref="H29:H30"/>
    <mergeCell ref="A35:A36"/>
    <mergeCell ref="B35:B36"/>
    <mergeCell ref="C35:C36"/>
    <mergeCell ref="D35:D36"/>
    <mergeCell ref="E35:G36"/>
    <mergeCell ref="H35:H36"/>
    <mergeCell ref="A33:A34"/>
    <mergeCell ref="B33:B34"/>
    <mergeCell ref="C33:C34"/>
    <mergeCell ref="D33:D34"/>
    <mergeCell ref="E33:G34"/>
    <mergeCell ref="H33:H34"/>
    <mergeCell ref="H38:H39"/>
    <mergeCell ref="A40:A41"/>
    <mergeCell ref="B40:B41"/>
    <mergeCell ref="C40:C41"/>
    <mergeCell ref="D40:D41"/>
    <mergeCell ref="E40:G41"/>
    <mergeCell ref="H40:H41"/>
    <mergeCell ref="E37:G37"/>
    <mergeCell ref="A38:A39"/>
    <mergeCell ref="B38:B39"/>
    <mergeCell ref="C38:C39"/>
    <mergeCell ref="D38:D39"/>
    <mergeCell ref="E38:G39"/>
    <mergeCell ref="A44:A45"/>
    <mergeCell ref="B44:B45"/>
    <mergeCell ref="C44:C45"/>
    <mergeCell ref="D44:D45"/>
    <mergeCell ref="E44:G45"/>
    <mergeCell ref="H44:H45"/>
    <mergeCell ref="A42:A43"/>
    <mergeCell ref="B42:B43"/>
    <mergeCell ref="C42:C43"/>
    <mergeCell ref="D42:D43"/>
    <mergeCell ref="E42:G43"/>
    <mergeCell ref="H42:H43"/>
    <mergeCell ref="A48:A49"/>
    <mergeCell ref="B48:H49"/>
    <mergeCell ref="A50:A51"/>
    <mergeCell ref="B50:B51"/>
    <mergeCell ref="C50:C51"/>
    <mergeCell ref="D50:D51"/>
    <mergeCell ref="E50:G51"/>
    <mergeCell ref="H50:H51"/>
    <mergeCell ref="A46:A47"/>
    <mergeCell ref="B46:B47"/>
    <mergeCell ref="C46:C47"/>
    <mergeCell ref="D46:D47"/>
    <mergeCell ref="E46:G47"/>
    <mergeCell ref="H46:H47"/>
    <mergeCell ref="A54:A55"/>
    <mergeCell ref="B54:B55"/>
    <mergeCell ref="C54:C55"/>
    <mergeCell ref="D54:D55"/>
    <mergeCell ref="E54:G55"/>
    <mergeCell ref="H54:H55"/>
    <mergeCell ref="A52:A53"/>
    <mergeCell ref="B52:B53"/>
    <mergeCell ref="C52:C53"/>
    <mergeCell ref="D52:D53"/>
    <mergeCell ref="E52:G53"/>
    <mergeCell ref="H52:H53"/>
    <mergeCell ref="A58:A59"/>
    <mergeCell ref="B58:B59"/>
    <mergeCell ref="C58:C59"/>
    <mergeCell ref="D58:D59"/>
    <mergeCell ref="E58:G59"/>
    <mergeCell ref="H58:H59"/>
    <mergeCell ref="A56:A57"/>
    <mergeCell ref="B56:B57"/>
    <mergeCell ref="C56:C57"/>
    <mergeCell ref="D56:D57"/>
    <mergeCell ref="E56:G57"/>
    <mergeCell ref="H56:H57"/>
    <mergeCell ref="A62:A63"/>
    <mergeCell ref="B62:B63"/>
    <mergeCell ref="C62:C63"/>
    <mergeCell ref="D62:D63"/>
    <mergeCell ref="E62:G63"/>
    <mergeCell ref="H62:H63"/>
    <mergeCell ref="A60:A61"/>
    <mergeCell ref="B60:B61"/>
    <mergeCell ref="C60:C61"/>
    <mergeCell ref="D60:D61"/>
    <mergeCell ref="E60:G61"/>
    <mergeCell ref="H60:H61"/>
    <mergeCell ref="A66:A67"/>
    <mergeCell ref="B66:B67"/>
    <mergeCell ref="C66:C67"/>
    <mergeCell ref="D66:D67"/>
    <mergeCell ref="E66:G67"/>
    <mergeCell ref="H66:H67"/>
    <mergeCell ref="A64:A65"/>
    <mergeCell ref="B64:B65"/>
    <mergeCell ref="C64:C65"/>
    <mergeCell ref="D64:D65"/>
    <mergeCell ref="E64:G65"/>
    <mergeCell ref="H64:H65"/>
    <mergeCell ref="A70:A71"/>
    <mergeCell ref="B70:B71"/>
    <mergeCell ref="C70:C71"/>
    <mergeCell ref="D70:D71"/>
    <mergeCell ref="E70:G71"/>
    <mergeCell ref="H70:H71"/>
    <mergeCell ref="A68:A69"/>
    <mergeCell ref="B68:B69"/>
    <mergeCell ref="C68:C69"/>
    <mergeCell ref="D68:D69"/>
    <mergeCell ref="E68:G69"/>
    <mergeCell ref="H68:H69"/>
    <mergeCell ref="A74:A75"/>
    <mergeCell ref="B74:B75"/>
    <mergeCell ref="C74:C75"/>
    <mergeCell ref="D74:D75"/>
    <mergeCell ref="E74:G75"/>
    <mergeCell ref="H74:H75"/>
    <mergeCell ref="A72:A73"/>
    <mergeCell ref="B72:B73"/>
    <mergeCell ref="C72:C73"/>
    <mergeCell ref="D72:D73"/>
    <mergeCell ref="E72:G73"/>
    <mergeCell ref="H72:H73"/>
    <mergeCell ref="A78:A79"/>
    <mergeCell ref="B78:B79"/>
    <mergeCell ref="C78:C79"/>
    <mergeCell ref="D78:D79"/>
    <mergeCell ref="E78:G79"/>
    <mergeCell ref="H78:H79"/>
    <mergeCell ref="A76:A77"/>
    <mergeCell ref="B76:B77"/>
    <mergeCell ref="C76:C77"/>
    <mergeCell ref="D76:D77"/>
    <mergeCell ref="E76:G77"/>
    <mergeCell ref="H76:H77"/>
    <mergeCell ref="A84:A85"/>
    <mergeCell ref="B84:B85"/>
    <mergeCell ref="C84:C85"/>
    <mergeCell ref="D84:D85"/>
    <mergeCell ref="E84:G85"/>
    <mergeCell ref="H84:H85"/>
    <mergeCell ref="A80:A81"/>
    <mergeCell ref="B80:H81"/>
    <mergeCell ref="A82:A83"/>
    <mergeCell ref="B82:B83"/>
    <mergeCell ref="C82:C83"/>
    <mergeCell ref="D82:D83"/>
    <mergeCell ref="E82:G83"/>
    <mergeCell ref="H82:H83"/>
    <mergeCell ref="A88:A89"/>
    <mergeCell ref="B88:B89"/>
    <mergeCell ref="C88:C89"/>
    <mergeCell ref="D88:D89"/>
    <mergeCell ref="E88:G89"/>
    <mergeCell ref="H88:H89"/>
    <mergeCell ref="A86:A87"/>
    <mergeCell ref="B86:B87"/>
    <mergeCell ref="C86:C87"/>
    <mergeCell ref="D86:D87"/>
    <mergeCell ref="E86:G87"/>
    <mergeCell ref="H86:H87"/>
    <mergeCell ref="A92:A93"/>
    <mergeCell ref="B92:B93"/>
    <mergeCell ref="C92:C93"/>
    <mergeCell ref="D92:D93"/>
    <mergeCell ref="E92:G93"/>
    <mergeCell ref="H92:H93"/>
    <mergeCell ref="A90:A91"/>
    <mergeCell ref="B90:B91"/>
    <mergeCell ref="C90:C91"/>
    <mergeCell ref="D90:D91"/>
    <mergeCell ref="E90:G91"/>
    <mergeCell ref="H90:H91"/>
    <mergeCell ref="A96:A97"/>
    <mergeCell ref="B96:B97"/>
    <mergeCell ref="C96:C97"/>
    <mergeCell ref="D96:D97"/>
    <mergeCell ref="E96:G97"/>
    <mergeCell ref="H96:H97"/>
    <mergeCell ref="A94:A95"/>
    <mergeCell ref="B94:B95"/>
    <mergeCell ref="C94:C95"/>
    <mergeCell ref="D94:D95"/>
    <mergeCell ref="E94:G95"/>
    <mergeCell ref="H94:H95"/>
    <mergeCell ref="A100:A101"/>
    <mergeCell ref="B100:B101"/>
    <mergeCell ref="C100:C101"/>
    <mergeCell ref="D100:D101"/>
    <mergeCell ref="E100:G101"/>
    <mergeCell ref="H100:H101"/>
    <mergeCell ref="A98:A99"/>
    <mergeCell ref="B98:B99"/>
    <mergeCell ref="C98:C99"/>
    <mergeCell ref="D98:D99"/>
    <mergeCell ref="E98:G99"/>
    <mergeCell ref="H98:H99"/>
    <mergeCell ref="A104:A105"/>
    <mergeCell ref="B104:B105"/>
    <mergeCell ref="C104:C105"/>
    <mergeCell ref="D104:D105"/>
    <mergeCell ref="E104:G105"/>
    <mergeCell ref="H104:H105"/>
    <mergeCell ref="A102:A103"/>
    <mergeCell ref="B102:B103"/>
    <mergeCell ref="C102:C103"/>
    <mergeCell ref="D102:D103"/>
    <mergeCell ref="E102:G103"/>
    <mergeCell ref="H102:H103"/>
    <mergeCell ref="A110:A111"/>
    <mergeCell ref="B110:B111"/>
    <mergeCell ref="C110:C111"/>
    <mergeCell ref="D110:D111"/>
    <mergeCell ref="E110:G111"/>
    <mergeCell ref="H110:H111"/>
    <mergeCell ref="A106:A107"/>
    <mergeCell ref="B106:H107"/>
    <mergeCell ref="A108:A109"/>
    <mergeCell ref="B108:B109"/>
    <mergeCell ref="C108:C109"/>
    <mergeCell ref="D108:D109"/>
    <mergeCell ref="E108:G109"/>
    <mergeCell ref="H108:H109"/>
    <mergeCell ref="A114:A115"/>
    <mergeCell ref="B114:B115"/>
    <mergeCell ref="C114:C115"/>
    <mergeCell ref="D114:D115"/>
    <mergeCell ref="E114:G115"/>
    <mergeCell ref="H114:H115"/>
    <mergeCell ref="A112:A113"/>
    <mergeCell ref="B112:B113"/>
    <mergeCell ref="C112:C113"/>
    <mergeCell ref="D112:D113"/>
    <mergeCell ref="E112:G113"/>
    <mergeCell ref="H112:H113"/>
    <mergeCell ref="A118:A119"/>
    <mergeCell ref="B118:B119"/>
    <mergeCell ref="C118:C119"/>
    <mergeCell ref="D118:D119"/>
    <mergeCell ref="E118:G119"/>
    <mergeCell ref="H118:H119"/>
    <mergeCell ref="A116:A117"/>
    <mergeCell ref="B116:B117"/>
    <mergeCell ref="C116:C117"/>
    <mergeCell ref="D116:D117"/>
    <mergeCell ref="E116:G117"/>
    <mergeCell ref="H116:H117"/>
    <mergeCell ref="A122:A123"/>
    <mergeCell ref="B122:B123"/>
    <mergeCell ref="C122:C123"/>
    <mergeCell ref="D122:D123"/>
    <mergeCell ref="E122:G123"/>
    <mergeCell ref="H122:H123"/>
    <mergeCell ref="A120:A121"/>
    <mergeCell ref="B120:B121"/>
    <mergeCell ref="C120:C121"/>
    <mergeCell ref="D120:D121"/>
    <mergeCell ref="E120:G121"/>
    <mergeCell ref="H120:H121"/>
    <mergeCell ref="A126:A127"/>
    <mergeCell ref="B126:B127"/>
    <mergeCell ref="C126:C127"/>
    <mergeCell ref="D126:D127"/>
    <mergeCell ref="E126:G127"/>
    <mergeCell ref="H126:H127"/>
    <mergeCell ref="A124:A125"/>
    <mergeCell ref="B124:B125"/>
    <mergeCell ref="C124:C125"/>
    <mergeCell ref="D124:D125"/>
    <mergeCell ref="E124:G125"/>
    <mergeCell ref="H124:H125"/>
    <mergeCell ref="A130:A131"/>
    <mergeCell ref="B130:B131"/>
    <mergeCell ref="C130:C131"/>
    <mergeCell ref="D130:D131"/>
    <mergeCell ref="E130:G131"/>
    <mergeCell ref="H130:H131"/>
    <mergeCell ref="A128:A129"/>
    <mergeCell ref="B128:B129"/>
    <mergeCell ref="C128:C129"/>
    <mergeCell ref="D128:D129"/>
    <mergeCell ref="E128:G129"/>
    <mergeCell ref="H128:H129"/>
    <mergeCell ref="A134:A135"/>
    <mergeCell ref="B134:B135"/>
    <mergeCell ref="C134:C135"/>
    <mergeCell ref="D134:D135"/>
    <mergeCell ref="E134:G135"/>
    <mergeCell ref="H134:H135"/>
    <mergeCell ref="A132:A133"/>
    <mergeCell ref="B132:B133"/>
    <mergeCell ref="C132:C133"/>
    <mergeCell ref="D132:D133"/>
    <mergeCell ref="E132:G133"/>
    <mergeCell ref="H132:H133"/>
    <mergeCell ref="A140:A141"/>
    <mergeCell ref="B140:B141"/>
    <mergeCell ref="C140:C141"/>
    <mergeCell ref="D140:D141"/>
    <mergeCell ref="E140:G141"/>
    <mergeCell ref="H140:H141"/>
    <mergeCell ref="A136:A137"/>
    <mergeCell ref="B136:H137"/>
    <mergeCell ref="A138:A139"/>
    <mergeCell ref="B138:B139"/>
    <mergeCell ref="C138:C139"/>
    <mergeCell ref="D138:D139"/>
    <mergeCell ref="E138:G139"/>
    <mergeCell ref="H138:H139"/>
    <mergeCell ref="A144:A145"/>
    <mergeCell ref="B144:B145"/>
    <mergeCell ref="C144:C145"/>
    <mergeCell ref="D144:D145"/>
    <mergeCell ref="E144:G145"/>
    <mergeCell ref="H144:H145"/>
    <mergeCell ref="A142:A143"/>
    <mergeCell ref="B142:B143"/>
    <mergeCell ref="C142:C143"/>
    <mergeCell ref="D142:D143"/>
    <mergeCell ref="E142:G143"/>
    <mergeCell ref="H142:H143"/>
    <mergeCell ref="A148:A149"/>
    <mergeCell ref="B148:B149"/>
    <mergeCell ref="C148:C149"/>
    <mergeCell ref="D148:D149"/>
    <mergeCell ref="E148:G149"/>
    <mergeCell ref="H148:H149"/>
    <mergeCell ref="A146:A147"/>
    <mergeCell ref="B146:B147"/>
    <mergeCell ref="C146:C147"/>
    <mergeCell ref="D146:D147"/>
    <mergeCell ref="E146:G147"/>
    <mergeCell ref="H146:H147"/>
    <mergeCell ref="A152:A153"/>
    <mergeCell ref="B152:B153"/>
    <mergeCell ref="C152:C153"/>
    <mergeCell ref="D152:D153"/>
    <mergeCell ref="E152:G153"/>
    <mergeCell ref="H152:H153"/>
    <mergeCell ref="A150:A151"/>
    <mergeCell ref="B150:B151"/>
    <mergeCell ref="C150:C151"/>
    <mergeCell ref="D150:D151"/>
    <mergeCell ref="E150:G151"/>
    <mergeCell ref="H150:H151"/>
    <mergeCell ref="A156:A157"/>
    <mergeCell ref="B156:B157"/>
    <mergeCell ref="C156:C157"/>
    <mergeCell ref="D156:D157"/>
    <mergeCell ref="E156:G157"/>
    <mergeCell ref="H156:H157"/>
    <mergeCell ref="A154:A155"/>
    <mergeCell ref="B154:B155"/>
    <mergeCell ref="C154:C155"/>
    <mergeCell ref="D154:D155"/>
    <mergeCell ref="E154:G155"/>
    <mergeCell ref="H154:H155"/>
    <mergeCell ref="A160:A161"/>
    <mergeCell ref="B160:B161"/>
    <mergeCell ref="C160:C161"/>
    <mergeCell ref="D160:D161"/>
    <mergeCell ref="E160:G161"/>
    <mergeCell ref="H160:H161"/>
    <mergeCell ref="A158:A159"/>
    <mergeCell ref="B158:B159"/>
    <mergeCell ref="C158:C159"/>
    <mergeCell ref="D158:D159"/>
    <mergeCell ref="E158:G159"/>
    <mergeCell ref="H158:H159"/>
  </mergeCells>
  <phoneticPr fontId="1" type="noConversion"/>
  <pageMargins left="0" right="0" top="0" bottom="0" header="0" footer="0"/>
  <pageSetup paperSize="9" scale="36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48"/>
  <sheetViews>
    <sheetView showGridLines="0" zoomScale="115" zoomScaleNormal="115" workbookViewId="0">
      <pane xSplit="8" ySplit="2" topLeftCell="I120" activePane="bottomRight" state="frozen"/>
      <selection pane="topRight" activeCell="I1" sqref="I1"/>
      <selection pane="bottomLeft" activeCell="A3" sqref="A3"/>
      <selection pane="bottomRight" activeCell="D33" sqref="D33:D34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0" max="10" width="13.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  <col min="18" max="18" width="9.5" bestFit="1" customWidth="1"/>
  </cols>
  <sheetData>
    <row r="1" spans="1:18" ht="35.25" customHeight="1" thickBot="1">
      <c r="A1" s="388" t="s">
        <v>3694</v>
      </c>
      <c r="B1" s="389"/>
      <c r="C1" s="402" t="s">
        <v>27</v>
      </c>
      <c r="D1" s="403"/>
      <c r="E1" s="21" t="s">
        <v>26</v>
      </c>
      <c r="F1" s="20">
        <f>H1/21</f>
        <v>1312528.5714285714</v>
      </c>
      <c r="G1" s="21" t="s">
        <v>4</v>
      </c>
      <c r="H1" s="22">
        <f>SUM(D4:D207)</f>
        <v>27563100</v>
      </c>
      <c r="I1" s="392"/>
      <c r="J1" s="338"/>
      <c r="K1" s="394"/>
      <c r="L1" s="396"/>
      <c r="M1" s="377"/>
      <c r="N1" s="379"/>
      <c r="O1" s="381"/>
      <c r="P1" s="383"/>
      <c r="Q1" s="377"/>
      <c r="R1" s="376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385" t="s">
        <v>25</v>
      </c>
      <c r="F2" s="386"/>
      <c r="G2" s="387"/>
      <c r="H2" s="25" t="s">
        <v>5</v>
      </c>
      <c r="I2" s="393"/>
      <c r="J2" s="333"/>
      <c r="K2" s="395"/>
      <c r="L2" s="397"/>
      <c r="M2" s="378"/>
      <c r="N2" s="380"/>
      <c r="O2" s="382"/>
      <c r="P2" s="384"/>
      <c r="Q2" s="378"/>
      <c r="R2" s="376"/>
    </row>
    <row r="3" spans="1:18" ht="36" customHeight="1">
      <c r="A3" s="441" t="s">
        <v>3731</v>
      </c>
      <c r="B3" s="442"/>
      <c r="C3" s="442"/>
      <c r="D3" s="442"/>
      <c r="E3" s="442"/>
      <c r="F3" s="442"/>
      <c r="G3" s="442"/>
      <c r="H3" s="443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322">
        <v>45474</v>
      </c>
      <c r="B4" s="439" t="s">
        <v>3695</v>
      </c>
      <c r="C4" s="341"/>
      <c r="D4" s="326">
        <v>652300</v>
      </c>
      <c r="E4" s="327" t="s">
        <v>3712</v>
      </c>
      <c r="F4" s="328"/>
      <c r="G4" s="329"/>
      <c r="H4" s="398" t="s">
        <v>3696</v>
      </c>
      <c r="J4" s="43"/>
    </row>
    <row r="5" spans="1:18" ht="16.5" customHeight="1">
      <c r="A5" s="323"/>
      <c r="B5" s="440"/>
      <c r="C5" s="342"/>
      <c r="D5" s="326"/>
      <c r="E5" s="330"/>
      <c r="F5" s="331"/>
      <c r="G5" s="332"/>
      <c r="H5" s="399"/>
      <c r="J5" s="43"/>
    </row>
    <row r="6" spans="1:18" ht="16.5" customHeight="1">
      <c r="A6" s="322">
        <v>45475</v>
      </c>
      <c r="B6" s="439" t="s">
        <v>3699</v>
      </c>
      <c r="C6" s="341"/>
      <c r="D6" s="343">
        <v>840000</v>
      </c>
      <c r="E6" s="562" t="s">
        <v>3698</v>
      </c>
      <c r="F6" s="563"/>
      <c r="G6" s="564"/>
      <c r="H6" s="398" t="s">
        <v>3697</v>
      </c>
    </row>
    <row r="7" spans="1:18" ht="51" customHeight="1">
      <c r="A7" s="323"/>
      <c r="B7" s="440"/>
      <c r="C7" s="342"/>
      <c r="D7" s="344"/>
      <c r="E7" s="565"/>
      <c r="F7" s="566"/>
      <c r="G7" s="567"/>
      <c r="H7" s="399"/>
    </row>
    <row r="8" spans="1:18" ht="16.5" customHeight="1">
      <c r="A8" s="322">
        <v>45475</v>
      </c>
      <c r="B8" s="444" t="s">
        <v>3700</v>
      </c>
      <c r="C8" s="341"/>
      <c r="D8" s="326">
        <v>77000</v>
      </c>
      <c r="E8" s="327" t="s">
        <v>3704</v>
      </c>
      <c r="F8" s="328"/>
      <c r="G8" s="329"/>
      <c r="H8" s="400" t="s">
        <v>3702</v>
      </c>
      <c r="J8" s="48"/>
    </row>
    <row r="9" spans="1:18" ht="16.5" customHeight="1">
      <c r="A9" s="323"/>
      <c r="B9" s="445"/>
      <c r="C9" s="342"/>
      <c r="D9" s="326"/>
      <c r="E9" s="330"/>
      <c r="F9" s="331"/>
      <c r="G9" s="332"/>
      <c r="H9" s="401"/>
    </row>
    <row r="10" spans="1:18" ht="16.5" customHeight="1">
      <c r="A10" s="322">
        <v>45475</v>
      </c>
      <c r="B10" s="496" t="s">
        <v>3701</v>
      </c>
      <c r="C10" s="341"/>
      <c r="D10" s="326">
        <v>50000</v>
      </c>
      <c r="E10" s="327"/>
      <c r="F10" s="328"/>
      <c r="G10" s="329"/>
      <c r="H10" s="400" t="s">
        <v>3703</v>
      </c>
    </row>
    <row r="11" spans="1:18" ht="26.25" customHeight="1">
      <c r="A11" s="323"/>
      <c r="B11" s="497"/>
      <c r="C11" s="342"/>
      <c r="D11" s="326"/>
      <c r="E11" s="330"/>
      <c r="F11" s="331"/>
      <c r="G11" s="332"/>
      <c r="H11" s="401"/>
    </row>
    <row r="12" spans="1:18" ht="45" customHeight="1">
      <c r="A12" s="111">
        <v>45476</v>
      </c>
      <c r="B12" s="122" t="s">
        <v>3711</v>
      </c>
      <c r="C12" s="116"/>
      <c r="D12" s="118">
        <v>583000</v>
      </c>
      <c r="E12" s="627" t="s">
        <v>3710</v>
      </c>
      <c r="F12" s="628"/>
      <c r="G12" s="629"/>
      <c r="H12" s="98" t="s">
        <v>145</v>
      </c>
    </row>
    <row r="13" spans="1:18" ht="16.5" customHeight="1">
      <c r="A13" s="322">
        <v>45477</v>
      </c>
      <c r="B13" s="496" t="s">
        <v>3705</v>
      </c>
      <c r="C13" s="325"/>
      <c r="D13" s="326">
        <v>600000</v>
      </c>
      <c r="E13" s="562" t="s">
        <v>3706</v>
      </c>
      <c r="F13" s="582"/>
      <c r="G13" s="583"/>
      <c r="H13" s="400" t="s">
        <v>3709</v>
      </c>
    </row>
    <row r="14" spans="1:18" ht="18.75" customHeight="1">
      <c r="A14" s="323"/>
      <c r="B14" s="497"/>
      <c r="C14" s="325"/>
      <c r="D14" s="326"/>
      <c r="E14" s="584"/>
      <c r="F14" s="585"/>
      <c r="G14" s="586"/>
      <c r="H14" s="401"/>
    </row>
    <row r="15" spans="1:18" ht="16.5" customHeight="1">
      <c r="A15" s="322">
        <v>45477</v>
      </c>
      <c r="B15" s="496" t="s">
        <v>3707</v>
      </c>
      <c r="C15" s="115"/>
      <c r="D15" s="343">
        <v>680000</v>
      </c>
      <c r="E15" s="562" t="s">
        <v>3708</v>
      </c>
      <c r="F15" s="563"/>
      <c r="G15" s="564"/>
      <c r="H15" s="400" t="s">
        <v>3709</v>
      </c>
    </row>
    <row r="16" spans="1:18" ht="16.5" customHeight="1">
      <c r="A16" s="323"/>
      <c r="B16" s="497"/>
      <c r="C16" s="119"/>
      <c r="D16" s="344"/>
      <c r="E16" s="565"/>
      <c r="F16" s="566"/>
      <c r="G16" s="567"/>
      <c r="H16" s="401"/>
    </row>
    <row r="17" spans="1:10" ht="16.5" customHeight="1">
      <c r="A17" s="322">
        <v>45478</v>
      </c>
      <c r="B17" s="496" t="s">
        <v>3715</v>
      </c>
      <c r="C17" s="324"/>
      <c r="D17" s="326">
        <v>1260000</v>
      </c>
      <c r="E17" s="562" t="s">
        <v>3713</v>
      </c>
      <c r="F17" s="582"/>
      <c r="G17" s="583"/>
      <c r="H17" s="400" t="s">
        <v>3714</v>
      </c>
    </row>
    <row r="18" spans="1:10" ht="16.5" customHeight="1">
      <c r="A18" s="323"/>
      <c r="B18" s="497"/>
      <c r="C18" s="325"/>
      <c r="D18" s="326"/>
      <c r="E18" s="584"/>
      <c r="F18" s="585"/>
      <c r="G18" s="586"/>
      <c r="H18" s="401"/>
      <c r="J18" t="s">
        <v>995</v>
      </c>
    </row>
    <row r="19" spans="1:10" ht="16.5" customHeight="1">
      <c r="A19" s="322">
        <v>45478</v>
      </c>
      <c r="B19" s="324" t="s">
        <v>3721</v>
      </c>
      <c r="C19" s="324"/>
      <c r="D19" s="326">
        <v>430000</v>
      </c>
      <c r="E19" s="337" t="s">
        <v>3729</v>
      </c>
      <c r="F19" s="326"/>
      <c r="G19" s="326"/>
      <c r="H19" s="400" t="s">
        <v>3722</v>
      </c>
    </row>
    <row r="20" spans="1:10" ht="40.5" customHeight="1">
      <c r="A20" s="323"/>
      <c r="B20" s="325"/>
      <c r="C20" s="325"/>
      <c r="D20" s="326"/>
      <c r="E20" s="326"/>
      <c r="F20" s="326"/>
      <c r="G20" s="326"/>
      <c r="H20" s="401"/>
    </row>
    <row r="21" spans="1:10">
      <c r="A21" s="322">
        <v>45478</v>
      </c>
      <c r="B21" s="324" t="s">
        <v>3716</v>
      </c>
      <c r="C21" s="325" t="s">
        <v>3742</v>
      </c>
      <c r="D21" s="326">
        <v>396000</v>
      </c>
      <c r="E21" s="337"/>
      <c r="F21" s="326"/>
      <c r="G21" s="326"/>
      <c r="H21" s="360" t="s">
        <v>317</v>
      </c>
    </row>
    <row r="22" spans="1:10">
      <c r="A22" s="323"/>
      <c r="B22" s="325"/>
      <c r="C22" s="325"/>
      <c r="D22" s="326"/>
      <c r="E22" s="326"/>
      <c r="F22" s="326"/>
      <c r="G22" s="326"/>
      <c r="H22" s="359"/>
    </row>
    <row r="23" spans="1:10">
      <c r="A23" s="322">
        <v>45478</v>
      </c>
      <c r="B23" s="324" t="s">
        <v>3720</v>
      </c>
      <c r="C23" s="324"/>
      <c r="D23" s="326">
        <v>150000</v>
      </c>
      <c r="E23" s="337"/>
      <c r="F23" s="326"/>
      <c r="G23" s="326"/>
      <c r="H23" s="360" t="s">
        <v>3714</v>
      </c>
    </row>
    <row r="24" spans="1:10">
      <c r="A24" s="323"/>
      <c r="B24" s="325"/>
      <c r="C24" s="325"/>
      <c r="D24" s="326"/>
      <c r="E24" s="326"/>
      <c r="F24" s="326"/>
      <c r="G24" s="326"/>
      <c r="H24" s="359"/>
    </row>
    <row r="25" spans="1:10">
      <c r="A25" s="322">
        <v>45478</v>
      </c>
      <c r="B25" s="324" t="s">
        <v>3717</v>
      </c>
      <c r="C25" s="325"/>
      <c r="D25" s="326">
        <v>30000</v>
      </c>
      <c r="E25" s="337" t="s">
        <v>3728</v>
      </c>
      <c r="F25" s="326"/>
      <c r="G25" s="326"/>
      <c r="H25" s="359" t="s">
        <v>3714</v>
      </c>
    </row>
    <row r="26" spans="1:10" ht="53.25" customHeight="1">
      <c r="A26" s="323"/>
      <c r="B26" s="325"/>
      <c r="C26" s="325"/>
      <c r="D26" s="326"/>
      <c r="E26" s="326"/>
      <c r="F26" s="326"/>
      <c r="G26" s="326"/>
      <c r="H26" s="359"/>
    </row>
    <row r="27" spans="1:10">
      <c r="A27" s="322">
        <v>45478</v>
      </c>
      <c r="B27" s="324" t="s">
        <v>3718</v>
      </c>
      <c r="C27" s="325"/>
      <c r="D27" s="326">
        <v>160000</v>
      </c>
      <c r="E27" s="337"/>
      <c r="F27" s="326"/>
      <c r="G27" s="326"/>
      <c r="H27" s="359" t="s">
        <v>3719</v>
      </c>
    </row>
    <row r="28" spans="1:10" ht="42.75" customHeight="1">
      <c r="A28" s="323"/>
      <c r="B28" s="325"/>
      <c r="C28" s="325"/>
      <c r="D28" s="326"/>
      <c r="E28" s="326"/>
      <c r="F28" s="326"/>
      <c r="G28" s="326"/>
      <c r="H28" s="359"/>
    </row>
    <row r="29" spans="1:10">
      <c r="A29" s="322">
        <v>45479</v>
      </c>
      <c r="B29" s="324" t="s">
        <v>3723</v>
      </c>
      <c r="C29" s="325"/>
      <c r="D29" s="326">
        <v>840000</v>
      </c>
      <c r="E29" s="337" t="s">
        <v>3727</v>
      </c>
      <c r="F29" s="326"/>
      <c r="G29" s="326"/>
      <c r="H29" s="359" t="s">
        <v>3714</v>
      </c>
    </row>
    <row r="30" spans="1:10" ht="57" customHeight="1">
      <c r="A30" s="323"/>
      <c r="B30" s="325"/>
      <c r="C30" s="325"/>
      <c r="D30" s="326"/>
      <c r="E30" s="326"/>
      <c r="F30" s="326"/>
      <c r="G30" s="326"/>
      <c r="H30" s="359"/>
    </row>
    <row r="31" spans="1:10">
      <c r="A31" s="322">
        <v>45479</v>
      </c>
      <c r="B31" s="325" t="s">
        <v>3724</v>
      </c>
      <c r="C31" s="325"/>
      <c r="D31" s="326">
        <v>280000</v>
      </c>
      <c r="E31" s="337"/>
      <c r="F31" s="326"/>
      <c r="G31" s="326"/>
      <c r="H31" s="359" t="s">
        <v>3725</v>
      </c>
    </row>
    <row r="32" spans="1:10" ht="30.75" customHeight="1">
      <c r="A32" s="323"/>
      <c r="B32" s="325"/>
      <c r="C32" s="325"/>
      <c r="D32" s="326"/>
      <c r="E32" s="326"/>
      <c r="F32" s="326"/>
      <c r="G32" s="326"/>
      <c r="H32" s="359"/>
    </row>
    <row r="33" spans="1:9" ht="15.75" customHeight="1">
      <c r="A33" s="322">
        <v>45479</v>
      </c>
      <c r="B33" s="324" t="s">
        <v>3726</v>
      </c>
      <c r="C33" s="325"/>
      <c r="D33" s="326">
        <v>400000</v>
      </c>
      <c r="E33" s="337" t="s">
        <v>3730</v>
      </c>
      <c r="F33" s="326"/>
      <c r="G33" s="326"/>
      <c r="H33" s="359" t="s">
        <v>147</v>
      </c>
    </row>
    <row r="34" spans="1:9">
      <c r="A34" s="323"/>
      <c r="B34" s="325"/>
      <c r="C34" s="325"/>
      <c r="D34" s="326"/>
      <c r="E34" s="326"/>
      <c r="F34" s="326"/>
      <c r="G34" s="326"/>
      <c r="H34" s="359"/>
    </row>
    <row r="35" spans="1:9" ht="71.25" customHeight="1">
      <c r="A35" s="112"/>
      <c r="B35" s="813" t="s">
        <v>3753</v>
      </c>
      <c r="C35" s="814"/>
      <c r="D35" s="814"/>
      <c r="E35" s="814"/>
      <c r="F35" s="814"/>
      <c r="G35" s="814"/>
      <c r="H35" s="815"/>
      <c r="I35">
        <v>75000</v>
      </c>
    </row>
    <row r="36" spans="1:9">
      <c r="A36" s="335">
        <v>45481</v>
      </c>
      <c r="B36" s="341" t="s">
        <v>3732</v>
      </c>
      <c r="C36" s="353"/>
      <c r="D36" s="343">
        <v>40000</v>
      </c>
      <c r="E36" s="337" t="s">
        <v>3736</v>
      </c>
      <c r="F36" s="731"/>
      <c r="G36" s="731"/>
      <c r="H36" s="398" t="s">
        <v>3734</v>
      </c>
      <c r="I36">
        <v>47000</v>
      </c>
    </row>
    <row r="37" spans="1:9" s="30" customFormat="1">
      <c r="A37" s="336"/>
      <c r="B37" s="342"/>
      <c r="C37" s="352"/>
      <c r="D37" s="344"/>
      <c r="E37" s="731"/>
      <c r="F37" s="731"/>
      <c r="G37" s="731"/>
      <c r="H37" s="399"/>
    </row>
    <row r="38" spans="1:9">
      <c r="A38" s="335">
        <v>45481</v>
      </c>
      <c r="B38" s="324" t="s">
        <v>3733</v>
      </c>
      <c r="C38" s="325"/>
      <c r="D38" s="326">
        <v>20000</v>
      </c>
      <c r="E38" s="337" t="s">
        <v>3737</v>
      </c>
      <c r="F38" s="326"/>
      <c r="G38" s="326"/>
      <c r="H38" s="398" t="s">
        <v>3735</v>
      </c>
      <c r="I38">
        <v>51000</v>
      </c>
    </row>
    <row r="39" spans="1:9">
      <c r="A39" s="336"/>
      <c r="B39" s="325"/>
      <c r="C39" s="325"/>
      <c r="D39" s="326"/>
      <c r="E39" s="326"/>
      <c r="F39" s="326"/>
      <c r="G39" s="326"/>
      <c r="H39" s="399"/>
      <c r="I39">
        <v>40000</v>
      </c>
    </row>
    <row r="40" spans="1:9">
      <c r="A40" s="322">
        <v>45483</v>
      </c>
      <c r="B40" s="325" t="s">
        <v>3738</v>
      </c>
      <c r="C40" s="325"/>
      <c r="D40" s="326">
        <v>90000</v>
      </c>
      <c r="E40" s="337" t="s">
        <v>3739</v>
      </c>
      <c r="F40" s="326"/>
      <c r="G40" s="326"/>
      <c r="H40" s="359" t="s">
        <v>3740</v>
      </c>
    </row>
    <row r="41" spans="1:9">
      <c r="A41" s="323"/>
      <c r="B41" s="325"/>
      <c r="C41" s="325"/>
      <c r="D41" s="326"/>
      <c r="E41" s="326"/>
      <c r="F41" s="326"/>
      <c r="G41" s="326"/>
      <c r="H41" s="359"/>
      <c r="I41">
        <v>40000</v>
      </c>
    </row>
    <row r="42" spans="1:9">
      <c r="A42" s="322">
        <v>45484</v>
      </c>
      <c r="B42" s="324" t="s">
        <v>3744</v>
      </c>
      <c r="C42" s="325"/>
      <c r="D42" s="326">
        <v>1660000</v>
      </c>
      <c r="E42" s="574" t="s">
        <v>3749</v>
      </c>
      <c r="F42" s="575"/>
      <c r="G42" s="575"/>
      <c r="H42" s="360" t="s">
        <v>317</v>
      </c>
      <c r="I42">
        <v>97000</v>
      </c>
    </row>
    <row r="43" spans="1:9" s="30" customFormat="1">
      <c r="A43" s="323"/>
      <c r="B43" s="325"/>
      <c r="C43" s="325"/>
      <c r="D43" s="326"/>
      <c r="E43" s="575"/>
      <c r="F43" s="575"/>
      <c r="G43" s="575"/>
      <c r="H43" s="359"/>
    </row>
    <row r="44" spans="1:9">
      <c r="A44" s="322">
        <v>45484</v>
      </c>
      <c r="B44" s="324" t="s">
        <v>3747</v>
      </c>
      <c r="C44" s="325"/>
      <c r="D44" s="343">
        <v>780000</v>
      </c>
      <c r="E44" s="574" t="s">
        <v>3748</v>
      </c>
      <c r="F44" s="575"/>
      <c r="G44" s="575"/>
      <c r="H44" s="360" t="s">
        <v>3741</v>
      </c>
    </row>
    <row r="45" spans="1:9">
      <c r="A45" s="323"/>
      <c r="B45" s="325"/>
      <c r="C45" s="325"/>
      <c r="D45" s="344"/>
      <c r="E45" s="575"/>
      <c r="F45" s="575"/>
      <c r="G45" s="575"/>
      <c r="H45" s="359"/>
    </row>
    <row r="46" spans="1:9" ht="16.5" customHeight="1">
      <c r="A46" s="322">
        <v>45484</v>
      </c>
      <c r="B46" s="324" t="s">
        <v>3743</v>
      </c>
      <c r="C46" s="325"/>
      <c r="D46" s="326">
        <v>780000</v>
      </c>
      <c r="E46" s="574" t="s">
        <v>3748</v>
      </c>
      <c r="F46" s="575"/>
      <c r="G46" s="575"/>
      <c r="H46" s="338" t="s">
        <v>3750</v>
      </c>
    </row>
    <row r="47" spans="1:9" ht="16.5" customHeight="1">
      <c r="A47" s="323"/>
      <c r="B47" s="325"/>
      <c r="C47" s="325"/>
      <c r="D47" s="326"/>
      <c r="E47" s="575"/>
      <c r="F47" s="575"/>
      <c r="G47" s="575"/>
      <c r="H47" s="333"/>
    </row>
    <row r="48" spans="1:9" ht="16.5" customHeight="1">
      <c r="A48" s="322">
        <v>45485</v>
      </c>
      <c r="B48" s="324" t="s">
        <v>3746</v>
      </c>
      <c r="C48" s="324"/>
      <c r="D48" s="326">
        <v>230000</v>
      </c>
      <c r="E48" s="327"/>
      <c r="F48" s="328"/>
      <c r="G48" s="329"/>
      <c r="H48" s="360" t="s">
        <v>3752</v>
      </c>
    </row>
    <row r="49" spans="1:11" ht="36" customHeight="1">
      <c r="A49" s="323"/>
      <c r="B49" s="325"/>
      <c r="C49" s="325"/>
      <c r="D49" s="326"/>
      <c r="E49" s="330"/>
      <c r="F49" s="331"/>
      <c r="G49" s="332"/>
      <c r="H49" s="359"/>
      <c r="J49">
        <v>492470</v>
      </c>
    </row>
    <row r="50" spans="1:11" ht="16.5" customHeight="1">
      <c r="A50" s="336">
        <v>45485</v>
      </c>
      <c r="B50" s="324" t="s">
        <v>3745</v>
      </c>
      <c r="C50" s="325"/>
      <c r="D50" s="326">
        <v>170000</v>
      </c>
      <c r="E50" s="327"/>
      <c r="F50" s="328"/>
      <c r="G50" s="329"/>
      <c r="H50" s="400" t="s">
        <v>3751</v>
      </c>
    </row>
    <row r="51" spans="1:11" ht="16.5" customHeight="1">
      <c r="A51" s="323"/>
      <c r="B51" s="325"/>
      <c r="C51" s="325"/>
      <c r="D51" s="326"/>
      <c r="E51" s="330"/>
      <c r="F51" s="331"/>
      <c r="G51" s="332"/>
      <c r="H51" s="401"/>
    </row>
    <row r="52" spans="1:11" ht="16.5" customHeight="1">
      <c r="A52" s="336">
        <v>45486</v>
      </c>
      <c r="B52" s="324" t="s">
        <v>3763</v>
      </c>
      <c r="C52" s="324"/>
      <c r="D52" s="326">
        <v>1410000</v>
      </c>
      <c r="E52" s="562" t="s">
        <v>3756</v>
      </c>
      <c r="F52" s="582"/>
      <c r="G52" s="583"/>
      <c r="H52" s="400" t="s">
        <v>317</v>
      </c>
    </row>
    <row r="53" spans="1:11" ht="16.5" customHeight="1">
      <c r="A53" s="323"/>
      <c r="B53" s="325"/>
      <c r="C53" s="325"/>
      <c r="D53" s="326"/>
      <c r="E53" s="584"/>
      <c r="F53" s="585"/>
      <c r="G53" s="586"/>
      <c r="H53" s="401"/>
      <c r="J53" t="s">
        <v>3536</v>
      </c>
    </row>
    <row r="54" spans="1:11" ht="16.5" customHeight="1">
      <c r="A54" s="336">
        <v>45486</v>
      </c>
      <c r="B54" s="324" t="s">
        <v>3755</v>
      </c>
      <c r="C54" s="325"/>
      <c r="D54" s="326">
        <v>400000</v>
      </c>
      <c r="E54" s="562" t="s">
        <v>3756</v>
      </c>
      <c r="F54" s="582"/>
      <c r="G54" s="583"/>
      <c r="H54" s="400" t="s">
        <v>317</v>
      </c>
    </row>
    <row r="55" spans="1:11" ht="17.25" customHeight="1">
      <c r="A55" s="323"/>
      <c r="B55" s="325"/>
      <c r="C55" s="325"/>
      <c r="D55" s="326"/>
      <c r="E55" s="584"/>
      <c r="F55" s="585"/>
      <c r="G55" s="586"/>
      <c r="H55" s="401"/>
    </row>
    <row r="56" spans="1:11" ht="16.5" customHeight="1">
      <c r="A56" s="336"/>
      <c r="B56" s="472" t="s">
        <v>3781</v>
      </c>
      <c r="C56" s="473"/>
      <c r="D56" s="473"/>
      <c r="E56" s="473"/>
      <c r="F56" s="473"/>
      <c r="G56" s="473"/>
      <c r="H56" s="642"/>
    </row>
    <row r="57" spans="1:11" ht="16.5" customHeight="1">
      <c r="A57" s="323"/>
      <c r="B57" s="810"/>
      <c r="C57" s="811"/>
      <c r="D57" s="811"/>
      <c r="E57" s="811"/>
      <c r="F57" s="811"/>
      <c r="G57" s="811"/>
      <c r="H57" s="812"/>
    </row>
    <row r="58" spans="1:11" ht="16.5" customHeight="1">
      <c r="A58" s="336"/>
      <c r="B58" s="810"/>
      <c r="C58" s="811"/>
      <c r="D58" s="811"/>
      <c r="E58" s="811"/>
      <c r="F58" s="811"/>
      <c r="G58" s="811"/>
      <c r="H58" s="812"/>
    </row>
    <row r="59" spans="1:11" ht="28.5" customHeight="1">
      <c r="A59" s="323"/>
      <c r="B59" s="475"/>
      <c r="C59" s="476"/>
      <c r="D59" s="476"/>
      <c r="E59" s="476"/>
      <c r="F59" s="476"/>
      <c r="G59" s="476"/>
      <c r="H59" s="643"/>
      <c r="K59" s="24"/>
    </row>
    <row r="60" spans="1:11" ht="16.5" customHeight="1">
      <c r="A60" s="336">
        <v>45488</v>
      </c>
      <c r="B60" s="324" t="s">
        <v>3754</v>
      </c>
      <c r="C60" s="324"/>
      <c r="D60" s="326">
        <v>10000</v>
      </c>
      <c r="E60" s="327"/>
      <c r="F60" s="328"/>
      <c r="G60" s="329"/>
      <c r="H60" s="360" t="s">
        <v>3759</v>
      </c>
      <c r="K60" s="24"/>
    </row>
    <row r="61" spans="1:11" ht="16.5" customHeight="1">
      <c r="A61" s="323"/>
      <c r="B61" s="325"/>
      <c r="C61" s="325"/>
      <c r="D61" s="326"/>
      <c r="E61" s="330"/>
      <c r="F61" s="331"/>
      <c r="G61" s="332"/>
      <c r="H61" s="359"/>
      <c r="K61" s="24"/>
    </row>
    <row r="62" spans="1:11" ht="16.5" customHeight="1">
      <c r="A62" s="336">
        <v>45488</v>
      </c>
      <c r="B62" s="324" t="s">
        <v>3757</v>
      </c>
      <c r="C62" s="325"/>
      <c r="D62" s="326">
        <v>970000</v>
      </c>
      <c r="E62" s="562" t="s">
        <v>3756</v>
      </c>
      <c r="F62" s="582"/>
      <c r="G62" s="583"/>
      <c r="H62" s="360" t="s">
        <v>3758</v>
      </c>
      <c r="I62" s="4"/>
    </row>
    <row r="63" spans="1:11" ht="16.5" customHeight="1">
      <c r="A63" s="323"/>
      <c r="B63" s="325"/>
      <c r="C63" s="325"/>
      <c r="D63" s="326"/>
      <c r="E63" s="584"/>
      <c r="F63" s="585"/>
      <c r="G63" s="586"/>
      <c r="H63" s="359"/>
    </row>
    <row r="64" spans="1:11" ht="16.5" customHeight="1">
      <c r="A64" s="336">
        <v>45488</v>
      </c>
      <c r="B64" s="324" t="s">
        <v>3762</v>
      </c>
      <c r="C64" s="325"/>
      <c r="D64" s="326">
        <v>1100000</v>
      </c>
      <c r="E64" s="562" t="s">
        <v>3756</v>
      </c>
      <c r="F64" s="582"/>
      <c r="G64" s="583"/>
      <c r="H64" s="359" t="s">
        <v>3760</v>
      </c>
    </row>
    <row r="65" spans="1:11" ht="16.5" customHeight="1">
      <c r="A65" s="323"/>
      <c r="B65" s="325"/>
      <c r="C65" s="325"/>
      <c r="D65" s="326"/>
      <c r="E65" s="584"/>
      <c r="F65" s="585"/>
      <c r="G65" s="586"/>
      <c r="H65" s="359"/>
    </row>
    <row r="66" spans="1:11" ht="16.5" customHeight="1">
      <c r="A66" s="336">
        <v>45488</v>
      </c>
      <c r="B66" s="324" t="s">
        <v>3755</v>
      </c>
      <c r="C66" s="325"/>
      <c r="D66" s="326">
        <v>80000</v>
      </c>
      <c r="E66" s="327"/>
      <c r="F66" s="328"/>
      <c r="G66" s="329"/>
      <c r="H66" s="359" t="s">
        <v>3761</v>
      </c>
    </row>
    <row r="67" spans="1:11" ht="16.5" customHeight="1">
      <c r="A67" s="323"/>
      <c r="B67" s="325"/>
      <c r="C67" s="325"/>
      <c r="D67" s="326"/>
      <c r="E67" s="330"/>
      <c r="F67" s="331"/>
      <c r="G67" s="332"/>
      <c r="H67" s="359"/>
    </row>
    <row r="68" spans="1:11" ht="16.5" customHeight="1">
      <c r="A68" s="322">
        <v>45489</v>
      </c>
      <c r="B68" s="324" t="s">
        <v>3764</v>
      </c>
      <c r="C68" s="325"/>
      <c r="D68" s="326">
        <v>38000</v>
      </c>
      <c r="E68" s="327"/>
      <c r="F68" s="328"/>
      <c r="G68" s="329"/>
      <c r="H68" s="359" t="s">
        <v>303</v>
      </c>
    </row>
    <row r="69" spans="1:11" ht="16.5" customHeight="1">
      <c r="A69" s="323"/>
      <c r="B69" s="325"/>
      <c r="C69" s="325"/>
      <c r="D69" s="326"/>
      <c r="E69" s="330"/>
      <c r="F69" s="331"/>
      <c r="G69" s="332"/>
      <c r="H69" s="359"/>
    </row>
    <row r="70" spans="1:11" ht="16.5" customHeight="1">
      <c r="A70" s="322">
        <v>45490</v>
      </c>
      <c r="B70" s="324" t="s">
        <v>3766</v>
      </c>
      <c r="C70" s="325"/>
      <c r="D70" s="326">
        <v>520000</v>
      </c>
      <c r="E70" s="562" t="s">
        <v>3767</v>
      </c>
      <c r="F70" s="582"/>
      <c r="G70" s="583"/>
      <c r="H70" s="359" t="s">
        <v>3765</v>
      </c>
    </row>
    <row r="71" spans="1:11" ht="16.5" customHeight="1">
      <c r="A71" s="323"/>
      <c r="B71" s="325"/>
      <c r="C71" s="325"/>
      <c r="D71" s="326"/>
      <c r="E71" s="584"/>
      <c r="F71" s="585"/>
      <c r="G71" s="586"/>
      <c r="H71" s="359"/>
    </row>
    <row r="72" spans="1:11" ht="16.5" customHeight="1">
      <c r="A72" s="322">
        <v>45490</v>
      </c>
      <c r="B72" s="324" t="s">
        <v>3768</v>
      </c>
      <c r="C72" s="326"/>
      <c r="D72" s="326">
        <v>200000</v>
      </c>
      <c r="E72" s="327"/>
      <c r="F72" s="328"/>
      <c r="G72" s="329"/>
      <c r="H72" s="333" t="s">
        <v>3769</v>
      </c>
    </row>
    <row r="73" spans="1:11" ht="16.5" customHeight="1">
      <c r="A73" s="323"/>
      <c r="B73" s="325"/>
      <c r="C73" s="326"/>
      <c r="D73" s="326"/>
      <c r="E73" s="330"/>
      <c r="F73" s="331"/>
      <c r="G73" s="332"/>
      <c r="H73" s="333"/>
    </row>
    <row r="74" spans="1:11" ht="16.5" customHeight="1">
      <c r="A74" s="322">
        <v>45491</v>
      </c>
      <c r="B74" s="324" t="s">
        <v>3772</v>
      </c>
      <c r="C74" s="325"/>
      <c r="D74" s="326">
        <v>350000</v>
      </c>
      <c r="E74" s="337"/>
      <c r="F74" s="326"/>
      <c r="G74" s="326"/>
      <c r="H74" s="359" t="s">
        <v>3773</v>
      </c>
      <c r="I74" s="3"/>
      <c r="K74" s="23"/>
    </row>
    <row r="75" spans="1:11" ht="16.5" customHeight="1">
      <c r="A75" s="323"/>
      <c r="B75" s="325"/>
      <c r="C75" s="325"/>
      <c r="D75" s="326"/>
      <c r="E75" s="326"/>
      <c r="F75" s="326"/>
      <c r="G75" s="326"/>
      <c r="H75" s="359"/>
    </row>
    <row r="76" spans="1:11" ht="16.5" customHeight="1">
      <c r="A76" s="322">
        <v>45491</v>
      </c>
      <c r="B76" s="324" t="s">
        <v>3775</v>
      </c>
      <c r="C76" s="324"/>
      <c r="D76" s="326">
        <v>380000</v>
      </c>
      <c r="E76" s="327"/>
      <c r="F76" s="328"/>
      <c r="G76" s="329"/>
      <c r="H76" s="359" t="s">
        <v>646</v>
      </c>
    </row>
    <row r="77" spans="1:11" ht="16.5" customHeight="1">
      <c r="A77" s="323"/>
      <c r="B77" s="325"/>
      <c r="C77" s="325"/>
      <c r="D77" s="326"/>
      <c r="E77" s="330"/>
      <c r="F77" s="331"/>
      <c r="G77" s="332"/>
      <c r="H77" s="359"/>
    </row>
    <row r="78" spans="1:11" ht="16.5" customHeight="1">
      <c r="A78" s="322">
        <v>45491</v>
      </c>
      <c r="B78" s="324" t="s">
        <v>3774</v>
      </c>
      <c r="C78" s="325"/>
      <c r="D78" s="326">
        <v>340000</v>
      </c>
      <c r="E78" s="327"/>
      <c r="F78" s="328"/>
      <c r="G78" s="329"/>
      <c r="H78" s="359" t="s">
        <v>145</v>
      </c>
    </row>
    <row r="79" spans="1:11" ht="16.5" customHeight="1">
      <c r="A79" s="323"/>
      <c r="B79" s="325"/>
      <c r="C79" s="325"/>
      <c r="D79" s="326"/>
      <c r="E79" s="330"/>
      <c r="F79" s="331"/>
      <c r="G79" s="332"/>
      <c r="H79" s="359"/>
    </row>
    <row r="80" spans="1:11" ht="16.5" customHeight="1">
      <c r="A80" s="334">
        <v>45491</v>
      </c>
      <c r="B80" s="324" t="s">
        <v>3770</v>
      </c>
      <c r="C80" s="325"/>
      <c r="D80" s="326">
        <v>70000</v>
      </c>
      <c r="E80" s="327">
        <v>620</v>
      </c>
      <c r="F80" s="328"/>
      <c r="G80" s="329"/>
      <c r="H80" s="360" t="s">
        <v>3771</v>
      </c>
    </row>
    <row r="81" spans="1:8" ht="16.5" customHeight="1">
      <c r="A81" s="323"/>
      <c r="B81" s="325"/>
      <c r="C81" s="325"/>
      <c r="D81" s="326"/>
      <c r="E81" s="330"/>
      <c r="F81" s="331"/>
      <c r="G81" s="332"/>
      <c r="H81" s="359"/>
    </row>
    <row r="82" spans="1:8">
      <c r="A82" s="334">
        <v>45492</v>
      </c>
      <c r="B82" s="325" t="s">
        <v>3776</v>
      </c>
      <c r="C82" s="325"/>
      <c r="D82" s="326">
        <v>242000</v>
      </c>
      <c r="E82" s="326" t="s">
        <v>3777</v>
      </c>
      <c r="F82" s="326"/>
      <c r="G82" s="326"/>
      <c r="H82" s="359" t="s">
        <v>145</v>
      </c>
    </row>
    <row r="83" spans="1:8">
      <c r="A83" s="323"/>
      <c r="B83" s="325"/>
      <c r="C83" s="325"/>
      <c r="D83" s="326"/>
      <c r="E83" s="326"/>
      <c r="F83" s="326"/>
      <c r="G83" s="326"/>
      <c r="H83" s="359"/>
    </row>
    <row r="84" spans="1:8" ht="16.5" customHeight="1">
      <c r="A84" s="334">
        <v>45492</v>
      </c>
      <c r="B84" s="324" t="s">
        <v>3779</v>
      </c>
      <c r="C84" s="325"/>
      <c r="D84" s="326">
        <v>60000</v>
      </c>
      <c r="E84" s="327" t="s">
        <v>3780</v>
      </c>
      <c r="F84" s="328"/>
      <c r="G84" s="329"/>
      <c r="H84" s="359" t="s">
        <v>3778</v>
      </c>
    </row>
    <row r="85" spans="1:8" ht="16.5" customHeight="1">
      <c r="A85" s="323"/>
      <c r="B85" s="325"/>
      <c r="C85" s="325"/>
      <c r="D85" s="326"/>
      <c r="E85" s="330"/>
      <c r="F85" s="331"/>
      <c r="G85" s="332"/>
      <c r="H85" s="359"/>
    </row>
    <row r="86" spans="1:8" ht="16.5" customHeight="1">
      <c r="A86" s="313"/>
      <c r="B86" s="568" t="s">
        <v>3807</v>
      </c>
      <c r="C86" s="569"/>
      <c r="D86" s="569"/>
      <c r="E86" s="569"/>
      <c r="F86" s="569"/>
      <c r="G86" s="569"/>
      <c r="H86" s="570"/>
    </row>
    <row r="87" spans="1:8" ht="48" customHeight="1">
      <c r="A87" s="305"/>
      <c r="B87" s="571"/>
      <c r="C87" s="572"/>
      <c r="D87" s="572"/>
      <c r="E87" s="572"/>
      <c r="F87" s="572"/>
      <c r="G87" s="572"/>
      <c r="H87" s="573"/>
    </row>
    <row r="88" spans="1:8" ht="16.5" customHeight="1">
      <c r="A88" s="313">
        <v>45495</v>
      </c>
      <c r="B88" s="324" t="s">
        <v>3783</v>
      </c>
      <c r="C88" s="325"/>
      <c r="D88" s="326">
        <v>209000</v>
      </c>
      <c r="E88" s="327"/>
      <c r="F88" s="328"/>
      <c r="G88" s="329"/>
      <c r="H88" s="359" t="s">
        <v>3782</v>
      </c>
    </row>
    <row r="89" spans="1:8" ht="16.5" customHeight="1">
      <c r="A89" s="305"/>
      <c r="B89" s="325"/>
      <c r="C89" s="325"/>
      <c r="D89" s="326"/>
      <c r="E89" s="330"/>
      <c r="F89" s="331"/>
      <c r="G89" s="332"/>
      <c r="H89" s="359"/>
    </row>
    <row r="90" spans="1:8" ht="16.5" customHeight="1">
      <c r="A90" s="313">
        <v>45496</v>
      </c>
      <c r="B90" s="324" t="s">
        <v>3784</v>
      </c>
      <c r="C90" s="325"/>
      <c r="D90" s="326">
        <v>300000</v>
      </c>
      <c r="E90" s="327"/>
      <c r="F90" s="328"/>
      <c r="G90" s="329"/>
      <c r="H90" s="360" t="s">
        <v>145</v>
      </c>
    </row>
    <row r="91" spans="1:8" ht="16.5" customHeight="1">
      <c r="A91" s="305"/>
      <c r="B91" s="325"/>
      <c r="C91" s="325"/>
      <c r="D91" s="326"/>
      <c r="E91" s="330"/>
      <c r="F91" s="331"/>
      <c r="G91" s="332"/>
      <c r="H91" s="359"/>
    </row>
    <row r="92" spans="1:8">
      <c r="A92" s="313">
        <v>45496</v>
      </c>
      <c r="B92" s="324" t="s">
        <v>3785</v>
      </c>
      <c r="C92" s="325"/>
      <c r="D92" s="326">
        <v>1500000</v>
      </c>
      <c r="E92" s="326"/>
      <c r="F92" s="326"/>
      <c r="G92" s="326"/>
      <c r="H92" s="360" t="s">
        <v>3296</v>
      </c>
    </row>
    <row r="93" spans="1:8">
      <c r="A93" s="305"/>
      <c r="B93" s="325"/>
      <c r="C93" s="325"/>
      <c r="D93" s="326"/>
      <c r="E93" s="326"/>
      <c r="F93" s="326"/>
      <c r="G93" s="326"/>
      <c r="H93" s="359"/>
    </row>
    <row r="94" spans="1:8" ht="16.5" customHeight="1">
      <c r="A94" s="313">
        <v>45496</v>
      </c>
      <c r="B94" s="324" t="s">
        <v>3786</v>
      </c>
      <c r="C94" s="325"/>
      <c r="D94" s="326">
        <v>737000</v>
      </c>
      <c r="E94" s="327" t="s">
        <v>3796</v>
      </c>
      <c r="F94" s="328"/>
      <c r="G94" s="329"/>
      <c r="H94" s="359" t="s">
        <v>3787</v>
      </c>
    </row>
    <row r="95" spans="1:8" ht="16.5" customHeight="1">
      <c r="A95" s="305"/>
      <c r="B95" s="325"/>
      <c r="C95" s="325"/>
      <c r="D95" s="326"/>
      <c r="E95" s="330"/>
      <c r="F95" s="331"/>
      <c r="G95" s="332"/>
      <c r="H95" s="359"/>
    </row>
    <row r="96" spans="1:8" ht="16.5" customHeight="1">
      <c r="A96" s="313">
        <v>45498</v>
      </c>
      <c r="B96" s="324" t="s">
        <v>3789</v>
      </c>
      <c r="C96" s="325"/>
      <c r="D96" s="326">
        <v>1150000</v>
      </c>
      <c r="E96" s="562" t="s">
        <v>3790</v>
      </c>
      <c r="F96" s="582"/>
      <c r="G96" s="583"/>
      <c r="H96" s="360" t="s">
        <v>3788</v>
      </c>
    </row>
    <row r="97" spans="1:10" ht="16.5" customHeight="1">
      <c r="A97" s="305"/>
      <c r="B97" s="325"/>
      <c r="C97" s="325"/>
      <c r="D97" s="326"/>
      <c r="E97" s="584"/>
      <c r="F97" s="585"/>
      <c r="G97" s="586"/>
      <c r="H97" s="359"/>
    </row>
    <row r="98" spans="1:10" ht="16.5" customHeight="1">
      <c r="A98" s="313">
        <v>45499</v>
      </c>
      <c r="B98" s="324" t="s">
        <v>3791</v>
      </c>
      <c r="C98" s="325"/>
      <c r="D98" s="326">
        <v>1080000</v>
      </c>
      <c r="E98" s="562" t="s">
        <v>3790</v>
      </c>
      <c r="F98" s="582"/>
      <c r="G98" s="583"/>
      <c r="H98" s="360" t="s">
        <v>3793</v>
      </c>
    </row>
    <row r="99" spans="1:10" ht="16.5" customHeight="1">
      <c r="A99" s="305"/>
      <c r="B99" s="325"/>
      <c r="C99" s="325"/>
      <c r="D99" s="326"/>
      <c r="E99" s="584"/>
      <c r="F99" s="585"/>
      <c r="G99" s="586"/>
      <c r="H99" s="359"/>
    </row>
    <row r="100" spans="1:10">
      <c r="A100" s="313">
        <v>45499</v>
      </c>
      <c r="B100" s="325" t="s">
        <v>3792</v>
      </c>
      <c r="C100" s="325"/>
      <c r="D100" s="326">
        <v>370000</v>
      </c>
      <c r="E100" s="326"/>
      <c r="F100" s="326"/>
      <c r="G100" s="326"/>
      <c r="H100" s="360" t="s">
        <v>145</v>
      </c>
    </row>
    <row r="101" spans="1:10">
      <c r="A101" s="305"/>
      <c r="B101" s="353"/>
      <c r="C101" s="353"/>
      <c r="D101" s="343"/>
      <c r="E101" s="343"/>
      <c r="F101" s="343"/>
      <c r="G101" s="343"/>
      <c r="H101" s="359"/>
    </row>
    <row r="102" spans="1:10">
      <c r="A102" s="797">
        <v>45499</v>
      </c>
      <c r="B102" s="325" t="s">
        <v>3795</v>
      </c>
      <c r="C102" s="325"/>
      <c r="D102" s="326">
        <v>40000</v>
      </c>
      <c r="E102" s="326"/>
      <c r="F102" s="326"/>
      <c r="G102" s="326"/>
      <c r="H102" s="325" t="s">
        <v>3794</v>
      </c>
      <c r="J102">
        <v>38</v>
      </c>
    </row>
    <row r="103" spans="1:10">
      <c r="A103" s="798"/>
      <c r="B103" s="325"/>
      <c r="C103" s="325"/>
      <c r="D103" s="326"/>
      <c r="E103" s="326"/>
      <c r="F103" s="326"/>
      <c r="G103" s="326"/>
      <c r="H103" s="325"/>
      <c r="J103">
        <v>29</v>
      </c>
    </row>
    <row r="104" spans="1:10">
      <c r="A104" s="797">
        <v>45500</v>
      </c>
      <c r="B104" s="325" t="s">
        <v>3800</v>
      </c>
      <c r="C104" s="325"/>
      <c r="D104" s="326">
        <v>380000</v>
      </c>
      <c r="E104" s="575" t="s">
        <v>3797</v>
      </c>
      <c r="F104" s="575"/>
      <c r="G104" s="575"/>
      <c r="H104" s="325" t="s">
        <v>3799</v>
      </c>
      <c r="J104">
        <v>43</v>
      </c>
    </row>
    <row r="105" spans="1:10">
      <c r="A105" s="798"/>
      <c r="B105" s="325"/>
      <c r="C105" s="325"/>
      <c r="D105" s="326"/>
      <c r="E105" s="575"/>
      <c r="F105" s="575"/>
      <c r="G105" s="575"/>
      <c r="H105" s="325"/>
      <c r="J105">
        <v>49</v>
      </c>
    </row>
    <row r="106" spans="1:10">
      <c r="A106" s="797">
        <v>45500</v>
      </c>
      <c r="B106" s="325" t="s">
        <v>3801</v>
      </c>
      <c r="C106" s="325"/>
      <c r="D106" s="326">
        <v>880000</v>
      </c>
      <c r="E106" s="574" t="s">
        <v>3798</v>
      </c>
      <c r="F106" s="575"/>
      <c r="G106" s="575"/>
      <c r="H106" s="325" t="s">
        <v>3799</v>
      </c>
    </row>
    <row r="107" spans="1:10">
      <c r="A107" s="798"/>
      <c r="B107" s="325"/>
      <c r="C107" s="325"/>
      <c r="D107" s="326"/>
      <c r="E107" s="575"/>
      <c r="F107" s="575"/>
      <c r="G107" s="575"/>
      <c r="H107" s="325"/>
    </row>
    <row r="108" spans="1:10">
      <c r="A108" s="797">
        <v>45500</v>
      </c>
      <c r="B108" s="325" t="s">
        <v>3802</v>
      </c>
      <c r="C108" s="325"/>
      <c r="D108" s="326">
        <v>340000</v>
      </c>
      <c r="E108" s="326"/>
      <c r="F108" s="326"/>
      <c r="G108" s="326"/>
      <c r="H108" s="325" t="s">
        <v>3803</v>
      </c>
    </row>
    <row r="109" spans="1:10">
      <c r="A109" s="798"/>
      <c r="B109" s="325"/>
      <c r="C109" s="325"/>
      <c r="D109" s="326"/>
      <c r="E109" s="326"/>
      <c r="F109" s="326"/>
      <c r="G109" s="326"/>
      <c r="H109" s="325"/>
    </row>
    <row r="110" spans="1:10">
      <c r="A110" s="766">
        <v>45500</v>
      </c>
      <c r="B110" s="352" t="s">
        <v>3805</v>
      </c>
      <c r="C110" s="352"/>
      <c r="D110" s="344">
        <v>650000</v>
      </c>
      <c r="E110" s="344"/>
      <c r="F110" s="344"/>
      <c r="G110" s="344"/>
      <c r="H110" s="325" t="s">
        <v>145</v>
      </c>
    </row>
    <row r="111" spans="1:10">
      <c r="A111" s="305"/>
      <c r="B111" s="325"/>
      <c r="C111" s="325"/>
      <c r="D111" s="326"/>
      <c r="E111" s="326"/>
      <c r="F111" s="326"/>
      <c r="G111" s="326"/>
      <c r="H111" s="325"/>
    </row>
    <row r="112" spans="1:10" ht="72" customHeight="1">
      <c r="A112" s="123"/>
      <c r="B112" s="728" t="s">
        <v>3812</v>
      </c>
      <c r="C112" s="725"/>
      <c r="D112" s="725"/>
      <c r="E112" s="725"/>
      <c r="F112" s="725"/>
      <c r="G112" s="725"/>
      <c r="H112" s="809"/>
    </row>
    <row r="113" spans="1:8">
      <c r="A113" s="766">
        <v>45502</v>
      </c>
      <c r="B113" s="325" t="s">
        <v>3806</v>
      </c>
      <c r="C113" s="325"/>
      <c r="D113" s="326">
        <v>650000</v>
      </c>
      <c r="E113" s="575" t="s">
        <v>3813</v>
      </c>
      <c r="F113" s="575"/>
      <c r="G113" s="575"/>
      <c r="H113" s="325" t="s">
        <v>145</v>
      </c>
    </row>
    <row r="114" spans="1:8">
      <c r="A114" s="305"/>
      <c r="B114" s="325"/>
      <c r="C114" s="325"/>
      <c r="D114" s="326"/>
      <c r="E114" s="575"/>
      <c r="F114" s="575"/>
      <c r="G114" s="575"/>
      <c r="H114" s="325"/>
    </row>
    <row r="115" spans="1:8">
      <c r="A115" s="313">
        <v>45502</v>
      </c>
      <c r="B115" s="325" t="s">
        <v>3804</v>
      </c>
      <c r="C115" s="325"/>
      <c r="D115" s="326">
        <v>88000</v>
      </c>
      <c r="E115" s="326"/>
      <c r="F115" s="326"/>
      <c r="G115" s="326"/>
      <c r="H115" s="359" t="s">
        <v>3808</v>
      </c>
    </row>
    <row r="116" spans="1:8">
      <c r="A116" s="305"/>
      <c r="B116" s="325"/>
      <c r="C116" s="325"/>
      <c r="D116" s="326"/>
      <c r="E116" s="326"/>
      <c r="F116" s="326"/>
      <c r="G116" s="326"/>
      <c r="H116" s="359"/>
    </row>
    <row r="117" spans="1:8">
      <c r="A117" s="313">
        <v>45503</v>
      </c>
      <c r="B117" s="325"/>
      <c r="C117" s="325"/>
      <c r="D117" s="326">
        <v>510000</v>
      </c>
      <c r="E117" s="326"/>
      <c r="F117" s="326"/>
      <c r="G117" s="326"/>
      <c r="H117" s="359"/>
    </row>
    <row r="118" spans="1:8">
      <c r="A118" s="305"/>
      <c r="B118" s="325"/>
      <c r="C118" s="325"/>
      <c r="D118" s="326"/>
      <c r="E118" s="326"/>
      <c r="F118" s="326"/>
      <c r="G118" s="326"/>
      <c r="H118" s="359"/>
    </row>
    <row r="119" spans="1:8" ht="17.25" customHeight="1">
      <c r="A119" s="313">
        <v>45504</v>
      </c>
      <c r="B119" s="325" t="s">
        <v>3809</v>
      </c>
      <c r="C119" s="325"/>
      <c r="D119" s="326">
        <v>910800</v>
      </c>
      <c r="E119" s="326"/>
      <c r="F119" s="326"/>
      <c r="G119" s="326"/>
      <c r="H119" s="359" t="s">
        <v>3810</v>
      </c>
    </row>
    <row r="120" spans="1:8" ht="17.25" customHeight="1">
      <c r="A120" s="305"/>
      <c r="B120" s="325"/>
      <c r="C120" s="325"/>
      <c r="D120" s="326"/>
      <c r="E120" s="326"/>
      <c r="F120" s="326"/>
      <c r="G120" s="326"/>
      <c r="H120" s="359"/>
    </row>
    <row r="121" spans="1:8" ht="17.25" customHeight="1">
      <c r="A121" s="313">
        <v>45504</v>
      </c>
      <c r="B121" s="325"/>
      <c r="C121" s="325"/>
      <c r="D121" s="326">
        <v>400000</v>
      </c>
      <c r="E121" s="326"/>
      <c r="F121" s="326"/>
      <c r="G121" s="326"/>
      <c r="H121" s="359"/>
    </row>
    <row r="122" spans="1:8" ht="17.25" customHeight="1">
      <c r="A122" s="305"/>
      <c r="B122" s="325"/>
      <c r="C122" s="325"/>
      <c r="D122" s="326"/>
      <c r="E122" s="326"/>
      <c r="F122" s="326"/>
      <c r="G122" s="326"/>
      <c r="H122" s="359"/>
    </row>
    <row r="123" spans="1:8">
      <c r="A123" s="305"/>
      <c r="B123" s="789" t="s">
        <v>3814</v>
      </c>
      <c r="C123" s="790"/>
      <c r="D123" s="790"/>
      <c r="E123" s="790"/>
      <c r="F123" s="790"/>
      <c r="G123" s="790"/>
      <c r="H123" s="791"/>
    </row>
    <row r="124" spans="1:8" ht="45" customHeight="1">
      <c r="A124" s="305"/>
      <c r="B124" s="792"/>
      <c r="C124" s="793"/>
      <c r="D124" s="793"/>
      <c r="E124" s="793"/>
      <c r="F124" s="793"/>
      <c r="G124" s="793"/>
      <c r="H124" s="794"/>
    </row>
    <row r="125" spans="1:8">
      <c r="A125" s="305"/>
      <c r="B125" s="307"/>
      <c r="C125" s="307"/>
      <c r="D125" s="309"/>
      <c r="E125" s="309"/>
      <c r="F125" s="309"/>
      <c r="G125" s="309"/>
      <c r="H125" s="311"/>
    </row>
    <row r="126" spans="1:8">
      <c r="A126" s="305"/>
      <c r="B126" s="307"/>
      <c r="C126" s="307"/>
      <c r="D126" s="309"/>
      <c r="E126" s="309"/>
      <c r="F126" s="309"/>
      <c r="G126" s="309"/>
      <c r="H126" s="311"/>
    </row>
    <row r="127" spans="1:8">
      <c r="A127" s="305"/>
      <c r="B127" s="307"/>
      <c r="C127" s="307"/>
      <c r="D127" s="309"/>
      <c r="E127" s="309"/>
      <c r="F127" s="309"/>
      <c r="G127" s="309"/>
      <c r="H127" s="311"/>
    </row>
    <row r="128" spans="1:8">
      <c r="A128" s="305"/>
      <c r="B128" s="307"/>
      <c r="C128" s="307"/>
      <c r="D128" s="309"/>
      <c r="E128" s="309"/>
      <c r="F128" s="309"/>
      <c r="G128" s="309"/>
      <c r="H128" s="311"/>
    </row>
    <row r="129" spans="1:8">
      <c r="A129" s="305"/>
      <c r="B129" s="307"/>
      <c r="C129" s="307"/>
      <c r="D129" s="309"/>
      <c r="E129" s="309"/>
      <c r="F129" s="309"/>
      <c r="G129" s="309"/>
      <c r="H129" s="311"/>
    </row>
    <row r="130" spans="1:8">
      <c r="A130" s="305"/>
      <c r="B130" s="307"/>
      <c r="C130" s="307"/>
      <c r="D130" s="309"/>
      <c r="E130" s="309"/>
      <c r="F130" s="309"/>
      <c r="G130" s="309"/>
      <c r="H130" s="311"/>
    </row>
    <row r="131" spans="1:8" ht="17.25" customHeight="1">
      <c r="A131" s="305"/>
      <c r="B131" s="307"/>
      <c r="C131" s="307"/>
      <c r="D131" s="309"/>
      <c r="E131" s="309"/>
      <c r="F131" s="309"/>
      <c r="G131" s="309"/>
      <c r="H131" s="311"/>
    </row>
    <row r="132" spans="1:8" ht="17.25" customHeight="1">
      <c r="A132" s="305"/>
      <c r="B132" s="307"/>
      <c r="C132" s="307"/>
      <c r="D132" s="309"/>
      <c r="E132" s="309"/>
      <c r="F132" s="309"/>
      <c r="G132" s="309"/>
      <c r="H132" s="311"/>
    </row>
    <row r="133" spans="1:8">
      <c r="A133" s="305"/>
      <c r="B133" s="307"/>
      <c r="C133" s="307"/>
      <c r="D133" s="309"/>
      <c r="E133" s="309"/>
      <c r="F133" s="309"/>
      <c r="G133" s="309"/>
      <c r="H133" s="311"/>
    </row>
    <row r="134" spans="1:8">
      <c r="A134" s="305"/>
      <c r="B134" s="307"/>
      <c r="C134" s="307"/>
      <c r="D134" s="309"/>
      <c r="E134" s="309"/>
      <c r="F134" s="309"/>
      <c r="G134" s="309"/>
      <c r="H134" s="311"/>
    </row>
    <row r="135" spans="1:8">
      <c r="A135" s="305"/>
      <c r="B135" s="307"/>
      <c r="C135" s="307"/>
      <c r="D135" s="309"/>
      <c r="E135" s="309"/>
      <c r="F135" s="309"/>
      <c r="G135" s="309"/>
      <c r="H135" s="311"/>
    </row>
    <row r="136" spans="1:8">
      <c r="A136" s="305"/>
      <c r="B136" s="307"/>
      <c r="C136" s="307"/>
      <c r="D136" s="309"/>
      <c r="E136" s="309"/>
      <c r="F136" s="309"/>
      <c r="G136" s="309"/>
      <c r="H136" s="311"/>
    </row>
    <row r="137" spans="1:8">
      <c r="A137" s="305"/>
      <c r="B137" s="307"/>
      <c r="C137" s="307"/>
      <c r="D137" s="309"/>
      <c r="E137" s="309"/>
      <c r="F137" s="309"/>
      <c r="G137" s="309"/>
      <c r="H137" s="311"/>
    </row>
    <row r="138" spans="1:8">
      <c r="A138" s="305"/>
      <c r="B138" s="307"/>
      <c r="C138" s="307"/>
      <c r="D138" s="309"/>
      <c r="E138" s="309"/>
      <c r="F138" s="309"/>
      <c r="G138" s="309"/>
      <c r="H138" s="311"/>
    </row>
    <row r="139" spans="1:8">
      <c r="A139" s="305"/>
      <c r="B139" s="307"/>
      <c r="C139" s="307"/>
      <c r="D139" s="309"/>
      <c r="E139" s="309"/>
      <c r="F139" s="309"/>
      <c r="G139" s="309"/>
      <c r="H139" s="311"/>
    </row>
    <row r="140" spans="1:8">
      <c r="A140" s="305"/>
      <c r="B140" s="307"/>
      <c r="C140" s="307"/>
      <c r="D140" s="309"/>
      <c r="E140" s="309"/>
      <c r="F140" s="309"/>
      <c r="G140" s="309"/>
      <c r="H140" s="311"/>
    </row>
    <row r="141" spans="1:8">
      <c r="A141" s="305"/>
      <c r="B141" s="307"/>
      <c r="C141" s="307"/>
      <c r="D141" s="309"/>
      <c r="E141" s="309"/>
      <c r="F141" s="309"/>
      <c r="G141" s="309"/>
      <c r="H141" s="311"/>
    </row>
    <row r="142" spans="1:8">
      <c r="A142" s="305"/>
      <c r="B142" s="307"/>
      <c r="C142" s="307"/>
      <c r="D142" s="309"/>
      <c r="E142" s="309"/>
      <c r="F142" s="309"/>
      <c r="G142" s="309"/>
      <c r="H142" s="311"/>
    </row>
    <row r="143" spans="1:8">
      <c r="A143" s="305"/>
      <c r="B143" s="307"/>
      <c r="C143" s="307"/>
      <c r="D143" s="309"/>
      <c r="E143" s="309"/>
      <c r="F143" s="309"/>
      <c r="G143" s="309"/>
      <c r="H143" s="311"/>
    </row>
    <row r="144" spans="1:8">
      <c r="A144" s="305"/>
      <c r="B144" s="307"/>
      <c r="C144" s="307"/>
      <c r="D144" s="309"/>
      <c r="E144" s="309"/>
      <c r="F144" s="309"/>
      <c r="G144" s="309"/>
      <c r="H144" s="311"/>
    </row>
    <row r="145" spans="1:8">
      <c r="A145" s="305"/>
      <c r="B145" s="307"/>
      <c r="C145" s="307"/>
      <c r="D145" s="309"/>
      <c r="E145" s="309"/>
      <c r="F145" s="309"/>
      <c r="G145" s="309"/>
      <c r="H145" s="311"/>
    </row>
    <row r="146" spans="1:8">
      <c r="A146" s="305"/>
      <c r="B146" s="307"/>
      <c r="C146" s="307"/>
      <c r="D146" s="309"/>
      <c r="E146" s="309"/>
      <c r="F146" s="309"/>
      <c r="G146" s="309"/>
      <c r="H146" s="311"/>
    </row>
    <row r="147" spans="1:8" ht="17.25" customHeight="1">
      <c r="A147" s="305"/>
      <c r="B147" s="307"/>
      <c r="C147" s="307"/>
      <c r="D147" s="309"/>
      <c r="E147" s="309"/>
      <c r="F147" s="309"/>
      <c r="G147" s="309"/>
      <c r="H147" s="311"/>
    </row>
    <row r="148" spans="1:8" ht="17.25" customHeight="1">
      <c r="A148" s="305"/>
      <c r="B148" s="307"/>
      <c r="C148" s="307"/>
      <c r="D148" s="309"/>
      <c r="E148" s="309"/>
      <c r="F148" s="309"/>
      <c r="G148" s="309"/>
      <c r="H148" s="311"/>
    </row>
  </sheetData>
  <mergeCells count="425">
    <mergeCell ref="A3:H3"/>
    <mergeCell ref="A4:A5"/>
    <mergeCell ref="B4:B5"/>
    <mergeCell ref="C4:C5"/>
    <mergeCell ref="D4:D5"/>
    <mergeCell ref="E4:G5"/>
    <mergeCell ref="H4:H5"/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A8:A9"/>
    <mergeCell ref="B8:B9"/>
    <mergeCell ref="C8:C9"/>
    <mergeCell ref="E12:G12"/>
    <mergeCell ref="A13:A14"/>
    <mergeCell ref="B13:B14"/>
    <mergeCell ref="C13:C14"/>
    <mergeCell ref="D13:D14"/>
    <mergeCell ref="E13:G14"/>
    <mergeCell ref="H13:H14"/>
    <mergeCell ref="A10:A11"/>
    <mergeCell ref="B10:B11"/>
    <mergeCell ref="C10:C11"/>
    <mergeCell ref="D10:D11"/>
    <mergeCell ref="E10:G11"/>
    <mergeCell ref="H10:H11"/>
    <mergeCell ref="A15:A16"/>
    <mergeCell ref="B15:B16"/>
    <mergeCell ref="D15:D16"/>
    <mergeCell ref="E15:G16"/>
    <mergeCell ref="H15:H16"/>
    <mergeCell ref="A17:A18"/>
    <mergeCell ref="B17:B18"/>
    <mergeCell ref="C17:C18"/>
    <mergeCell ref="D17:D18"/>
    <mergeCell ref="E17:G18"/>
    <mergeCell ref="A21:A22"/>
    <mergeCell ref="B21:B22"/>
    <mergeCell ref="C21:C22"/>
    <mergeCell ref="D21:D22"/>
    <mergeCell ref="E21:G22"/>
    <mergeCell ref="H21:H22"/>
    <mergeCell ref="H17:H18"/>
    <mergeCell ref="A19:A20"/>
    <mergeCell ref="B19:B20"/>
    <mergeCell ref="C19:C20"/>
    <mergeCell ref="D19:D20"/>
    <mergeCell ref="E19:G20"/>
    <mergeCell ref="H19:H20"/>
    <mergeCell ref="A25:A26"/>
    <mergeCell ref="B25:B26"/>
    <mergeCell ref="C25:C26"/>
    <mergeCell ref="D25:D26"/>
    <mergeCell ref="E25:G26"/>
    <mergeCell ref="H25:H26"/>
    <mergeCell ref="A23:A24"/>
    <mergeCell ref="B23:B24"/>
    <mergeCell ref="C23:C24"/>
    <mergeCell ref="D23:D24"/>
    <mergeCell ref="E23:G24"/>
    <mergeCell ref="H23:H24"/>
    <mergeCell ref="A29:A30"/>
    <mergeCell ref="B29:B30"/>
    <mergeCell ref="C29:C30"/>
    <mergeCell ref="D29:D30"/>
    <mergeCell ref="E29:G30"/>
    <mergeCell ref="H29:H30"/>
    <mergeCell ref="A27:A28"/>
    <mergeCell ref="B27:B28"/>
    <mergeCell ref="C27:C28"/>
    <mergeCell ref="D27:D28"/>
    <mergeCell ref="E27:G28"/>
    <mergeCell ref="H27:H28"/>
    <mergeCell ref="A33:A34"/>
    <mergeCell ref="B33:B34"/>
    <mergeCell ref="C33:C34"/>
    <mergeCell ref="D33:D34"/>
    <mergeCell ref="E33:G34"/>
    <mergeCell ref="B35:H35"/>
    <mergeCell ref="H33:H34"/>
    <mergeCell ref="A31:A32"/>
    <mergeCell ref="B31:B32"/>
    <mergeCell ref="C31:C32"/>
    <mergeCell ref="D31:D32"/>
    <mergeCell ref="E31:G32"/>
    <mergeCell ref="H31:H32"/>
    <mergeCell ref="A40:A41"/>
    <mergeCell ref="B40:B41"/>
    <mergeCell ref="C40:C41"/>
    <mergeCell ref="D40:D41"/>
    <mergeCell ref="E40:G41"/>
    <mergeCell ref="H40:H41"/>
    <mergeCell ref="H36:H37"/>
    <mergeCell ref="A38:A39"/>
    <mergeCell ref="B38:B39"/>
    <mergeCell ref="C38:C39"/>
    <mergeCell ref="D38:D39"/>
    <mergeCell ref="E38:G39"/>
    <mergeCell ref="H38:H39"/>
    <mergeCell ref="A36:A37"/>
    <mergeCell ref="B36:B37"/>
    <mergeCell ref="C36:C37"/>
    <mergeCell ref="D36:D37"/>
    <mergeCell ref="E36:G37"/>
    <mergeCell ref="A44:A45"/>
    <mergeCell ref="B44:B45"/>
    <mergeCell ref="C44:C45"/>
    <mergeCell ref="D44:D45"/>
    <mergeCell ref="E44:G45"/>
    <mergeCell ref="H44:H45"/>
    <mergeCell ref="A42:A43"/>
    <mergeCell ref="B42:B43"/>
    <mergeCell ref="C42:C43"/>
    <mergeCell ref="D42:D43"/>
    <mergeCell ref="E42:G43"/>
    <mergeCell ref="H42:H43"/>
    <mergeCell ref="A52:A53"/>
    <mergeCell ref="B52:B53"/>
    <mergeCell ref="C52:C53"/>
    <mergeCell ref="D52:D53"/>
    <mergeCell ref="E52:G53"/>
    <mergeCell ref="H52:H53"/>
    <mergeCell ref="A46:A47"/>
    <mergeCell ref="B46:B47"/>
    <mergeCell ref="C46:C47"/>
    <mergeCell ref="D46:D47"/>
    <mergeCell ref="E46:G47"/>
    <mergeCell ref="H46:H47"/>
    <mergeCell ref="A50:A51"/>
    <mergeCell ref="B50:B51"/>
    <mergeCell ref="C50:C51"/>
    <mergeCell ref="D50:D51"/>
    <mergeCell ref="E50:G51"/>
    <mergeCell ref="H50:H51"/>
    <mergeCell ref="A48:A49"/>
    <mergeCell ref="B48:B49"/>
    <mergeCell ref="C48:C49"/>
    <mergeCell ref="D48:D49"/>
    <mergeCell ref="E48:G49"/>
    <mergeCell ref="H48:H49"/>
    <mergeCell ref="A56:A57"/>
    <mergeCell ref="A54:A55"/>
    <mergeCell ref="B54:B55"/>
    <mergeCell ref="C54:C55"/>
    <mergeCell ref="D54:D55"/>
    <mergeCell ref="E54:G55"/>
    <mergeCell ref="H54:H55"/>
    <mergeCell ref="B56:H59"/>
    <mergeCell ref="A62:A63"/>
    <mergeCell ref="B62:B63"/>
    <mergeCell ref="C62:C63"/>
    <mergeCell ref="D62:D63"/>
    <mergeCell ref="E62:G63"/>
    <mergeCell ref="H62:H63"/>
    <mergeCell ref="A58:A59"/>
    <mergeCell ref="A60:A61"/>
    <mergeCell ref="B60:B61"/>
    <mergeCell ref="C60:C61"/>
    <mergeCell ref="D60:D61"/>
    <mergeCell ref="E60:G61"/>
    <mergeCell ref="H60:H61"/>
    <mergeCell ref="A66:A67"/>
    <mergeCell ref="B66:B67"/>
    <mergeCell ref="C66:C67"/>
    <mergeCell ref="D66:D67"/>
    <mergeCell ref="E66:G67"/>
    <mergeCell ref="H66:H67"/>
    <mergeCell ref="A64:A65"/>
    <mergeCell ref="B64:B65"/>
    <mergeCell ref="C64:C65"/>
    <mergeCell ref="D64:D65"/>
    <mergeCell ref="E64:G65"/>
    <mergeCell ref="H64:H65"/>
    <mergeCell ref="A70:A71"/>
    <mergeCell ref="B70:B71"/>
    <mergeCell ref="C70:C71"/>
    <mergeCell ref="D70:D71"/>
    <mergeCell ref="E70:G71"/>
    <mergeCell ref="H70:H71"/>
    <mergeCell ref="A68:A69"/>
    <mergeCell ref="B68:B69"/>
    <mergeCell ref="C68:C69"/>
    <mergeCell ref="D68:D69"/>
    <mergeCell ref="E68:G69"/>
    <mergeCell ref="H68:H69"/>
    <mergeCell ref="A74:A75"/>
    <mergeCell ref="B74:B75"/>
    <mergeCell ref="C74:C75"/>
    <mergeCell ref="D74:D75"/>
    <mergeCell ref="E74:G75"/>
    <mergeCell ref="H74:H75"/>
    <mergeCell ref="A72:A73"/>
    <mergeCell ref="B72:B73"/>
    <mergeCell ref="C72:C73"/>
    <mergeCell ref="D72:D73"/>
    <mergeCell ref="E72:G73"/>
    <mergeCell ref="H72:H73"/>
    <mergeCell ref="A78:A79"/>
    <mergeCell ref="B78:B79"/>
    <mergeCell ref="C78:C79"/>
    <mergeCell ref="D78:D79"/>
    <mergeCell ref="E78:G79"/>
    <mergeCell ref="H78:H79"/>
    <mergeCell ref="A76:A77"/>
    <mergeCell ref="B76:B77"/>
    <mergeCell ref="C76:C77"/>
    <mergeCell ref="D76:D77"/>
    <mergeCell ref="E76:G77"/>
    <mergeCell ref="H76:H77"/>
    <mergeCell ref="A82:A83"/>
    <mergeCell ref="B82:B83"/>
    <mergeCell ref="C82:C83"/>
    <mergeCell ref="D82:D83"/>
    <mergeCell ref="E82:G83"/>
    <mergeCell ref="H82:H83"/>
    <mergeCell ref="A80:A81"/>
    <mergeCell ref="B80:B81"/>
    <mergeCell ref="C80:C81"/>
    <mergeCell ref="D80:D81"/>
    <mergeCell ref="E80:G81"/>
    <mergeCell ref="H80:H81"/>
    <mergeCell ref="A88:A89"/>
    <mergeCell ref="B88:B89"/>
    <mergeCell ref="C88:C89"/>
    <mergeCell ref="D88:D89"/>
    <mergeCell ref="E88:G89"/>
    <mergeCell ref="H88:H89"/>
    <mergeCell ref="A86:A87"/>
    <mergeCell ref="A84:A85"/>
    <mergeCell ref="B84:B85"/>
    <mergeCell ref="C84:C85"/>
    <mergeCell ref="D84:D85"/>
    <mergeCell ref="E84:G85"/>
    <mergeCell ref="H84:H85"/>
    <mergeCell ref="B86:H87"/>
    <mergeCell ref="A92:A93"/>
    <mergeCell ref="B92:B93"/>
    <mergeCell ref="C92:C93"/>
    <mergeCell ref="D92:D93"/>
    <mergeCell ref="E92:G93"/>
    <mergeCell ref="H92:H93"/>
    <mergeCell ref="A90:A91"/>
    <mergeCell ref="B90:B91"/>
    <mergeCell ref="C90:C91"/>
    <mergeCell ref="D90:D91"/>
    <mergeCell ref="E90:G91"/>
    <mergeCell ref="H90:H91"/>
    <mergeCell ref="A96:A97"/>
    <mergeCell ref="B96:B97"/>
    <mergeCell ref="C96:C97"/>
    <mergeCell ref="D96:D97"/>
    <mergeCell ref="E96:G97"/>
    <mergeCell ref="H96:H97"/>
    <mergeCell ref="A94:A95"/>
    <mergeCell ref="B94:B95"/>
    <mergeCell ref="C94:C95"/>
    <mergeCell ref="D94:D95"/>
    <mergeCell ref="E94:G95"/>
    <mergeCell ref="H94:H95"/>
    <mergeCell ref="A100:A101"/>
    <mergeCell ref="B100:B101"/>
    <mergeCell ref="C100:C101"/>
    <mergeCell ref="D100:D101"/>
    <mergeCell ref="E100:G101"/>
    <mergeCell ref="H100:H101"/>
    <mergeCell ref="A98:A99"/>
    <mergeCell ref="B98:B99"/>
    <mergeCell ref="C98:C99"/>
    <mergeCell ref="D98:D99"/>
    <mergeCell ref="E98:G99"/>
    <mergeCell ref="H98:H99"/>
    <mergeCell ref="A104:A105"/>
    <mergeCell ref="B104:B105"/>
    <mergeCell ref="C104:C105"/>
    <mergeCell ref="D104:D105"/>
    <mergeCell ref="E104:G105"/>
    <mergeCell ref="H104:H105"/>
    <mergeCell ref="A102:A103"/>
    <mergeCell ref="B102:B103"/>
    <mergeCell ref="C102:C103"/>
    <mergeCell ref="D102:D103"/>
    <mergeCell ref="E102:G103"/>
    <mergeCell ref="H102:H103"/>
    <mergeCell ref="A108:A109"/>
    <mergeCell ref="B108:B109"/>
    <mergeCell ref="C108:C109"/>
    <mergeCell ref="D108:D109"/>
    <mergeCell ref="E108:G109"/>
    <mergeCell ref="H108:H109"/>
    <mergeCell ref="A106:A107"/>
    <mergeCell ref="B106:B107"/>
    <mergeCell ref="C106:C107"/>
    <mergeCell ref="D106:D107"/>
    <mergeCell ref="E106:G107"/>
    <mergeCell ref="H106:H107"/>
    <mergeCell ref="A113:A114"/>
    <mergeCell ref="B113:B114"/>
    <mergeCell ref="C113:C114"/>
    <mergeCell ref="D113:D114"/>
    <mergeCell ref="E113:G114"/>
    <mergeCell ref="H113:H114"/>
    <mergeCell ref="A110:A111"/>
    <mergeCell ref="B110:B111"/>
    <mergeCell ref="C110:C111"/>
    <mergeCell ref="D110:D111"/>
    <mergeCell ref="E110:G111"/>
    <mergeCell ref="H110:H111"/>
    <mergeCell ref="B112:H112"/>
    <mergeCell ref="A117:A118"/>
    <mergeCell ref="B117:B118"/>
    <mergeCell ref="C117:C118"/>
    <mergeCell ref="D117:D118"/>
    <mergeCell ref="E117:G118"/>
    <mergeCell ref="H117:H118"/>
    <mergeCell ref="A115:A116"/>
    <mergeCell ref="B115:B116"/>
    <mergeCell ref="C115:C116"/>
    <mergeCell ref="D115:D116"/>
    <mergeCell ref="E115:G116"/>
    <mergeCell ref="H115:H116"/>
    <mergeCell ref="A123:A124"/>
    <mergeCell ref="B123:H124"/>
    <mergeCell ref="A121:A122"/>
    <mergeCell ref="B121:B122"/>
    <mergeCell ref="C121:C122"/>
    <mergeCell ref="D121:D122"/>
    <mergeCell ref="E121:G122"/>
    <mergeCell ref="H121:H122"/>
    <mergeCell ref="A119:A120"/>
    <mergeCell ref="B119:B120"/>
    <mergeCell ref="C119:C120"/>
    <mergeCell ref="D119:D120"/>
    <mergeCell ref="E119:G120"/>
    <mergeCell ref="H119:H120"/>
    <mergeCell ref="A127:A128"/>
    <mergeCell ref="B127:B128"/>
    <mergeCell ref="C127:C128"/>
    <mergeCell ref="D127:D128"/>
    <mergeCell ref="E127:G128"/>
    <mergeCell ref="H127:H128"/>
    <mergeCell ref="A125:A126"/>
    <mergeCell ref="B125:B126"/>
    <mergeCell ref="C125:C126"/>
    <mergeCell ref="D125:D126"/>
    <mergeCell ref="E125:G126"/>
    <mergeCell ref="H125:H126"/>
    <mergeCell ref="A131:A132"/>
    <mergeCell ref="B131:B132"/>
    <mergeCell ref="C131:C132"/>
    <mergeCell ref="D131:D132"/>
    <mergeCell ref="E131:G132"/>
    <mergeCell ref="H131:H132"/>
    <mergeCell ref="A129:A130"/>
    <mergeCell ref="B129:B130"/>
    <mergeCell ref="C129:C130"/>
    <mergeCell ref="D129:D130"/>
    <mergeCell ref="E129:G130"/>
    <mergeCell ref="H129:H130"/>
    <mergeCell ref="A135:A136"/>
    <mergeCell ref="B135:B136"/>
    <mergeCell ref="C135:C136"/>
    <mergeCell ref="D135:D136"/>
    <mergeCell ref="E135:G136"/>
    <mergeCell ref="H135:H136"/>
    <mergeCell ref="A133:A134"/>
    <mergeCell ref="B133:B134"/>
    <mergeCell ref="C133:C134"/>
    <mergeCell ref="D133:D134"/>
    <mergeCell ref="E133:G134"/>
    <mergeCell ref="H133:H134"/>
    <mergeCell ref="A139:A140"/>
    <mergeCell ref="B139:B140"/>
    <mergeCell ref="C139:C140"/>
    <mergeCell ref="D139:D140"/>
    <mergeCell ref="E139:G140"/>
    <mergeCell ref="H139:H140"/>
    <mergeCell ref="A137:A138"/>
    <mergeCell ref="B137:B138"/>
    <mergeCell ref="C137:C138"/>
    <mergeCell ref="D137:D138"/>
    <mergeCell ref="E137:G138"/>
    <mergeCell ref="H137:H138"/>
    <mergeCell ref="A143:A144"/>
    <mergeCell ref="B143:B144"/>
    <mergeCell ref="C143:C144"/>
    <mergeCell ref="D143:D144"/>
    <mergeCell ref="E143:G144"/>
    <mergeCell ref="H143:H144"/>
    <mergeCell ref="A141:A142"/>
    <mergeCell ref="B141:B142"/>
    <mergeCell ref="C141:C142"/>
    <mergeCell ref="D141:D142"/>
    <mergeCell ref="E141:G142"/>
    <mergeCell ref="H141:H142"/>
    <mergeCell ref="A147:A148"/>
    <mergeCell ref="B147:B148"/>
    <mergeCell ref="C147:C148"/>
    <mergeCell ref="D147:D148"/>
    <mergeCell ref="E147:G148"/>
    <mergeCell ref="H147:H148"/>
    <mergeCell ref="A145:A146"/>
    <mergeCell ref="B145:B146"/>
    <mergeCell ref="C145:C146"/>
    <mergeCell ref="D145:D146"/>
    <mergeCell ref="E145:G146"/>
    <mergeCell ref="H145:H146"/>
  </mergeCells>
  <phoneticPr fontId="1" type="noConversion"/>
  <pageMargins left="0" right="0" top="0" bottom="0" header="0" footer="0"/>
  <pageSetup paperSize="9" scale="36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40"/>
  <sheetViews>
    <sheetView showGridLines="0" zoomScale="115" zoomScaleNormal="115" workbookViewId="0">
      <pane xSplit="8" ySplit="2" topLeftCell="I102" activePane="bottomRight" state="frozen"/>
      <selection pane="topRight" activeCell="I1" sqref="I1"/>
      <selection pane="bottomLeft" activeCell="A3" sqref="A3"/>
      <selection pane="bottomRight" activeCell="A119" sqref="A4:A120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0" max="10" width="13.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  <col min="18" max="18" width="9.5" bestFit="1" customWidth="1"/>
  </cols>
  <sheetData>
    <row r="1" spans="1:18" ht="35.25" customHeight="1" thickBot="1">
      <c r="A1" s="388" t="s">
        <v>3811</v>
      </c>
      <c r="B1" s="389"/>
      <c r="C1" s="402" t="s">
        <v>27</v>
      </c>
      <c r="D1" s="403"/>
      <c r="E1" s="21" t="s">
        <v>26</v>
      </c>
      <c r="F1" s="20">
        <f>H1/8</f>
        <v>3207937.5</v>
      </c>
      <c r="G1" s="21" t="s">
        <v>4</v>
      </c>
      <c r="H1" s="22">
        <f>SUM(D4:D199)</f>
        <v>25663500</v>
      </c>
      <c r="I1" s="392"/>
      <c r="J1" s="338"/>
      <c r="K1" s="394"/>
      <c r="L1" s="396"/>
      <c r="M1" s="377"/>
      <c r="N1" s="379"/>
      <c r="O1" s="381"/>
      <c r="P1" s="383"/>
      <c r="Q1" s="377"/>
      <c r="R1" s="376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385" t="s">
        <v>25</v>
      </c>
      <c r="F2" s="386"/>
      <c r="G2" s="387"/>
      <c r="H2" s="25" t="s">
        <v>5</v>
      </c>
      <c r="I2" s="393"/>
      <c r="J2" s="333"/>
      <c r="K2" s="395"/>
      <c r="L2" s="397"/>
      <c r="M2" s="378"/>
      <c r="N2" s="380"/>
      <c r="O2" s="382"/>
      <c r="P2" s="384"/>
      <c r="Q2" s="378"/>
      <c r="R2" s="376"/>
    </row>
    <row r="3" spans="1:18" ht="36" customHeight="1">
      <c r="A3" s="441" t="s">
        <v>3852</v>
      </c>
      <c r="B3" s="442"/>
      <c r="C3" s="442"/>
      <c r="D3" s="442"/>
      <c r="E3" s="442"/>
      <c r="F3" s="442"/>
      <c r="G3" s="442"/>
      <c r="H3" s="443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322">
        <v>45505</v>
      </c>
      <c r="B4" s="439" t="s">
        <v>111</v>
      </c>
      <c r="C4" s="341"/>
      <c r="D4" s="326">
        <v>200000</v>
      </c>
      <c r="E4" s="327"/>
      <c r="F4" s="328"/>
      <c r="G4" s="329"/>
      <c r="H4" s="398" t="s">
        <v>145</v>
      </c>
      <c r="J4" s="43"/>
    </row>
    <row r="5" spans="1:18" ht="16.5" customHeight="1">
      <c r="A5" s="323"/>
      <c r="B5" s="440"/>
      <c r="C5" s="342"/>
      <c r="D5" s="326"/>
      <c r="E5" s="330"/>
      <c r="F5" s="331"/>
      <c r="G5" s="332"/>
      <c r="H5" s="399"/>
      <c r="J5" s="43"/>
    </row>
    <row r="6" spans="1:18" ht="16.5" customHeight="1">
      <c r="A6" s="322">
        <v>45509</v>
      </c>
      <c r="B6" s="439" t="s">
        <v>3816</v>
      </c>
      <c r="C6" s="341"/>
      <c r="D6" s="343">
        <v>130000</v>
      </c>
      <c r="E6" s="327" t="s">
        <v>3817</v>
      </c>
      <c r="F6" s="345"/>
      <c r="G6" s="346"/>
      <c r="H6" s="398" t="s">
        <v>3815</v>
      </c>
    </row>
    <row r="7" spans="1:18" ht="51" customHeight="1">
      <c r="A7" s="323"/>
      <c r="B7" s="440"/>
      <c r="C7" s="342"/>
      <c r="D7" s="344"/>
      <c r="E7" s="347"/>
      <c r="F7" s="348"/>
      <c r="G7" s="349"/>
      <c r="H7" s="399"/>
    </row>
    <row r="8" spans="1:18" ht="16.5" customHeight="1">
      <c r="A8" s="322">
        <v>45509</v>
      </c>
      <c r="B8" s="444" t="s">
        <v>3816</v>
      </c>
      <c r="C8" s="341"/>
      <c r="D8" s="326">
        <v>166000</v>
      </c>
      <c r="E8" s="327" t="s">
        <v>3818</v>
      </c>
      <c r="F8" s="328"/>
      <c r="G8" s="329"/>
      <c r="H8" s="398" t="s">
        <v>145</v>
      </c>
      <c r="J8" s="48"/>
    </row>
    <row r="9" spans="1:18" ht="16.5" customHeight="1">
      <c r="A9" s="323"/>
      <c r="B9" s="445"/>
      <c r="C9" s="342"/>
      <c r="D9" s="326"/>
      <c r="E9" s="330"/>
      <c r="F9" s="331"/>
      <c r="G9" s="332"/>
      <c r="H9" s="399"/>
    </row>
    <row r="10" spans="1:18" ht="16.5" customHeight="1">
      <c r="A10" s="322">
        <v>45510</v>
      </c>
      <c r="B10" s="496" t="s">
        <v>3819</v>
      </c>
      <c r="C10" s="341"/>
      <c r="D10" s="326">
        <v>40000</v>
      </c>
      <c r="E10" s="327"/>
      <c r="F10" s="328"/>
      <c r="G10" s="329"/>
      <c r="H10" s="400" t="s">
        <v>3820</v>
      </c>
    </row>
    <row r="11" spans="1:18" ht="26.25" customHeight="1">
      <c r="A11" s="323"/>
      <c r="B11" s="497"/>
      <c r="C11" s="342"/>
      <c r="D11" s="326"/>
      <c r="E11" s="330"/>
      <c r="F11" s="331"/>
      <c r="G11" s="332"/>
      <c r="H11" s="401"/>
    </row>
    <row r="12" spans="1:18" ht="45" customHeight="1">
      <c r="A12" s="124">
        <v>45511</v>
      </c>
      <c r="B12" s="127" t="s">
        <v>3821</v>
      </c>
      <c r="C12" s="125"/>
      <c r="D12" s="126">
        <v>400000</v>
      </c>
      <c r="E12" s="808" t="s">
        <v>3823</v>
      </c>
      <c r="F12" s="722"/>
      <c r="G12" s="723"/>
      <c r="H12" s="98" t="s">
        <v>145</v>
      </c>
    </row>
    <row r="13" spans="1:18" ht="16.5" customHeight="1">
      <c r="A13" s="322">
        <v>45511</v>
      </c>
      <c r="B13" s="496" t="s">
        <v>3822</v>
      </c>
      <c r="C13" s="325"/>
      <c r="D13" s="326">
        <v>1570000</v>
      </c>
      <c r="E13" s="562" t="s">
        <v>3827</v>
      </c>
      <c r="F13" s="582"/>
      <c r="G13" s="583"/>
      <c r="H13" s="400" t="s">
        <v>3824</v>
      </c>
    </row>
    <row r="14" spans="1:18" ht="18.75" customHeight="1">
      <c r="A14" s="323"/>
      <c r="B14" s="497"/>
      <c r="C14" s="325"/>
      <c r="D14" s="326"/>
      <c r="E14" s="584"/>
      <c r="F14" s="585"/>
      <c r="G14" s="586"/>
      <c r="H14" s="401"/>
    </row>
    <row r="15" spans="1:18" ht="16.5" customHeight="1">
      <c r="A15" s="322">
        <v>45512</v>
      </c>
      <c r="B15" s="496" t="s">
        <v>3828</v>
      </c>
      <c r="C15" s="353" t="s">
        <v>3829</v>
      </c>
      <c r="D15" s="343">
        <v>1920000</v>
      </c>
      <c r="E15" s="562" t="s">
        <v>3826</v>
      </c>
      <c r="F15" s="563"/>
      <c r="G15" s="564"/>
      <c r="H15" s="400" t="s">
        <v>3824</v>
      </c>
    </row>
    <row r="16" spans="1:18" ht="16.5" customHeight="1">
      <c r="A16" s="323"/>
      <c r="B16" s="497"/>
      <c r="C16" s="352"/>
      <c r="D16" s="344"/>
      <c r="E16" s="565"/>
      <c r="F16" s="566"/>
      <c r="G16" s="567"/>
      <c r="H16" s="401"/>
    </row>
    <row r="17" spans="1:10" ht="16.5" customHeight="1">
      <c r="A17" s="322">
        <v>45512</v>
      </c>
      <c r="B17" s="496" t="s">
        <v>3831</v>
      </c>
      <c r="C17" s="324" t="s">
        <v>3830</v>
      </c>
      <c r="D17" s="326">
        <v>1300000</v>
      </c>
      <c r="E17" s="562" t="s">
        <v>3825</v>
      </c>
      <c r="F17" s="582"/>
      <c r="G17" s="583"/>
      <c r="H17" s="400" t="s">
        <v>3824</v>
      </c>
    </row>
    <row r="18" spans="1:10" ht="16.5" customHeight="1">
      <c r="A18" s="323"/>
      <c r="B18" s="497"/>
      <c r="C18" s="325"/>
      <c r="D18" s="326"/>
      <c r="E18" s="584"/>
      <c r="F18" s="585"/>
      <c r="G18" s="586"/>
      <c r="H18" s="401"/>
      <c r="J18" t="s">
        <v>995</v>
      </c>
    </row>
    <row r="19" spans="1:10" ht="16.5" customHeight="1">
      <c r="A19" s="322">
        <v>45512</v>
      </c>
      <c r="B19" s="324" t="s">
        <v>3832</v>
      </c>
      <c r="C19" s="324"/>
      <c r="D19" s="326">
        <v>250000</v>
      </c>
      <c r="E19" s="337"/>
      <c r="F19" s="326"/>
      <c r="G19" s="326"/>
      <c r="H19" s="359" t="s">
        <v>145</v>
      </c>
    </row>
    <row r="20" spans="1:10" ht="40.5" customHeight="1">
      <c r="A20" s="323"/>
      <c r="B20" s="325"/>
      <c r="C20" s="325"/>
      <c r="D20" s="326"/>
      <c r="E20" s="326"/>
      <c r="F20" s="326"/>
      <c r="G20" s="326"/>
      <c r="H20" s="359"/>
    </row>
    <row r="21" spans="1:10">
      <c r="A21" s="322">
        <v>45513</v>
      </c>
      <c r="B21" s="324" t="s">
        <v>3833</v>
      </c>
      <c r="C21" s="325"/>
      <c r="D21" s="326">
        <v>70000</v>
      </c>
      <c r="E21" s="337"/>
      <c r="F21" s="326"/>
      <c r="G21" s="326"/>
      <c r="H21" s="359" t="s">
        <v>3834</v>
      </c>
    </row>
    <row r="22" spans="1:10" ht="26.25" customHeight="1">
      <c r="A22" s="323"/>
      <c r="B22" s="325"/>
      <c r="C22" s="325"/>
      <c r="D22" s="326"/>
      <c r="E22" s="326"/>
      <c r="F22" s="326"/>
      <c r="G22" s="326"/>
      <c r="H22" s="359"/>
    </row>
    <row r="23" spans="1:10">
      <c r="A23" s="322">
        <v>45513</v>
      </c>
      <c r="B23" s="324" t="s">
        <v>3837</v>
      </c>
      <c r="C23" s="325" t="s">
        <v>3838</v>
      </c>
      <c r="D23" s="326">
        <v>820000</v>
      </c>
      <c r="E23" s="574" t="s">
        <v>3836</v>
      </c>
      <c r="F23" s="575"/>
      <c r="G23" s="575"/>
      <c r="H23" s="359" t="s">
        <v>3834</v>
      </c>
    </row>
    <row r="24" spans="1:10" ht="42.75" customHeight="1">
      <c r="A24" s="323"/>
      <c r="B24" s="325"/>
      <c r="C24" s="325"/>
      <c r="D24" s="326"/>
      <c r="E24" s="575"/>
      <c r="F24" s="575"/>
      <c r="G24" s="575"/>
      <c r="H24" s="359"/>
    </row>
    <row r="25" spans="1:10" ht="42.75" customHeight="1">
      <c r="A25" s="128">
        <v>45513</v>
      </c>
      <c r="B25" s="129" t="s">
        <v>3839</v>
      </c>
      <c r="C25" s="129"/>
      <c r="D25" s="130">
        <v>430000</v>
      </c>
      <c r="E25" s="627"/>
      <c r="F25" s="628"/>
      <c r="G25" s="629"/>
      <c r="H25" s="131" t="s">
        <v>3840</v>
      </c>
    </row>
    <row r="26" spans="1:10" ht="42.75" customHeight="1">
      <c r="A26" s="128">
        <v>45513</v>
      </c>
      <c r="B26" s="129" t="s">
        <v>3839</v>
      </c>
      <c r="C26" s="129"/>
      <c r="D26" s="130">
        <v>137000</v>
      </c>
      <c r="E26" s="627" t="s">
        <v>3841</v>
      </c>
      <c r="F26" s="628"/>
      <c r="G26" s="629"/>
      <c r="H26" s="131" t="s">
        <v>3842</v>
      </c>
    </row>
    <row r="27" spans="1:10">
      <c r="A27" s="322">
        <v>45514</v>
      </c>
      <c r="B27" s="324" t="s">
        <v>3835</v>
      </c>
      <c r="C27" s="325"/>
      <c r="D27" s="326">
        <v>1575000</v>
      </c>
      <c r="E27" s="574" t="s">
        <v>3836</v>
      </c>
      <c r="F27" s="575"/>
      <c r="G27" s="575"/>
      <c r="H27" s="359" t="s">
        <v>3845</v>
      </c>
    </row>
    <row r="28" spans="1:10" ht="57" customHeight="1">
      <c r="A28" s="323"/>
      <c r="B28" s="325"/>
      <c r="C28" s="325"/>
      <c r="D28" s="326"/>
      <c r="E28" s="575"/>
      <c r="F28" s="575"/>
      <c r="G28" s="575"/>
      <c r="H28" s="359"/>
    </row>
    <row r="29" spans="1:10">
      <c r="A29" s="322">
        <v>45514</v>
      </c>
      <c r="B29" s="325" t="s">
        <v>3846</v>
      </c>
      <c r="C29" s="325"/>
      <c r="D29" s="326">
        <v>320000</v>
      </c>
      <c r="E29" s="337" t="s">
        <v>3847</v>
      </c>
      <c r="F29" s="326"/>
      <c r="G29" s="326"/>
      <c r="H29" s="359" t="s">
        <v>3844</v>
      </c>
    </row>
    <row r="30" spans="1:10" ht="30.75" customHeight="1">
      <c r="A30" s="323"/>
      <c r="B30" s="325"/>
      <c r="C30" s="325"/>
      <c r="D30" s="326"/>
      <c r="E30" s="326"/>
      <c r="F30" s="326"/>
      <c r="G30" s="326"/>
      <c r="H30" s="359"/>
    </row>
    <row r="31" spans="1:10" ht="15.75" customHeight="1">
      <c r="A31" s="322">
        <v>45514</v>
      </c>
      <c r="B31" s="324" t="s">
        <v>3843</v>
      </c>
      <c r="C31" s="325"/>
      <c r="D31" s="326">
        <v>330000</v>
      </c>
      <c r="E31" s="337" t="s">
        <v>3848</v>
      </c>
      <c r="F31" s="326"/>
      <c r="G31" s="326"/>
      <c r="H31" s="398" t="s">
        <v>145</v>
      </c>
    </row>
    <row r="32" spans="1:10">
      <c r="A32" s="323"/>
      <c r="B32" s="325"/>
      <c r="C32" s="325"/>
      <c r="D32" s="326"/>
      <c r="E32" s="326"/>
      <c r="F32" s="326"/>
      <c r="G32" s="326"/>
      <c r="H32" s="399"/>
    </row>
    <row r="33" spans="1:8">
      <c r="A33" s="335">
        <v>45514</v>
      </c>
      <c r="B33" s="341" t="s">
        <v>3849</v>
      </c>
      <c r="C33" s="353"/>
      <c r="D33" s="343">
        <v>4500</v>
      </c>
      <c r="E33" s="337" t="s">
        <v>3850</v>
      </c>
      <c r="F33" s="731"/>
      <c r="G33" s="731"/>
      <c r="H33" s="398" t="s">
        <v>3851</v>
      </c>
    </row>
    <row r="34" spans="1:8" s="30" customFormat="1">
      <c r="A34" s="336"/>
      <c r="B34" s="342"/>
      <c r="C34" s="352"/>
      <c r="D34" s="344"/>
      <c r="E34" s="731"/>
      <c r="F34" s="731"/>
      <c r="G34" s="731"/>
      <c r="H34" s="399"/>
    </row>
    <row r="35" spans="1:8">
      <c r="A35" s="335"/>
      <c r="B35" s="460" t="s">
        <v>3867</v>
      </c>
      <c r="C35" s="461"/>
      <c r="D35" s="461"/>
      <c r="E35" s="461"/>
      <c r="F35" s="461"/>
      <c r="G35" s="461"/>
      <c r="H35" s="816"/>
    </row>
    <row r="36" spans="1:8" ht="35.25" customHeight="1">
      <c r="A36" s="336"/>
      <c r="B36" s="463"/>
      <c r="C36" s="464"/>
      <c r="D36" s="464"/>
      <c r="E36" s="464"/>
      <c r="F36" s="464"/>
      <c r="G36" s="464"/>
      <c r="H36" s="817"/>
    </row>
    <row r="37" spans="1:8">
      <c r="A37" s="322">
        <v>45516</v>
      </c>
      <c r="B37" s="325" t="s">
        <v>3853</v>
      </c>
      <c r="C37" s="325"/>
      <c r="D37" s="326">
        <v>484000</v>
      </c>
      <c r="E37" s="337"/>
      <c r="F37" s="326"/>
      <c r="G37" s="326"/>
      <c r="H37" s="359" t="s">
        <v>3854</v>
      </c>
    </row>
    <row r="38" spans="1:8">
      <c r="A38" s="323"/>
      <c r="B38" s="325"/>
      <c r="C38" s="325"/>
      <c r="D38" s="326"/>
      <c r="E38" s="326"/>
      <c r="F38" s="326"/>
      <c r="G38" s="326"/>
      <c r="H38" s="359"/>
    </row>
    <row r="39" spans="1:8">
      <c r="A39" s="322">
        <v>45516</v>
      </c>
      <c r="B39" s="324" t="s">
        <v>3855</v>
      </c>
      <c r="C39" s="325"/>
      <c r="D39" s="326">
        <v>890000</v>
      </c>
      <c r="E39" s="337"/>
      <c r="F39" s="326"/>
      <c r="G39" s="326"/>
      <c r="H39" s="360" t="s">
        <v>146</v>
      </c>
    </row>
    <row r="40" spans="1:8" s="30" customFormat="1">
      <c r="A40" s="323"/>
      <c r="B40" s="325"/>
      <c r="C40" s="325"/>
      <c r="D40" s="326"/>
      <c r="E40" s="326"/>
      <c r="F40" s="326"/>
      <c r="G40" s="326"/>
      <c r="H40" s="359"/>
    </row>
    <row r="41" spans="1:8">
      <c r="A41" s="322">
        <v>45516</v>
      </c>
      <c r="B41" s="324" t="s">
        <v>3858</v>
      </c>
      <c r="C41" s="325"/>
      <c r="D41" s="343">
        <v>25000</v>
      </c>
      <c r="E41" s="337"/>
      <c r="F41" s="326"/>
      <c r="G41" s="326"/>
      <c r="H41" s="360" t="s">
        <v>3854</v>
      </c>
    </row>
    <row r="42" spans="1:8">
      <c r="A42" s="323"/>
      <c r="B42" s="325"/>
      <c r="C42" s="325"/>
      <c r="D42" s="344"/>
      <c r="E42" s="326"/>
      <c r="F42" s="326"/>
      <c r="G42" s="326"/>
      <c r="H42" s="359"/>
    </row>
    <row r="43" spans="1:8" ht="16.5" customHeight="1">
      <c r="A43" s="322">
        <v>45517</v>
      </c>
      <c r="B43" s="324" t="s">
        <v>3859</v>
      </c>
      <c r="C43" s="325"/>
      <c r="D43" s="326">
        <v>200000</v>
      </c>
      <c r="E43" s="574" t="s">
        <v>3860</v>
      </c>
      <c r="F43" s="575"/>
      <c r="G43" s="575"/>
      <c r="H43" s="338" t="s">
        <v>3861</v>
      </c>
    </row>
    <row r="44" spans="1:8" ht="16.5" customHeight="1">
      <c r="A44" s="323"/>
      <c r="B44" s="325"/>
      <c r="C44" s="325"/>
      <c r="D44" s="326"/>
      <c r="E44" s="575"/>
      <c r="F44" s="575"/>
      <c r="G44" s="575"/>
      <c r="H44" s="333"/>
    </row>
    <row r="45" spans="1:8" ht="16.5" customHeight="1">
      <c r="A45" s="322">
        <v>45518</v>
      </c>
      <c r="B45" s="324" t="s">
        <v>3856</v>
      </c>
      <c r="C45" s="324"/>
      <c r="D45" s="326">
        <v>82000</v>
      </c>
      <c r="E45" s="327"/>
      <c r="F45" s="328"/>
      <c r="G45" s="329"/>
      <c r="H45" s="360" t="s">
        <v>3857</v>
      </c>
    </row>
    <row r="46" spans="1:8" ht="36" customHeight="1">
      <c r="A46" s="323"/>
      <c r="B46" s="325"/>
      <c r="C46" s="325"/>
      <c r="D46" s="326"/>
      <c r="E46" s="330"/>
      <c r="F46" s="331"/>
      <c r="G46" s="332"/>
      <c r="H46" s="359"/>
    </row>
    <row r="47" spans="1:8" ht="16.5" customHeight="1">
      <c r="A47" s="336">
        <v>45519</v>
      </c>
      <c r="B47" s="324" t="s">
        <v>3862</v>
      </c>
      <c r="C47" s="325"/>
      <c r="D47" s="326">
        <v>1200000</v>
      </c>
      <c r="E47" s="327"/>
      <c r="F47" s="328"/>
      <c r="G47" s="329"/>
      <c r="H47" s="400" t="s">
        <v>147</v>
      </c>
    </row>
    <row r="48" spans="1:8" ht="16.5" customHeight="1">
      <c r="A48" s="323"/>
      <c r="B48" s="325"/>
      <c r="C48" s="325"/>
      <c r="D48" s="326"/>
      <c r="E48" s="330"/>
      <c r="F48" s="331"/>
      <c r="G48" s="332"/>
      <c r="H48" s="401"/>
    </row>
    <row r="49" spans="1:11" ht="16.5" customHeight="1">
      <c r="A49" s="336">
        <v>45520</v>
      </c>
      <c r="B49" s="324" t="s">
        <v>3865</v>
      </c>
      <c r="C49" s="324"/>
      <c r="D49" s="326">
        <v>140000</v>
      </c>
      <c r="E49" s="327"/>
      <c r="F49" s="328"/>
      <c r="G49" s="329"/>
      <c r="H49" s="400" t="s">
        <v>3863</v>
      </c>
    </row>
    <row r="50" spans="1:11" ht="16.5" customHeight="1">
      <c r="A50" s="323"/>
      <c r="B50" s="325"/>
      <c r="C50" s="325"/>
      <c r="D50" s="326"/>
      <c r="E50" s="330"/>
      <c r="F50" s="331"/>
      <c r="G50" s="332"/>
      <c r="H50" s="401"/>
    </row>
    <row r="51" spans="1:11" ht="16.5" customHeight="1">
      <c r="A51" s="336">
        <v>45520</v>
      </c>
      <c r="B51" s="324" t="s">
        <v>3864</v>
      </c>
      <c r="C51" s="325"/>
      <c r="D51" s="326">
        <v>178000</v>
      </c>
      <c r="E51" s="327"/>
      <c r="F51" s="328"/>
      <c r="G51" s="329"/>
      <c r="H51" s="400" t="s">
        <v>3863</v>
      </c>
    </row>
    <row r="52" spans="1:11" ht="17.25" customHeight="1">
      <c r="A52" s="323"/>
      <c r="B52" s="325"/>
      <c r="C52" s="325"/>
      <c r="D52" s="326"/>
      <c r="E52" s="330"/>
      <c r="F52" s="331"/>
      <c r="G52" s="332"/>
      <c r="H52" s="401"/>
    </row>
    <row r="53" spans="1:11" ht="16.5" customHeight="1">
      <c r="A53" s="336">
        <v>45521</v>
      </c>
      <c r="B53" s="324" t="s">
        <v>487</v>
      </c>
      <c r="C53" s="324"/>
      <c r="D53" s="326">
        <v>990000</v>
      </c>
      <c r="E53" s="327"/>
      <c r="F53" s="328"/>
      <c r="G53" s="329"/>
      <c r="H53" s="360" t="s">
        <v>3866</v>
      </c>
      <c r="K53" s="24"/>
    </row>
    <row r="54" spans="1:11" ht="16.5" customHeight="1">
      <c r="A54" s="323"/>
      <c r="B54" s="325"/>
      <c r="C54" s="325"/>
      <c r="D54" s="326"/>
      <c r="E54" s="330"/>
      <c r="F54" s="331"/>
      <c r="G54" s="332"/>
      <c r="H54" s="359"/>
      <c r="K54" s="24"/>
    </row>
    <row r="55" spans="1:11" ht="16.5" customHeight="1">
      <c r="A55" s="336"/>
      <c r="B55" s="818" t="s">
        <v>3900</v>
      </c>
      <c r="C55" s="713"/>
      <c r="D55" s="713"/>
      <c r="E55" s="713"/>
      <c r="F55" s="713"/>
      <c r="G55" s="713"/>
      <c r="H55" s="714"/>
      <c r="I55" s="4"/>
    </row>
    <row r="56" spans="1:11" ht="16.5" customHeight="1">
      <c r="A56" s="323"/>
      <c r="B56" s="819"/>
      <c r="C56" s="820"/>
      <c r="D56" s="820"/>
      <c r="E56" s="820"/>
      <c r="F56" s="820"/>
      <c r="G56" s="820"/>
      <c r="H56" s="821"/>
    </row>
    <row r="57" spans="1:11" ht="16.5" customHeight="1">
      <c r="A57" s="336"/>
      <c r="B57" s="819"/>
      <c r="C57" s="820"/>
      <c r="D57" s="820"/>
      <c r="E57" s="820"/>
      <c r="F57" s="820"/>
      <c r="G57" s="820"/>
      <c r="H57" s="821"/>
    </row>
    <row r="58" spans="1:11" ht="16.5" customHeight="1">
      <c r="A58" s="323"/>
      <c r="B58" s="715"/>
      <c r="C58" s="716"/>
      <c r="D58" s="716"/>
      <c r="E58" s="716"/>
      <c r="F58" s="716"/>
      <c r="G58" s="716"/>
      <c r="H58" s="717"/>
    </row>
    <row r="59" spans="1:11" ht="16.5" customHeight="1">
      <c r="A59" s="336">
        <v>45523</v>
      </c>
      <c r="B59" s="324" t="s">
        <v>3868</v>
      </c>
      <c r="C59" s="325"/>
      <c r="D59" s="326">
        <v>430000</v>
      </c>
      <c r="E59" s="327" t="s">
        <v>3869</v>
      </c>
      <c r="F59" s="328"/>
      <c r="G59" s="329"/>
      <c r="H59" s="359" t="s">
        <v>3871</v>
      </c>
    </row>
    <row r="60" spans="1:11" ht="16.5" customHeight="1">
      <c r="A60" s="323"/>
      <c r="B60" s="325"/>
      <c r="C60" s="325"/>
      <c r="D60" s="326"/>
      <c r="E60" s="330"/>
      <c r="F60" s="331"/>
      <c r="G60" s="332"/>
      <c r="H60" s="359"/>
    </row>
    <row r="61" spans="1:11" ht="16.5" customHeight="1">
      <c r="A61" s="322">
        <v>45523</v>
      </c>
      <c r="B61" s="324" t="s">
        <v>3873</v>
      </c>
      <c r="C61" s="325" t="s">
        <v>3893</v>
      </c>
      <c r="D61" s="326">
        <v>128000</v>
      </c>
      <c r="E61" s="327" t="s">
        <v>3892</v>
      </c>
      <c r="F61" s="328"/>
      <c r="G61" s="329"/>
      <c r="H61" s="359" t="s">
        <v>3890</v>
      </c>
    </row>
    <row r="62" spans="1:11" ht="16.5" customHeight="1">
      <c r="A62" s="323"/>
      <c r="B62" s="325"/>
      <c r="C62" s="325"/>
      <c r="D62" s="326"/>
      <c r="E62" s="330"/>
      <c r="F62" s="331"/>
      <c r="G62" s="332"/>
      <c r="H62" s="359"/>
    </row>
    <row r="63" spans="1:11" ht="16.5" customHeight="1">
      <c r="A63" s="322">
        <v>45523</v>
      </c>
      <c r="B63" s="324" t="s">
        <v>3875</v>
      </c>
      <c r="C63" s="325"/>
      <c r="D63" s="326">
        <v>70000</v>
      </c>
      <c r="E63" s="327" t="s">
        <v>3891</v>
      </c>
      <c r="F63" s="328"/>
      <c r="G63" s="329"/>
      <c r="H63" s="359" t="s">
        <v>3874</v>
      </c>
    </row>
    <row r="64" spans="1:11" ht="16.5" customHeight="1">
      <c r="A64" s="323"/>
      <c r="B64" s="325"/>
      <c r="C64" s="325"/>
      <c r="D64" s="326"/>
      <c r="E64" s="330"/>
      <c r="F64" s="331"/>
      <c r="G64" s="332"/>
      <c r="H64" s="359"/>
    </row>
    <row r="65" spans="1:11" ht="16.5" customHeight="1">
      <c r="A65" s="322">
        <v>45524</v>
      </c>
      <c r="B65" s="324" t="s">
        <v>3872</v>
      </c>
      <c r="C65" s="326"/>
      <c r="D65" s="326">
        <v>500000</v>
      </c>
      <c r="E65" s="327" t="s">
        <v>3886</v>
      </c>
      <c r="F65" s="328"/>
      <c r="G65" s="329"/>
      <c r="H65" s="359" t="s">
        <v>3870</v>
      </c>
    </row>
    <row r="66" spans="1:11" ht="16.5" customHeight="1">
      <c r="A66" s="323"/>
      <c r="B66" s="325"/>
      <c r="C66" s="326"/>
      <c r="D66" s="326"/>
      <c r="E66" s="330"/>
      <c r="F66" s="331"/>
      <c r="G66" s="332"/>
      <c r="H66" s="359"/>
    </row>
    <row r="67" spans="1:11" ht="16.5" customHeight="1">
      <c r="A67" s="322">
        <v>45525</v>
      </c>
      <c r="B67" s="324" t="s">
        <v>3884</v>
      </c>
      <c r="C67" s="325"/>
      <c r="D67" s="326">
        <v>365000</v>
      </c>
      <c r="E67" s="337" t="s">
        <v>3885</v>
      </c>
      <c r="F67" s="326"/>
      <c r="G67" s="326"/>
      <c r="H67" s="359" t="s">
        <v>3879</v>
      </c>
      <c r="I67" s="3"/>
      <c r="K67" s="23"/>
    </row>
    <row r="68" spans="1:11" ht="24.75" customHeight="1">
      <c r="A68" s="323"/>
      <c r="B68" s="325"/>
      <c r="C68" s="325"/>
      <c r="D68" s="326"/>
      <c r="E68" s="326"/>
      <c r="F68" s="326"/>
      <c r="G68" s="326"/>
      <c r="H68" s="359"/>
    </row>
    <row r="69" spans="1:11" ht="16.5" customHeight="1">
      <c r="A69" s="322">
        <v>45525</v>
      </c>
      <c r="B69" s="324" t="s">
        <v>3880</v>
      </c>
      <c r="C69" s="324" t="s">
        <v>3881</v>
      </c>
      <c r="D69" s="326">
        <v>250000</v>
      </c>
      <c r="E69" s="327" t="s">
        <v>3882</v>
      </c>
      <c r="F69" s="328"/>
      <c r="G69" s="329"/>
      <c r="H69" s="359" t="s">
        <v>3878</v>
      </c>
    </row>
    <row r="70" spans="1:11" ht="16.5" customHeight="1">
      <c r="A70" s="323"/>
      <c r="B70" s="325"/>
      <c r="C70" s="325"/>
      <c r="D70" s="326"/>
      <c r="E70" s="330"/>
      <c r="F70" s="331"/>
      <c r="G70" s="332"/>
      <c r="H70" s="359"/>
    </row>
    <row r="71" spans="1:11" ht="16.5" customHeight="1">
      <c r="A71" s="322">
        <v>45525</v>
      </c>
      <c r="B71" s="324" t="s">
        <v>3883</v>
      </c>
      <c r="C71" s="325"/>
      <c r="D71" s="326">
        <v>670000</v>
      </c>
      <c r="E71" s="327" t="s">
        <v>3888</v>
      </c>
      <c r="F71" s="328"/>
      <c r="G71" s="329"/>
      <c r="H71" s="359" t="s">
        <v>3877</v>
      </c>
    </row>
    <row r="72" spans="1:11" ht="16.5" customHeight="1">
      <c r="A72" s="323"/>
      <c r="B72" s="325"/>
      <c r="C72" s="325"/>
      <c r="D72" s="326"/>
      <c r="E72" s="330"/>
      <c r="F72" s="331"/>
      <c r="G72" s="332"/>
      <c r="H72" s="359"/>
    </row>
    <row r="73" spans="1:11" ht="16.5" customHeight="1">
      <c r="A73" s="334">
        <v>45525</v>
      </c>
      <c r="B73" s="324" t="s">
        <v>3876</v>
      </c>
      <c r="C73" s="325"/>
      <c r="D73" s="326">
        <v>300000</v>
      </c>
      <c r="E73" s="327" t="s">
        <v>3887</v>
      </c>
      <c r="F73" s="328"/>
      <c r="G73" s="329"/>
      <c r="H73" s="360" t="s">
        <v>3877</v>
      </c>
    </row>
    <row r="74" spans="1:11" ht="16.5" customHeight="1">
      <c r="A74" s="323"/>
      <c r="B74" s="325"/>
      <c r="C74" s="325"/>
      <c r="D74" s="326"/>
      <c r="E74" s="330"/>
      <c r="F74" s="331"/>
      <c r="G74" s="332"/>
      <c r="H74" s="359"/>
    </row>
    <row r="75" spans="1:11">
      <c r="A75" s="334">
        <v>45526</v>
      </c>
      <c r="B75" s="325" t="s">
        <v>3895</v>
      </c>
      <c r="C75" s="325"/>
      <c r="D75" s="326">
        <v>62000</v>
      </c>
      <c r="E75" s="326"/>
      <c r="F75" s="326"/>
      <c r="G75" s="326"/>
      <c r="H75" s="359" t="s">
        <v>3896</v>
      </c>
    </row>
    <row r="76" spans="1:11">
      <c r="A76" s="323"/>
      <c r="B76" s="325"/>
      <c r="C76" s="325"/>
      <c r="D76" s="326"/>
      <c r="E76" s="326"/>
      <c r="F76" s="326"/>
      <c r="G76" s="326"/>
      <c r="H76" s="359"/>
    </row>
    <row r="77" spans="1:11" ht="16.5" customHeight="1">
      <c r="A77" s="334">
        <v>45527</v>
      </c>
      <c r="B77" s="324" t="s">
        <v>3897</v>
      </c>
      <c r="C77" s="325"/>
      <c r="D77" s="326">
        <v>1100000</v>
      </c>
      <c r="E77" s="575" t="s">
        <v>3889</v>
      </c>
      <c r="F77" s="575"/>
      <c r="G77" s="575"/>
      <c r="H77" s="359" t="s">
        <v>3894</v>
      </c>
    </row>
    <row r="78" spans="1:11" ht="16.5" customHeight="1">
      <c r="A78" s="323"/>
      <c r="B78" s="325"/>
      <c r="C78" s="325"/>
      <c r="D78" s="326"/>
      <c r="E78" s="575"/>
      <c r="F78" s="575"/>
      <c r="G78" s="575"/>
      <c r="H78" s="359"/>
    </row>
    <row r="79" spans="1:11" ht="16.5" customHeight="1">
      <c r="A79" s="313">
        <v>45527</v>
      </c>
      <c r="B79" s="324" t="s">
        <v>3898</v>
      </c>
      <c r="C79" s="325"/>
      <c r="D79" s="326">
        <v>720000</v>
      </c>
      <c r="E79" s="575" t="s">
        <v>3889</v>
      </c>
      <c r="F79" s="575"/>
      <c r="G79" s="575"/>
      <c r="H79" s="359" t="s">
        <v>3899</v>
      </c>
    </row>
    <row r="80" spans="1:11" ht="16.5" customHeight="1">
      <c r="A80" s="305"/>
      <c r="B80" s="325"/>
      <c r="C80" s="325"/>
      <c r="D80" s="326"/>
      <c r="E80" s="575"/>
      <c r="F80" s="575"/>
      <c r="G80" s="575"/>
      <c r="H80" s="359"/>
    </row>
    <row r="81" spans="1:8" ht="16.5" customHeight="1">
      <c r="A81" s="313">
        <v>45528</v>
      </c>
      <c r="B81" s="324"/>
      <c r="C81" s="325"/>
      <c r="D81" s="326">
        <v>1270000</v>
      </c>
      <c r="E81" s="562"/>
      <c r="F81" s="582"/>
      <c r="G81" s="583"/>
      <c r="H81" s="359" t="s">
        <v>145</v>
      </c>
    </row>
    <row r="82" spans="1:8" ht="16.5" customHeight="1">
      <c r="A82" s="305"/>
      <c r="B82" s="325"/>
      <c r="C82" s="325"/>
      <c r="D82" s="326"/>
      <c r="E82" s="584"/>
      <c r="F82" s="585"/>
      <c r="G82" s="586"/>
      <c r="H82" s="359"/>
    </row>
    <row r="83" spans="1:8">
      <c r="A83" s="313">
        <v>45528</v>
      </c>
      <c r="B83" s="324"/>
      <c r="C83" s="325"/>
      <c r="D83" s="326">
        <v>290000</v>
      </c>
      <c r="E83" s="326"/>
      <c r="F83" s="326"/>
      <c r="G83" s="326"/>
      <c r="H83" s="359" t="s">
        <v>145</v>
      </c>
    </row>
    <row r="84" spans="1:8">
      <c r="A84" s="305"/>
      <c r="B84" s="325"/>
      <c r="C84" s="325"/>
      <c r="D84" s="326"/>
      <c r="E84" s="326"/>
      <c r="F84" s="326"/>
      <c r="G84" s="326"/>
      <c r="H84" s="359"/>
    </row>
    <row r="85" spans="1:8" ht="16.5" customHeight="1">
      <c r="A85" s="313"/>
      <c r="B85" s="644"/>
      <c r="C85" s="645"/>
      <c r="D85" s="645"/>
      <c r="E85" s="645"/>
      <c r="F85" s="645"/>
      <c r="G85" s="645"/>
      <c r="H85" s="646"/>
    </row>
    <row r="86" spans="1:8" ht="33.75" customHeight="1">
      <c r="A86" s="305"/>
      <c r="B86" s="647"/>
      <c r="C86" s="648"/>
      <c r="D86" s="648"/>
      <c r="E86" s="648"/>
      <c r="F86" s="648"/>
      <c r="G86" s="648"/>
      <c r="H86" s="649"/>
    </row>
    <row r="87" spans="1:8" ht="16.5" customHeight="1">
      <c r="A87" s="313">
        <v>45530</v>
      </c>
      <c r="B87" s="324" t="s">
        <v>3908</v>
      </c>
      <c r="C87" s="325"/>
      <c r="D87" s="575">
        <v>1240000</v>
      </c>
      <c r="E87" s="562" t="s">
        <v>3902</v>
      </c>
      <c r="F87" s="582"/>
      <c r="G87" s="583"/>
      <c r="H87" s="360" t="s">
        <v>3901</v>
      </c>
    </row>
    <row r="88" spans="1:8" ht="16.5" customHeight="1">
      <c r="A88" s="305"/>
      <c r="B88" s="325"/>
      <c r="C88" s="325"/>
      <c r="D88" s="575"/>
      <c r="E88" s="584"/>
      <c r="F88" s="585"/>
      <c r="G88" s="586"/>
      <c r="H88" s="359"/>
    </row>
    <row r="89" spans="1:8" ht="16.5" customHeight="1">
      <c r="A89" s="313">
        <v>45530</v>
      </c>
      <c r="B89" s="324"/>
      <c r="C89" s="325"/>
      <c r="D89" s="326">
        <v>60000</v>
      </c>
      <c r="E89" s="327"/>
      <c r="F89" s="328"/>
      <c r="G89" s="329"/>
      <c r="H89" s="360" t="s">
        <v>3907</v>
      </c>
    </row>
    <row r="90" spans="1:8" ht="16.5" customHeight="1">
      <c r="A90" s="305"/>
      <c r="B90" s="325"/>
      <c r="C90" s="325"/>
      <c r="D90" s="326"/>
      <c r="E90" s="330"/>
      <c r="F90" s="331"/>
      <c r="G90" s="332"/>
      <c r="H90" s="359"/>
    </row>
    <row r="91" spans="1:8">
      <c r="A91" s="313">
        <v>45531</v>
      </c>
      <c r="B91" s="325" t="s">
        <v>3905</v>
      </c>
      <c r="C91" s="325"/>
      <c r="D91" s="326">
        <v>100000</v>
      </c>
      <c r="E91" s="326"/>
      <c r="F91" s="326"/>
      <c r="G91" s="326"/>
      <c r="H91" s="360" t="s">
        <v>3906</v>
      </c>
    </row>
    <row r="92" spans="1:8">
      <c r="A92" s="305"/>
      <c r="B92" s="353"/>
      <c r="C92" s="353"/>
      <c r="D92" s="343"/>
      <c r="E92" s="343"/>
      <c r="F92" s="343"/>
      <c r="G92" s="343"/>
      <c r="H92" s="359"/>
    </row>
    <row r="93" spans="1:8">
      <c r="A93" s="797">
        <v>45531</v>
      </c>
      <c r="B93" s="325" t="s">
        <v>3904</v>
      </c>
      <c r="C93" s="325"/>
      <c r="D93" s="326">
        <v>77000</v>
      </c>
      <c r="E93" s="326"/>
      <c r="F93" s="326"/>
      <c r="G93" s="326"/>
      <c r="H93" s="325" t="s">
        <v>3903</v>
      </c>
    </row>
    <row r="94" spans="1:8">
      <c r="A94" s="798"/>
      <c r="B94" s="325"/>
      <c r="C94" s="325"/>
      <c r="D94" s="326"/>
      <c r="E94" s="326"/>
      <c r="F94" s="326"/>
      <c r="G94" s="326"/>
      <c r="H94" s="325"/>
    </row>
    <row r="95" spans="1:8">
      <c r="A95" s="797">
        <v>45531</v>
      </c>
      <c r="B95" s="325" t="s">
        <v>3909</v>
      </c>
      <c r="C95" s="325"/>
      <c r="D95" s="326">
        <v>250000</v>
      </c>
      <c r="E95" s="326"/>
      <c r="F95" s="326"/>
      <c r="G95" s="326"/>
      <c r="H95" s="325" t="s">
        <v>3910</v>
      </c>
    </row>
    <row r="96" spans="1:8">
      <c r="A96" s="798"/>
      <c r="B96" s="325"/>
      <c r="C96" s="325"/>
      <c r="D96" s="326"/>
      <c r="E96" s="326"/>
      <c r="F96" s="326"/>
      <c r="G96" s="326"/>
      <c r="H96" s="325"/>
    </row>
    <row r="97" spans="1:8">
      <c r="A97" s="797">
        <v>45532</v>
      </c>
      <c r="B97" s="325" t="s">
        <v>3912</v>
      </c>
      <c r="C97" s="325"/>
      <c r="D97" s="326">
        <v>250000</v>
      </c>
      <c r="E97" s="337"/>
      <c r="F97" s="326"/>
      <c r="G97" s="326"/>
      <c r="H97" s="325" t="s">
        <v>3911</v>
      </c>
    </row>
    <row r="98" spans="1:8">
      <c r="A98" s="798"/>
      <c r="B98" s="325"/>
      <c r="C98" s="325"/>
      <c r="D98" s="326"/>
      <c r="E98" s="326"/>
      <c r="F98" s="326"/>
      <c r="G98" s="326"/>
      <c r="H98" s="325"/>
    </row>
    <row r="99" spans="1:8">
      <c r="A99" s="797">
        <v>45532</v>
      </c>
      <c r="B99" s="325" t="s">
        <v>3914</v>
      </c>
      <c r="C99" s="325"/>
      <c r="D99" s="326">
        <v>260000</v>
      </c>
      <c r="E99" s="326"/>
      <c r="F99" s="326"/>
      <c r="G99" s="326"/>
      <c r="H99" s="325" t="s">
        <v>3913</v>
      </c>
    </row>
    <row r="100" spans="1:8">
      <c r="A100" s="798"/>
      <c r="B100" s="325"/>
      <c r="C100" s="325"/>
      <c r="D100" s="326"/>
      <c r="E100" s="326"/>
      <c r="F100" s="326"/>
      <c r="G100" s="326"/>
      <c r="H100" s="325"/>
    </row>
    <row r="101" spans="1:8">
      <c r="A101" s="797">
        <v>45532</v>
      </c>
      <c r="B101" s="352" t="s">
        <v>3917</v>
      </c>
      <c r="C101" s="352"/>
      <c r="D101" s="344">
        <v>140000</v>
      </c>
      <c r="E101" s="344"/>
      <c r="F101" s="344"/>
      <c r="G101" s="344"/>
      <c r="H101" s="325" t="s">
        <v>145</v>
      </c>
    </row>
    <row r="102" spans="1:8">
      <c r="A102" s="798"/>
      <c r="B102" s="325"/>
      <c r="C102" s="325"/>
      <c r="D102" s="326"/>
      <c r="E102" s="326"/>
      <c r="F102" s="326"/>
      <c r="G102" s="326"/>
      <c r="H102" s="325"/>
    </row>
    <row r="103" spans="1:8">
      <c r="A103" s="797">
        <v>45532</v>
      </c>
      <c r="B103" s="325" t="s">
        <v>3916</v>
      </c>
      <c r="C103" s="325"/>
      <c r="D103" s="326">
        <v>430000</v>
      </c>
      <c r="E103" s="326" t="s">
        <v>3987</v>
      </c>
      <c r="F103" s="326"/>
      <c r="G103" s="326"/>
      <c r="H103" s="359" t="s">
        <v>145</v>
      </c>
    </row>
    <row r="104" spans="1:8">
      <c r="A104" s="798"/>
      <c r="B104" s="325"/>
      <c r="C104" s="325"/>
      <c r="D104" s="326"/>
      <c r="E104" s="326"/>
      <c r="F104" s="326"/>
      <c r="G104" s="326"/>
      <c r="H104" s="359"/>
    </row>
    <row r="105" spans="1:8">
      <c r="A105" s="313">
        <v>45533</v>
      </c>
      <c r="B105" s="325" t="s">
        <v>3918</v>
      </c>
      <c r="C105" s="325"/>
      <c r="D105" s="326">
        <v>920000</v>
      </c>
      <c r="E105" s="326"/>
      <c r="F105" s="326"/>
      <c r="G105" s="326"/>
      <c r="H105" s="359" t="s">
        <v>3988</v>
      </c>
    </row>
    <row r="106" spans="1:8">
      <c r="A106" s="305"/>
      <c r="B106" s="325"/>
      <c r="C106" s="325"/>
      <c r="D106" s="326"/>
      <c r="E106" s="326"/>
      <c r="F106" s="326"/>
      <c r="G106" s="326"/>
      <c r="H106" s="359"/>
    </row>
    <row r="107" spans="1:8">
      <c r="A107" s="313">
        <v>45533</v>
      </c>
      <c r="B107" s="325" t="s">
        <v>3921</v>
      </c>
      <c r="C107" s="325"/>
      <c r="D107" s="326">
        <v>220000</v>
      </c>
      <c r="E107" s="337" t="s">
        <v>3922</v>
      </c>
      <c r="F107" s="326"/>
      <c r="G107" s="326"/>
      <c r="H107" s="359" t="s">
        <v>3919</v>
      </c>
    </row>
    <row r="108" spans="1:8">
      <c r="A108" s="305"/>
      <c r="B108" s="325"/>
      <c r="C108" s="325"/>
      <c r="D108" s="326"/>
      <c r="E108" s="326"/>
      <c r="F108" s="326"/>
      <c r="G108" s="326"/>
      <c r="H108" s="359"/>
    </row>
    <row r="109" spans="1:8" ht="17.25" customHeight="1">
      <c r="A109" s="313">
        <v>45533</v>
      </c>
      <c r="B109" s="325" t="s">
        <v>3915</v>
      </c>
      <c r="C109" s="325"/>
      <c r="D109" s="326">
        <v>20000</v>
      </c>
      <c r="E109" s="326"/>
      <c r="F109" s="326"/>
      <c r="G109" s="326"/>
      <c r="H109" s="359" t="s">
        <v>3920</v>
      </c>
    </row>
    <row r="110" spans="1:8" ht="17.25" customHeight="1">
      <c r="A110" s="305"/>
      <c r="B110" s="325"/>
      <c r="C110" s="325"/>
      <c r="D110" s="326"/>
      <c r="E110" s="326"/>
      <c r="F110" s="326"/>
      <c r="G110" s="326"/>
      <c r="H110" s="359"/>
    </row>
    <row r="111" spans="1:8" ht="17.25" customHeight="1">
      <c r="A111" s="313">
        <v>45533</v>
      </c>
      <c r="B111" s="325" t="s">
        <v>3915</v>
      </c>
      <c r="C111" s="325"/>
      <c r="D111" s="326">
        <v>30000</v>
      </c>
      <c r="E111" s="326"/>
      <c r="F111" s="326"/>
      <c r="G111" s="326"/>
      <c r="H111" s="359" t="s">
        <v>3920</v>
      </c>
    </row>
    <row r="112" spans="1:8" ht="17.25" customHeight="1">
      <c r="A112" s="305"/>
      <c r="B112" s="325"/>
      <c r="C112" s="325"/>
      <c r="D112" s="326"/>
      <c r="E112" s="326"/>
      <c r="F112" s="326"/>
      <c r="G112" s="326"/>
      <c r="H112" s="359"/>
    </row>
    <row r="113" spans="1:8">
      <c r="A113" s="313">
        <v>45534</v>
      </c>
      <c r="B113" s="325"/>
      <c r="C113" s="325"/>
      <c r="D113" s="326">
        <v>440000</v>
      </c>
      <c r="E113" s="337"/>
      <c r="F113" s="326"/>
      <c r="G113" s="326"/>
      <c r="H113" s="359"/>
    </row>
    <row r="114" spans="1:8">
      <c r="A114" s="305"/>
      <c r="B114" s="325"/>
      <c r="C114" s="325"/>
      <c r="D114" s="326"/>
      <c r="E114" s="326"/>
      <c r="F114" s="326"/>
      <c r="G114" s="326"/>
      <c r="H114" s="359"/>
    </row>
    <row r="115" spans="1:8">
      <c r="A115" s="313">
        <v>45534</v>
      </c>
      <c r="B115" s="325" t="s">
        <v>3926</v>
      </c>
      <c r="C115" s="325"/>
      <c r="D115" s="326">
        <v>770000</v>
      </c>
      <c r="E115" s="575" t="s">
        <v>3986</v>
      </c>
      <c r="F115" s="575"/>
      <c r="G115" s="575"/>
      <c r="H115" s="359" t="s">
        <v>3923</v>
      </c>
    </row>
    <row r="116" spans="1:8">
      <c r="A116" s="305"/>
      <c r="B116" s="325"/>
      <c r="C116" s="325"/>
      <c r="D116" s="326"/>
      <c r="E116" s="575"/>
      <c r="F116" s="575"/>
      <c r="G116" s="575"/>
      <c r="H116" s="359"/>
    </row>
    <row r="117" spans="1:8">
      <c r="A117" s="313">
        <v>45534</v>
      </c>
      <c r="B117" s="325" t="s">
        <v>3925</v>
      </c>
      <c r="C117" s="307"/>
      <c r="D117" s="309">
        <v>330000</v>
      </c>
      <c r="E117" s="309"/>
      <c r="F117" s="309"/>
      <c r="G117" s="309"/>
      <c r="H117" s="762" t="s">
        <v>3924</v>
      </c>
    </row>
    <row r="118" spans="1:8">
      <c r="A118" s="305"/>
      <c r="B118" s="325"/>
      <c r="C118" s="307"/>
      <c r="D118" s="309"/>
      <c r="E118" s="309"/>
      <c r="F118" s="309"/>
      <c r="G118" s="309"/>
      <c r="H118" s="762"/>
    </row>
    <row r="119" spans="1:8">
      <c r="A119" s="313">
        <v>45534</v>
      </c>
      <c r="B119" s="307"/>
      <c r="C119" s="307"/>
      <c r="D119" s="309">
        <v>120000</v>
      </c>
      <c r="E119" s="309"/>
      <c r="F119" s="309"/>
      <c r="G119" s="309"/>
      <c r="H119" s="762" t="s">
        <v>3924</v>
      </c>
    </row>
    <row r="120" spans="1:8">
      <c r="A120" s="305"/>
      <c r="B120" s="307"/>
      <c r="C120" s="307"/>
      <c r="D120" s="309"/>
      <c r="E120" s="309"/>
      <c r="F120" s="309"/>
      <c r="G120" s="309"/>
      <c r="H120" s="762"/>
    </row>
    <row r="121" spans="1:8">
      <c r="A121" s="305"/>
      <c r="B121" s="822" t="s">
        <v>3989</v>
      </c>
      <c r="C121" s="823"/>
      <c r="D121" s="823"/>
      <c r="E121" s="823"/>
      <c r="F121" s="823"/>
      <c r="G121" s="823"/>
      <c r="H121" s="824"/>
    </row>
    <row r="122" spans="1:8" ht="60" customHeight="1">
      <c r="A122" s="305"/>
      <c r="B122" s="825"/>
      <c r="C122" s="826"/>
      <c r="D122" s="826"/>
      <c r="E122" s="826"/>
      <c r="F122" s="826"/>
      <c r="G122" s="826"/>
      <c r="H122" s="827"/>
    </row>
    <row r="123" spans="1:8" ht="17.25" customHeight="1">
      <c r="A123" s="305"/>
      <c r="B123" s="307"/>
      <c r="C123" s="307"/>
      <c r="D123" s="309"/>
      <c r="E123" s="309"/>
      <c r="F123" s="309"/>
      <c r="G123" s="309"/>
      <c r="H123" s="311"/>
    </row>
    <row r="124" spans="1:8" ht="17.25" customHeight="1">
      <c r="A124" s="305"/>
      <c r="B124" s="307"/>
      <c r="C124" s="307"/>
      <c r="D124" s="309"/>
      <c r="E124" s="309"/>
      <c r="F124" s="309"/>
      <c r="G124" s="309"/>
      <c r="H124" s="311"/>
    </row>
    <row r="125" spans="1:8">
      <c r="A125" s="305"/>
      <c r="B125" s="307"/>
      <c r="C125" s="307"/>
      <c r="D125" s="309"/>
      <c r="E125" s="309"/>
      <c r="F125" s="309"/>
      <c r="G125" s="309"/>
      <c r="H125" s="311"/>
    </row>
    <row r="126" spans="1:8">
      <c r="A126" s="305"/>
      <c r="B126" s="307"/>
      <c r="C126" s="307"/>
      <c r="D126" s="309"/>
      <c r="E126" s="309"/>
      <c r="F126" s="309"/>
      <c r="G126" s="309"/>
      <c r="H126" s="311"/>
    </row>
    <row r="127" spans="1:8">
      <c r="A127" s="305"/>
      <c r="B127" s="307"/>
      <c r="C127" s="307"/>
      <c r="D127" s="309"/>
      <c r="E127" s="309"/>
      <c r="F127" s="309"/>
      <c r="G127" s="309"/>
      <c r="H127" s="311"/>
    </row>
    <row r="128" spans="1:8">
      <c r="A128" s="305"/>
      <c r="B128" s="307"/>
      <c r="C128" s="307"/>
      <c r="D128" s="309"/>
      <c r="E128" s="309"/>
      <c r="F128" s="309"/>
      <c r="G128" s="309"/>
      <c r="H128" s="311"/>
    </row>
    <row r="129" spans="1:8">
      <c r="A129" s="305"/>
      <c r="B129" s="307"/>
      <c r="C129" s="307"/>
      <c r="D129" s="309"/>
      <c r="E129" s="309"/>
      <c r="F129" s="309"/>
      <c r="G129" s="309"/>
      <c r="H129" s="311"/>
    </row>
    <row r="130" spans="1:8">
      <c r="A130" s="305"/>
      <c r="B130" s="307"/>
      <c r="C130" s="307"/>
      <c r="D130" s="309"/>
      <c r="E130" s="309"/>
      <c r="F130" s="309"/>
      <c r="G130" s="309"/>
      <c r="H130" s="311"/>
    </row>
    <row r="131" spans="1:8">
      <c r="A131" s="305"/>
      <c r="B131" s="307"/>
      <c r="C131" s="307"/>
      <c r="D131" s="309"/>
      <c r="E131" s="309"/>
      <c r="F131" s="309"/>
      <c r="G131" s="309"/>
      <c r="H131" s="311"/>
    </row>
    <row r="132" spans="1:8">
      <c r="A132" s="305"/>
      <c r="B132" s="307"/>
      <c r="C132" s="307"/>
      <c r="D132" s="309"/>
      <c r="E132" s="309"/>
      <c r="F132" s="309"/>
      <c r="G132" s="309"/>
      <c r="H132" s="311"/>
    </row>
    <row r="133" spans="1:8">
      <c r="A133" s="305"/>
      <c r="B133" s="307"/>
      <c r="C133" s="307"/>
      <c r="D133" s="309"/>
      <c r="E133" s="309"/>
      <c r="F133" s="309"/>
      <c r="G133" s="309"/>
      <c r="H133" s="311"/>
    </row>
    <row r="134" spans="1:8">
      <c r="A134" s="305"/>
      <c r="B134" s="307"/>
      <c r="C134" s="307"/>
      <c r="D134" s="309"/>
      <c r="E134" s="309"/>
      <c r="F134" s="309"/>
      <c r="G134" s="309"/>
      <c r="H134" s="311"/>
    </row>
    <row r="135" spans="1:8">
      <c r="A135" s="305"/>
      <c r="B135" s="307"/>
      <c r="C135" s="307"/>
      <c r="D135" s="309"/>
      <c r="E135" s="309"/>
      <c r="F135" s="309"/>
      <c r="G135" s="309"/>
      <c r="H135" s="311"/>
    </row>
    <row r="136" spans="1:8">
      <c r="A136" s="305"/>
      <c r="B136" s="307"/>
      <c r="C136" s="307"/>
      <c r="D136" s="309"/>
      <c r="E136" s="309"/>
      <c r="F136" s="309"/>
      <c r="G136" s="309"/>
      <c r="H136" s="311"/>
    </row>
    <row r="137" spans="1:8">
      <c r="A137" s="305"/>
      <c r="B137" s="307"/>
      <c r="C137" s="307"/>
      <c r="D137" s="309"/>
      <c r="E137" s="309"/>
      <c r="F137" s="309"/>
      <c r="G137" s="309"/>
      <c r="H137" s="311"/>
    </row>
    <row r="138" spans="1:8">
      <c r="A138" s="305"/>
      <c r="B138" s="307"/>
      <c r="C138" s="307"/>
      <c r="D138" s="309"/>
      <c r="E138" s="309"/>
      <c r="F138" s="309"/>
      <c r="G138" s="309"/>
      <c r="H138" s="311"/>
    </row>
    <row r="139" spans="1:8" ht="17.25" customHeight="1">
      <c r="A139" s="305"/>
      <c r="B139" s="307"/>
      <c r="C139" s="307"/>
      <c r="D139" s="309"/>
      <c r="E139" s="309"/>
      <c r="F139" s="309"/>
      <c r="G139" s="309"/>
      <c r="H139" s="311"/>
    </row>
    <row r="140" spans="1:8" ht="17.25" customHeight="1">
      <c r="A140" s="305"/>
      <c r="B140" s="307"/>
      <c r="C140" s="307"/>
      <c r="D140" s="309"/>
      <c r="E140" s="309"/>
      <c r="F140" s="309"/>
      <c r="G140" s="309"/>
      <c r="H140" s="311"/>
    </row>
  </sheetData>
  <mergeCells count="398">
    <mergeCell ref="A139:A140"/>
    <mergeCell ref="B139:B140"/>
    <mergeCell ref="C139:C140"/>
    <mergeCell ref="D139:D140"/>
    <mergeCell ref="E139:G140"/>
    <mergeCell ref="H139:H140"/>
    <mergeCell ref="A137:A138"/>
    <mergeCell ref="B137:B138"/>
    <mergeCell ref="C137:C138"/>
    <mergeCell ref="D137:D138"/>
    <mergeCell ref="E137:G138"/>
    <mergeCell ref="H137:H138"/>
    <mergeCell ref="A135:A136"/>
    <mergeCell ref="B135:B136"/>
    <mergeCell ref="C135:C136"/>
    <mergeCell ref="D135:D136"/>
    <mergeCell ref="E135:G136"/>
    <mergeCell ref="H135:H136"/>
    <mergeCell ref="A133:A134"/>
    <mergeCell ref="B133:B134"/>
    <mergeCell ref="C133:C134"/>
    <mergeCell ref="D133:D134"/>
    <mergeCell ref="E133:G134"/>
    <mergeCell ref="H133:H134"/>
    <mergeCell ref="A131:A132"/>
    <mergeCell ref="B131:B132"/>
    <mergeCell ref="C131:C132"/>
    <mergeCell ref="D131:D132"/>
    <mergeCell ref="E131:G132"/>
    <mergeCell ref="H131:H132"/>
    <mergeCell ref="A129:A130"/>
    <mergeCell ref="B129:B130"/>
    <mergeCell ref="C129:C130"/>
    <mergeCell ref="D129:D130"/>
    <mergeCell ref="E129:G130"/>
    <mergeCell ref="H129:H130"/>
    <mergeCell ref="A127:A128"/>
    <mergeCell ref="B127:B128"/>
    <mergeCell ref="C127:C128"/>
    <mergeCell ref="D127:D128"/>
    <mergeCell ref="E127:G128"/>
    <mergeCell ref="H127:H128"/>
    <mergeCell ref="A125:A126"/>
    <mergeCell ref="B125:B126"/>
    <mergeCell ref="C125:C126"/>
    <mergeCell ref="D125:D126"/>
    <mergeCell ref="E125:G126"/>
    <mergeCell ref="H125:H126"/>
    <mergeCell ref="A123:A124"/>
    <mergeCell ref="B123:B124"/>
    <mergeCell ref="C123:C124"/>
    <mergeCell ref="D123:D124"/>
    <mergeCell ref="E123:G124"/>
    <mergeCell ref="H123:H124"/>
    <mergeCell ref="A121:A122"/>
    <mergeCell ref="B121:H122"/>
    <mergeCell ref="A119:A120"/>
    <mergeCell ref="B119:B120"/>
    <mergeCell ref="C119:C120"/>
    <mergeCell ref="D119:D120"/>
    <mergeCell ref="E119:G120"/>
    <mergeCell ref="H119:H120"/>
    <mergeCell ref="A117:A118"/>
    <mergeCell ref="B117:B118"/>
    <mergeCell ref="C117:C118"/>
    <mergeCell ref="D117:D118"/>
    <mergeCell ref="E117:G118"/>
    <mergeCell ref="H117:H118"/>
    <mergeCell ref="A115:A116"/>
    <mergeCell ref="B115:B116"/>
    <mergeCell ref="C115:C116"/>
    <mergeCell ref="D115:D116"/>
    <mergeCell ref="E115:G116"/>
    <mergeCell ref="H115:H116"/>
    <mergeCell ref="A113:A114"/>
    <mergeCell ref="B113:B114"/>
    <mergeCell ref="C113:C114"/>
    <mergeCell ref="D113:D114"/>
    <mergeCell ref="E113:G114"/>
    <mergeCell ref="H113:H114"/>
    <mergeCell ref="A111:A112"/>
    <mergeCell ref="B111:B112"/>
    <mergeCell ref="C111:C112"/>
    <mergeCell ref="D111:D112"/>
    <mergeCell ref="E111:G112"/>
    <mergeCell ref="H111:H112"/>
    <mergeCell ref="A109:A110"/>
    <mergeCell ref="B109:B110"/>
    <mergeCell ref="C109:C110"/>
    <mergeCell ref="D109:D110"/>
    <mergeCell ref="E109:G110"/>
    <mergeCell ref="H109:H110"/>
    <mergeCell ref="A107:A108"/>
    <mergeCell ref="B107:B108"/>
    <mergeCell ref="C107:C108"/>
    <mergeCell ref="D107:D108"/>
    <mergeCell ref="E107:G108"/>
    <mergeCell ref="H107:H108"/>
    <mergeCell ref="A105:A106"/>
    <mergeCell ref="B105:B106"/>
    <mergeCell ref="C105:C106"/>
    <mergeCell ref="D105:D106"/>
    <mergeCell ref="E105:G106"/>
    <mergeCell ref="H105:H106"/>
    <mergeCell ref="A103:A104"/>
    <mergeCell ref="B103:B104"/>
    <mergeCell ref="C103:C104"/>
    <mergeCell ref="D103:D104"/>
    <mergeCell ref="E103:G104"/>
    <mergeCell ref="H103:H104"/>
    <mergeCell ref="A101:A102"/>
    <mergeCell ref="B101:B102"/>
    <mergeCell ref="C101:C102"/>
    <mergeCell ref="D101:D102"/>
    <mergeCell ref="E101:G102"/>
    <mergeCell ref="H101:H102"/>
    <mergeCell ref="A99:A100"/>
    <mergeCell ref="B99:B100"/>
    <mergeCell ref="C99:C100"/>
    <mergeCell ref="D99:D100"/>
    <mergeCell ref="E99:G100"/>
    <mergeCell ref="H99:H100"/>
    <mergeCell ref="A97:A98"/>
    <mergeCell ref="B97:B98"/>
    <mergeCell ref="C97:C98"/>
    <mergeCell ref="D97:D98"/>
    <mergeCell ref="E97:G98"/>
    <mergeCell ref="H97:H98"/>
    <mergeCell ref="A95:A96"/>
    <mergeCell ref="B95:B96"/>
    <mergeCell ref="C95:C96"/>
    <mergeCell ref="D95:D96"/>
    <mergeCell ref="E95:G96"/>
    <mergeCell ref="H95:H96"/>
    <mergeCell ref="A93:A94"/>
    <mergeCell ref="B93:B94"/>
    <mergeCell ref="C93:C94"/>
    <mergeCell ref="D93:D94"/>
    <mergeCell ref="E93:G94"/>
    <mergeCell ref="H93:H94"/>
    <mergeCell ref="A91:A92"/>
    <mergeCell ref="B91:B92"/>
    <mergeCell ref="C91:C92"/>
    <mergeCell ref="D91:D92"/>
    <mergeCell ref="E91:G92"/>
    <mergeCell ref="H91:H92"/>
    <mergeCell ref="A85:A86"/>
    <mergeCell ref="A83:A84"/>
    <mergeCell ref="B83:B84"/>
    <mergeCell ref="C83:C84"/>
    <mergeCell ref="D83:D84"/>
    <mergeCell ref="E83:G84"/>
    <mergeCell ref="H83:H84"/>
    <mergeCell ref="B85:H86"/>
    <mergeCell ref="A89:A90"/>
    <mergeCell ref="B89:B90"/>
    <mergeCell ref="C89:C90"/>
    <mergeCell ref="D89:D90"/>
    <mergeCell ref="E89:G90"/>
    <mergeCell ref="H89:H90"/>
    <mergeCell ref="A87:A88"/>
    <mergeCell ref="B87:B88"/>
    <mergeCell ref="C87:C88"/>
    <mergeCell ref="D87:D88"/>
    <mergeCell ref="E87:G88"/>
    <mergeCell ref="H87:H88"/>
    <mergeCell ref="A81:A82"/>
    <mergeCell ref="B81:B82"/>
    <mergeCell ref="C81:C82"/>
    <mergeCell ref="D81:D82"/>
    <mergeCell ref="E81:G82"/>
    <mergeCell ref="H81:H82"/>
    <mergeCell ref="A79:A80"/>
    <mergeCell ref="B79:B80"/>
    <mergeCell ref="C79:C80"/>
    <mergeCell ref="D79:D80"/>
    <mergeCell ref="E79:G80"/>
    <mergeCell ref="H79:H80"/>
    <mergeCell ref="A77:A78"/>
    <mergeCell ref="B77:B78"/>
    <mergeCell ref="C77:C78"/>
    <mergeCell ref="D77:D78"/>
    <mergeCell ref="E77:G78"/>
    <mergeCell ref="H77:H78"/>
    <mergeCell ref="A75:A76"/>
    <mergeCell ref="B75:B76"/>
    <mergeCell ref="C75:C76"/>
    <mergeCell ref="D75:D76"/>
    <mergeCell ref="E75:G76"/>
    <mergeCell ref="H75:H76"/>
    <mergeCell ref="A73:A74"/>
    <mergeCell ref="B73:B74"/>
    <mergeCell ref="C73:C74"/>
    <mergeCell ref="D73:D74"/>
    <mergeCell ref="E73:G74"/>
    <mergeCell ref="H73:H74"/>
    <mergeCell ref="A71:A72"/>
    <mergeCell ref="B71:B72"/>
    <mergeCell ref="C71:C72"/>
    <mergeCell ref="D71:D72"/>
    <mergeCell ref="E71:G72"/>
    <mergeCell ref="H71:H72"/>
    <mergeCell ref="A69:A70"/>
    <mergeCell ref="B69:B70"/>
    <mergeCell ref="C69:C70"/>
    <mergeCell ref="D69:D70"/>
    <mergeCell ref="E69:G70"/>
    <mergeCell ref="H69:H70"/>
    <mergeCell ref="A67:A68"/>
    <mergeCell ref="B67:B68"/>
    <mergeCell ref="C67:C68"/>
    <mergeCell ref="D67:D68"/>
    <mergeCell ref="E67:G68"/>
    <mergeCell ref="H67:H68"/>
    <mergeCell ref="A65:A66"/>
    <mergeCell ref="B65:B66"/>
    <mergeCell ref="C65:C66"/>
    <mergeCell ref="D65:D66"/>
    <mergeCell ref="E65:G66"/>
    <mergeCell ref="H65:H66"/>
    <mergeCell ref="A63:A64"/>
    <mergeCell ref="B63:B64"/>
    <mergeCell ref="C63:C64"/>
    <mergeCell ref="D63:D64"/>
    <mergeCell ref="E63:G64"/>
    <mergeCell ref="H63:H64"/>
    <mergeCell ref="A61:A62"/>
    <mergeCell ref="B61:B62"/>
    <mergeCell ref="C61:C62"/>
    <mergeCell ref="D61:D62"/>
    <mergeCell ref="E61:G62"/>
    <mergeCell ref="H61:H62"/>
    <mergeCell ref="A59:A60"/>
    <mergeCell ref="B59:B60"/>
    <mergeCell ref="C59:C60"/>
    <mergeCell ref="D59:D60"/>
    <mergeCell ref="E59:G60"/>
    <mergeCell ref="H59:H60"/>
    <mergeCell ref="A53:A54"/>
    <mergeCell ref="B53:B54"/>
    <mergeCell ref="C53:C54"/>
    <mergeCell ref="D53:D54"/>
    <mergeCell ref="E53:G54"/>
    <mergeCell ref="H53:H54"/>
    <mergeCell ref="B55:H58"/>
    <mergeCell ref="A57:A58"/>
    <mergeCell ref="A55:A56"/>
    <mergeCell ref="A51:A52"/>
    <mergeCell ref="B51:B52"/>
    <mergeCell ref="C51:C52"/>
    <mergeCell ref="D51:D52"/>
    <mergeCell ref="E51:G52"/>
    <mergeCell ref="H51:H52"/>
    <mergeCell ref="A49:A50"/>
    <mergeCell ref="B49:B50"/>
    <mergeCell ref="C49:C50"/>
    <mergeCell ref="D49:D50"/>
    <mergeCell ref="E49:G50"/>
    <mergeCell ref="H49:H50"/>
    <mergeCell ref="A47:A48"/>
    <mergeCell ref="B47:B48"/>
    <mergeCell ref="C47:C48"/>
    <mergeCell ref="D47:D48"/>
    <mergeCell ref="E47:G48"/>
    <mergeCell ref="H47:H48"/>
    <mergeCell ref="A45:A46"/>
    <mergeCell ref="B45:B46"/>
    <mergeCell ref="C45:C46"/>
    <mergeCell ref="D45:D46"/>
    <mergeCell ref="E45:G46"/>
    <mergeCell ref="H45:H46"/>
    <mergeCell ref="A43:A44"/>
    <mergeCell ref="B43:B44"/>
    <mergeCell ref="C43:C44"/>
    <mergeCell ref="D43:D44"/>
    <mergeCell ref="E43:G44"/>
    <mergeCell ref="H43:H44"/>
    <mergeCell ref="A41:A42"/>
    <mergeCell ref="B41:B42"/>
    <mergeCell ref="C41:C42"/>
    <mergeCell ref="D41:D42"/>
    <mergeCell ref="E41:G42"/>
    <mergeCell ref="H41:H42"/>
    <mergeCell ref="A39:A40"/>
    <mergeCell ref="B39:B40"/>
    <mergeCell ref="C39:C40"/>
    <mergeCell ref="D39:D40"/>
    <mergeCell ref="E39:G40"/>
    <mergeCell ref="H39:H40"/>
    <mergeCell ref="A37:A38"/>
    <mergeCell ref="B37:B38"/>
    <mergeCell ref="C37:C38"/>
    <mergeCell ref="D37:D38"/>
    <mergeCell ref="E37:G38"/>
    <mergeCell ref="H37:H38"/>
    <mergeCell ref="A35:A36"/>
    <mergeCell ref="A33:A34"/>
    <mergeCell ref="B33:B34"/>
    <mergeCell ref="C33:C34"/>
    <mergeCell ref="D33:D34"/>
    <mergeCell ref="E33:G34"/>
    <mergeCell ref="H33:H34"/>
    <mergeCell ref="B35:H36"/>
    <mergeCell ref="A31:A32"/>
    <mergeCell ref="B31:B32"/>
    <mergeCell ref="C31:C32"/>
    <mergeCell ref="D31:D32"/>
    <mergeCell ref="E31:G32"/>
    <mergeCell ref="H31:H32"/>
    <mergeCell ref="A29:A30"/>
    <mergeCell ref="B29:B30"/>
    <mergeCell ref="C29:C30"/>
    <mergeCell ref="D29:D30"/>
    <mergeCell ref="E29:G30"/>
    <mergeCell ref="H29:H30"/>
    <mergeCell ref="A27:A28"/>
    <mergeCell ref="B27:B28"/>
    <mergeCell ref="C27:C28"/>
    <mergeCell ref="D27:D28"/>
    <mergeCell ref="E27:G28"/>
    <mergeCell ref="H27:H28"/>
    <mergeCell ref="A23:A24"/>
    <mergeCell ref="B23:B24"/>
    <mergeCell ref="C23:C24"/>
    <mergeCell ref="D23:D24"/>
    <mergeCell ref="E23:G24"/>
    <mergeCell ref="H23:H24"/>
    <mergeCell ref="E26:G26"/>
    <mergeCell ref="E25:G25"/>
    <mergeCell ref="A19:A20"/>
    <mergeCell ref="B19:B20"/>
    <mergeCell ref="C19:C20"/>
    <mergeCell ref="D19:D20"/>
    <mergeCell ref="E19:G20"/>
    <mergeCell ref="H19:H20"/>
    <mergeCell ref="A21:A22"/>
    <mergeCell ref="B21:B22"/>
    <mergeCell ref="C21:C22"/>
    <mergeCell ref="D21:D22"/>
    <mergeCell ref="E21:G22"/>
    <mergeCell ref="H21:H22"/>
    <mergeCell ref="A17:A18"/>
    <mergeCell ref="B17:B18"/>
    <mergeCell ref="C17:C18"/>
    <mergeCell ref="D17:D18"/>
    <mergeCell ref="E17:G18"/>
    <mergeCell ref="H17:H18"/>
    <mergeCell ref="H13:H14"/>
    <mergeCell ref="A15:A16"/>
    <mergeCell ref="B15:B16"/>
    <mergeCell ref="D15:D16"/>
    <mergeCell ref="E15:G16"/>
    <mergeCell ref="H15:H16"/>
    <mergeCell ref="C15:C16"/>
    <mergeCell ref="E12:G12"/>
    <mergeCell ref="A13:A14"/>
    <mergeCell ref="B13:B14"/>
    <mergeCell ref="C13:C14"/>
    <mergeCell ref="D13:D14"/>
    <mergeCell ref="E13:G14"/>
    <mergeCell ref="A10:A11"/>
    <mergeCell ref="B10:B11"/>
    <mergeCell ref="C10:C11"/>
    <mergeCell ref="D10:D11"/>
    <mergeCell ref="E10:G11"/>
    <mergeCell ref="H10:H11"/>
    <mergeCell ref="A8:A9"/>
    <mergeCell ref="B8:B9"/>
    <mergeCell ref="C8:C9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A3:H3"/>
    <mergeCell ref="A4:A5"/>
    <mergeCell ref="B4:B5"/>
    <mergeCell ref="C4:C5"/>
    <mergeCell ref="D4:D5"/>
    <mergeCell ref="E4:G5"/>
    <mergeCell ref="H4:H5"/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</mergeCells>
  <phoneticPr fontId="1" type="noConversion"/>
  <pageMargins left="0" right="0" top="0" bottom="0" header="0" footer="0"/>
  <pageSetup paperSize="9" scale="36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28"/>
  <sheetViews>
    <sheetView showGridLines="0" zoomScale="115" zoomScaleNormal="115" workbookViewId="0">
      <pane xSplit="8" ySplit="2" topLeftCell="I87" activePane="bottomRight" state="frozen"/>
      <selection pane="topRight" activeCell="I1" sqref="I1"/>
      <selection pane="bottomLeft" activeCell="A3" sqref="A3"/>
      <selection pane="bottomRight" activeCell="H8" sqref="H8:H9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0" max="10" width="13.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  <col min="18" max="18" width="9.5" bestFit="1" customWidth="1"/>
  </cols>
  <sheetData>
    <row r="1" spans="1:18" ht="35.25" customHeight="1" thickBot="1">
      <c r="A1" s="388" t="s">
        <v>3985</v>
      </c>
      <c r="B1" s="389"/>
      <c r="C1" s="402" t="s">
        <v>27</v>
      </c>
      <c r="D1" s="403"/>
      <c r="E1" s="21" t="s">
        <v>26</v>
      </c>
      <c r="F1" s="20">
        <f>H1/30</f>
        <v>1139833.3333333333</v>
      </c>
      <c r="G1" s="21" t="s">
        <v>4</v>
      </c>
      <c r="H1" s="22">
        <f>SUM(D4:D187)</f>
        <v>34195000</v>
      </c>
      <c r="I1" s="392"/>
      <c r="J1" s="338"/>
      <c r="K1" s="394"/>
      <c r="L1" s="396"/>
      <c r="M1" s="377"/>
      <c r="N1" s="379"/>
      <c r="O1" s="381"/>
      <c r="P1" s="383"/>
      <c r="Q1" s="377"/>
      <c r="R1" s="376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385" t="s">
        <v>25</v>
      </c>
      <c r="F2" s="386"/>
      <c r="G2" s="387"/>
      <c r="H2" s="25" t="s">
        <v>5</v>
      </c>
      <c r="I2" s="393"/>
      <c r="J2" s="333"/>
      <c r="K2" s="395"/>
      <c r="L2" s="397"/>
      <c r="M2" s="378"/>
      <c r="N2" s="380"/>
      <c r="O2" s="382"/>
      <c r="P2" s="384"/>
      <c r="Q2" s="378"/>
      <c r="R2" s="376"/>
    </row>
    <row r="3" spans="1:18" ht="36" customHeight="1">
      <c r="A3" s="441" t="s">
        <v>3957</v>
      </c>
      <c r="B3" s="442"/>
      <c r="C3" s="442"/>
      <c r="D3" s="442"/>
      <c r="E3" s="442"/>
      <c r="F3" s="442"/>
      <c r="G3" s="442"/>
      <c r="H3" s="443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322">
        <v>45537</v>
      </c>
      <c r="B4" s="439" t="s">
        <v>3968</v>
      </c>
      <c r="C4" s="341"/>
      <c r="D4" s="326">
        <v>1250000</v>
      </c>
      <c r="E4" s="327"/>
      <c r="F4" s="328"/>
      <c r="G4" s="329"/>
      <c r="H4" s="398" t="s">
        <v>3927</v>
      </c>
      <c r="J4" s="43"/>
    </row>
    <row r="5" spans="1:18" ht="16.5" customHeight="1">
      <c r="A5" s="323"/>
      <c r="B5" s="440"/>
      <c r="C5" s="342"/>
      <c r="D5" s="326"/>
      <c r="E5" s="330"/>
      <c r="F5" s="331"/>
      <c r="G5" s="332"/>
      <c r="H5" s="399"/>
      <c r="J5" s="43"/>
    </row>
    <row r="6" spans="1:18" ht="16.5" customHeight="1">
      <c r="A6" s="322">
        <v>45537</v>
      </c>
      <c r="B6" s="439" t="s">
        <v>3930</v>
      </c>
      <c r="C6" s="341"/>
      <c r="D6" s="343">
        <v>150000</v>
      </c>
      <c r="E6" s="327"/>
      <c r="F6" s="345"/>
      <c r="G6" s="346"/>
      <c r="H6" s="398" t="s">
        <v>3927</v>
      </c>
    </row>
    <row r="7" spans="1:18" ht="51" customHeight="1">
      <c r="A7" s="323"/>
      <c r="B7" s="440"/>
      <c r="C7" s="342"/>
      <c r="D7" s="344"/>
      <c r="E7" s="347"/>
      <c r="F7" s="348"/>
      <c r="G7" s="349"/>
      <c r="H7" s="399"/>
    </row>
    <row r="8" spans="1:18" ht="16.5" customHeight="1">
      <c r="A8" s="322">
        <v>45537</v>
      </c>
      <c r="B8" s="444" t="s">
        <v>3931</v>
      </c>
      <c r="C8" s="341"/>
      <c r="D8" s="326"/>
      <c r="E8" s="327"/>
      <c r="F8" s="328"/>
      <c r="G8" s="329"/>
      <c r="H8" s="610" t="s">
        <v>3932</v>
      </c>
      <c r="J8" s="48"/>
    </row>
    <row r="9" spans="1:18" ht="16.5" customHeight="1">
      <c r="A9" s="323"/>
      <c r="B9" s="445"/>
      <c r="C9" s="342"/>
      <c r="D9" s="326"/>
      <c r="E9" s="330"/>
      <c r="F9" s="331"/>
      <c r="G9" s="332"/>
      <c r="H9" s="611"/>
    </row>
    <row r="10" spans="1:18" ht="16.5" customHeight="1">
      <c r="A10" s="322">
        <v>45537</v>
      </c>
      <c r="B10" s="496" t="s">
        <v>3928</v>
      </c>
      <c r="C10" s="341"/>
      <c r="D10" s="326">
        <v>45000</v>
      </c>
      <c r="E10" s="327"/>
      <c r="F10" s="328"/>
      <c r="G10" s="329"/>
      <c r="H10" s="400" t="s">
        <v>3929</v>
      </c>
    </row>
    <row r="11" spans="1:18" ht="26.25" customHeight="1">
      <c r="A11" s="323"/>
      <c r="B11" s="497"/>
      <c r="C11" s="342"/>
      <c r="D11" s="326"/>
      <c r="E11" s="330"/>
      <c r="F11" s="331"/>
      <c r="G11" s="332"/>
      <c r="H11" s="401"/>
    </row>
    <row r="12" spans="1:18" ht="45" customHeight="1">
      <c r="A12" s="132">
        <v>45538</v>
      </c>
      <c r="B12" s="138" t="s">
        <v>3991</v>
      </c>
      <c r="C12" s="133"/>
      <c r="D12" s="134">
        <v>880000</v>
      </c>
      <c r="E12" s="808" t="s">
        <v>3990</v>
      </c>
      <c r="F12" s="722"/>
      <c r="G12" s="723"/>
      <c r="H12" s="98" t="s">
        <v>3934</v>
      </c>
    </row>
    <row r="13" spans="1:18" ht="16.5" customHeight="1">
      <c r="A13" s="322">
        <v>45538</v>
      </c>
      <c r="B13" s="496" t="s">
        <v>3933</v>
      </c>
      <c r="C13" s="325"/>
      <c r="D13" s="326">
        <v>530000</v>
      </c>
      <c r="E13" s="828"/>
      <c r="F13" s="829"/>
      <c r="G13" s="830"/>
      <c r="H13" s="400" t="s">
        <v>145</v>
      </c>
    </row>
    <row r="14" spans="1:18" ht="18.75" customHeight="1">
      <c r="A14" s="323"/>
      <c r="B14" s="497"/>
      <c r="C14" s="325"/>
      <c r="D14" s="326"/>
      <c r="E14" s="831"/>
      <c r="F14" s="832"/>
      <c r="G14" s="833"/>
      <c r="H14" s="401"/>
    </row>
    <row r="15" spans="1:18" ht="16.5" customHeight="1">
      <c r="A15" s="322">
        <v>45539</v>
      </c>
      <c r="B15" s="496" t="s">
        <v>3940</v>
      </c>
      <c r="C15" s="353"/>
      <c r="D15" s="343">
        <v>190000</v>
      </c>
      <c r="E15" s="327"/>
      <c r="F15" s="345"/>
      <c r="G15" s="346"/>
      <c r="H15" s="400" t="s">
        <v>3939</v>
      </c>
    </row>
    <row r="16" spans="1:18" ht="16.5" customHeight="1">
      <c r="A16" s="323"/>
      <c r="B16" s="497"/>
      <c r="C16" s="352"/>
      <c r="D16" s="344"/>
      <c r="E16" s="347"/>
      <c r="F16" s="348"/>
      <c r="G16" s="349"/>
      <c r="H16" s="401"/>
    </row>
    <row r="17" spans="1:10" ht="16.5" customHeight="1">
      <c r="A17" s="322">
        <v>45539</v>
      </c>
      <c r="B17" s="496" t="s">
        <v>3943</v>
      </c>
      <c r="C17" s="324"/>
      <c r="D17" s="326">
        <v>550000</v>
      </c>
      <c r="E17" s="327"/>
      <c r="F17" s="328"/>
      <c r="G17" s="329"/>
      <c r="H17" s="400" t="s">
        <v>3938</v>
      </c>
    </row>
    <row r="18" spans="1:10" ht="16.5" customHeight="1">
      <c r="A18" s="323"/>
      <c r="B18" s="497"/>
      <c r="C18" s="325"/>
      <c r="D18" s="326"/>
      <c r="E18" s="330"/>
      <c r="F18" s="331"/>
      <c r="G18" s="332"/>
      <c r="H18" s="401"/>
      <c r="J18" t="s">
        <v>995</v>
      </c>
    </row>
    <row r="19" spans="1:10" ht="16.5" customHeight="1">
      <c r="A19" s="322">
        <v>45539</v>
      </c>
      <c r="B19" s="324" t="s">
        <v>3935</v>
      </c>
      <c r="C19" s="324"/>
      <c r="D19" s="326">
        <v>462000</v>
      </c>
      <c r="E19" s="337"/>
      <c r="F19" s="326"/>
      <c r="G19" s="326"/>
      <c r="H19" s="359" t="s">
        <v>3937</v>
      </c>
    </row>
    <row r="20" spans="1:10" ht="40.5" customHeight="1">
      <c r="A20" s="323"/>
      <c r="B20" s="325"/>
      <c r="C20" s="325"/>
      <c r="D20" s="326"/>
      <c r="E20" s="326"/>
      <c r="F20" s="326"/>
      <c r="G20" s="326"/>
      <c r="H20" s="359"/>
    </row>
    <row r="21" spans="1:10">
      <c r="A21" s="322">
        <v>45539</v>
      </c>
      <c r="B21" s="324" t="s">
        <v>3942</v>
      </c>
      <c r="C21" s="325"/>
      <c r="D21" s="326">
        <v>430000</v>
      </c>
      <c r="E21" s="337"/>
      <c r="F21" s="326"/>
      <c r="G21" s="326"/>
      <c r="H21" s="359" t="s">
        <v>3941</v>
      </c>
    </row>
    <row r="22" spans="1:10" ht="26.25" customHeight="1">
      <c r="A22" s="323"/>
      <c r="B22" s="325"/>
      <c r="C22" s="325"/>
      <c r="D22" s="326"/>
      <c r="E22" s="326"/>
      <c r="F22" s="326"/>
      <c r="G22" s="326"/>
      <c r="H22" s="359"/>
    </row>
    <row r="23" spans="1:10">
      <c r="A23" s="322">
        <v>45539</v>
      </c>
      <c r="B23" s="324" t="s">
        <v>3944</v>
      </c>
      <c r="C23" s="325"/>
      <c r="D23" s="326">
        <v>110000</v>
      </c>
      <c r="E23" s="337"/>
      <c r="F23" s="326"/>
      <c r="G23" s="326"/>
      <c r="H23" s="359" t="s">
        <v>3936</v>
      </c>
    </row>
    <row r="24" spans="1:10" ht="42.75" customHeight="1">
      <c r="A24" s="323"/>
      <c r="B24" s="325"/>
      <c r="C24" s="325"/>
      <c r="D24" s="326"/>
      <c r="E24" s="326"/>
      <c r="F24" s="326"/>
      <c r="G24" s="326"/>
      <c r="H24" s="359"/>
    </row>
    <row r="25" spans="1:10" ht="42.75" customHeight="1">
      <c r="A25" s="132">
        <v>45540</v>
      </c>
      <c r="B25" s="136" t="s">
        <v>3945</v>
      </c>
      <c r="C25" s="136"/>
      <c r="D25" s="137">
        <v>800000</v>
      </c>
      <c r="E25" s="808" t="s">
        <v>3992</v>
      </c>
      <c r="F25" s="722"/>
      <c r="G25" s="723"/>
      <c r="H25" s="141" t="s">
        <v>145</v>
      </c>
    </row>
    <row r="26" spans="1:10" ht="42.75" customHeight="1">
      <c r="A26" s="132">
        <v>45540</v>
      </c>
      <c r="B26" s="136" t="s">
        <v>3946</v>
      </c>
      <c r="C26" s="136"/>
      <c r="D26" s="137">
        <v>2420000</v>
      </c>
      <c r="E26" s="627"/>
      <c r="F26" s="628"/>
      <c r="G26" s="629"/>
      <c r="H26" s="135" t="s">
        <v>3950</v>
      </c>
    </row>
    <row r="27" spans="1:10">
      <c r="A27" s="322">
        <v>45541</v>
      </c>
      <c r="B27" s="324" t="s">
        <v>3948</v>
      </c>
      <c r="C27" s="325"/>
      <c r="D27" s="326">
        <v>38000</v>
      </c>
      <c r="E27" s="337"/>
      <c r="F27" s="326"/>
      <c r="G27" s="326"/>
      <c r="H27" s="359" t="s">
        <v>3949</v>
      </c>
    </row>
    <row r="28" spans="1:10" ht="57" customHeight="1">
      <c r="A28" s="323"/>
      <c r="B28" s="325"/>
      <c r="C28" s="325"/>
      <c r="D28" s="326"/>
      <c r="E28" s="326"/>
      <c r="F28" s="326"/>
      <c r="G28" s="326"/>
      <c r="H28" s="359"/>
    </row>
    <row r="29" spans="1:10">
      <c r="A29" s="322">
        <v>45541</v>
      </c>
      <c r="B29" s="325" t="s">
        <v>3948</v>
      </c>
      <c r="C29" s="325"/>
      <c r="D29" s="326">
        <v>68000</v>
      </c>
      <c r="E29" s="337"/>
      <c r="F29" s="326"/>
      <c r="G29" s="326"/>
      <c r="H29" s="359" t="s">
        <v>1487</v>
      </c>
    </row>
    <row r="30" spans="1:10" ht="30.75" customHeight="1">
      <c r="A30" s="323"/>
      <c r="B30" s="325"/>
      <c r="C30" s="325"/>
      <c r="D30" s="326"/>
      <c r="E30" s="326"/>
      <c r="F30" s="326"/>
      <c r="G30" s="326"/>
      <c r="H30" s="359"/>
    </row>
    <row r="31" spans="1:10">
      <c r="A31" s="322">
        <v>45541</v>
      </c>
      <c r="B31" s="341" t="s">
        <v>3947</v>
      </c>
      <c r="C31" s="353"/>
      <c r="D31" s="343">
        <v>170000</v>
      </c>
      <c r="E31" s="337" t="s">
        <v>3970</v>
      </c>
      <c r="F31" s="731"/>
      <c r="G31" s="731"/>
      <c r="H31" s="398" t="s">
        <v>3981</v>
      </c>
    </row>
    <row r="32" spans="1:10" s="30" customFormat="1">
      <c r="A32" s="323"/>
      <c r="B32" s="342"/>
      <c r="C32" s="352"/>
      <c r="D32" s="344"/>
      <c r="E32" s="731"/>
      <c r="F32" s="731"/>
      <c r="G32" s="731"/>
      <c r="H32" s="399"/>
    </row>
    <row r="33" spans="1:8">
      <c r="A33" s="322">
        <v>45541</v>
      </c>
      <c r="B33" s="325" t="s">
        <v>3952</v>
      </c>
      <c r="C33" s="325"/>
      <c r="D33" s="326">
        <v>1040000</v>
      </c>
      <c r="E33" s="574" t="s">
        <v>3960</v>
      </c>
      <c r="F33" s="575"/>
      <c r="G33" s="575"/>
      <c r="H33" s="359" t="s">
        <v>1487</v>
      </c>
    </row>
    <row r="34" spans="1:8">
      <c r="A34" s="323"/>
      <c r="B34" s="325"/>
      <c r="C34" s="325"/>
      <c r="D34" s="326"/>
      <c r="E34" s="575"/>
      <c r="F34" s="575"/>
      <c r="G34" s="575"/>
      <c r="H34" s="359"/>
    </row>
    <row r="35" spans="1:8">
      <c r="A35" s="322">
        <v>45541</v>
      </c>
      <c r="B35" s="324" t="s">
        <v>3951</v>
      </c>
      <c r="C35" s="325"/>
      <c r="D35" s="326">
        <v>1030000</v>
      </c>
      <c r="E35" s="337"/>
      <c r="F35" s="326"/>
      <c r="G35" s="326"/>
      <c r="H35" s="333" t="s">
        <v>3956</v>
      </c>
    </row>
    <row r="36" spans="1:8" s="30" customFormat="1">
      <c r="A36" s="323"/>
      <c r="B36" s="325"/>
      <c r="C36" s="325"/>
      <c r="D36" s="326"/>
      <c r="E36" s="326"/>
      <c r="F36" s="326"/>
      <c r="G36" s="326"/>
      <c r="H36" s="333"/>
    </row>
    <row r="37" spans="1:8">
      <c r="A37" s="322">
        <v>45542</v>
      </c>
      <c r="B37" s="324" t="s">
        <v>3953</v>
      </c>
      <c r="C37" s="325"/>
      <c r="D37" s="343">
        <v>580000</v>
      </c>
      <c r="E37" s="337"/>
      <c r="F37" s="326"/>
      <c r="G37" s="326"/>
      <c r="H37" s="360" t="s">
        <v>3955</v>
      </c>
    </row>
    <row r="38" spans="1:8" ht="28.5" customHeight="1">
      <c r="A38" s="323"/>
      <c r="B38" s="325"/>
      <c r="C38" s="325"/>
      <c r="D38" s="344"/>
      <c r="E38" s="326"/>
      <c r="F38" s="326"/>
      <c r="G38" s="326"/>
      <c r="H38" s="359"/>
    </row>
    <row r="39" spans="1:8" ht="16.5" customHeight="1">
      <c r="A39" s="322">
        <v>45543</v>
      </c>
      <c r="B39" s="324" t="s">
        <v>3954</v>
      </c>
      <c r="C39" s="325"/>
      <c r="D39" s="326">
        <v>220000</v>
      </c>
      <c r="E39" s="337" t="s">
        <v>3969</v>
      </c>
      <c r="F39" s="326"/>
      <c r="G39" s="326"/>
      <c r="H39" s="360" t="s">
        <v>145</v>
      </c>
    </row>
    <row r="40" spans="1:8" ht="16.5" customHeight="1">
      <c r="A40" s="323"/>
      <c r="B40" s="325"/>
      <c r="C40" s="325"/>
      <c r="D40" s="326"/>
      <c r="E40" s="326"/>
      <c r="F40" s="326"/>
      <c r="G40" s="326"/>
      <c r="H40" s="359"/>
    </row>
    <row r="41" spans="1:8" ht="16.5" customHeight="1">
      <c r="A41" s="322"/>
      <c r="B41" s="712" t="s">
        <v>4004</v>
      </c>
      <c r="C41" s="645"/>
      <c r="D41" s="645"/>
      <c r="E41" s="645"/>
      <c r="F41" s="645"/>
      <c r="G41" s="645"/>
      <c r="H41" s="646"/>
    </row>
    <row r="42" spans="1:8" ht="36" customHeight="1">
      <c r="A42" s="323"/>
      <c r="B42" s="647"/>
      <c r="C42" s="648"/>
      <c r="D42" s="648"/>
      <c r="E42" s="648"/>
      <c r="F42" s="648"/>
      <c r="G42" s="648"/>
      <c r="H42" s="649"/>
    </row>
    <row r="43" spans="1:8" ht="16.5" customHeight="1">
      <c r="A43" s="336">
        <v>45544</v>
      </c>
      <c r="B43" s="324" t="s">
        <v>3959</v>
      </c>
      <c r="C43" s="325"/>
      <c r="D43" s="326">
        <v>600000</v>
      </c>
      <c r="E43" s="562" t="s">
        <v>3967</v>
      </c>
      <c r="F43" s="582"/>
      <c r="G43" s="583"/>
      <c r="H43" s="400" t="s">
        <v>3958</v>
      </c>
    </row>
    <row r="44" spans="1:8" ht="16.5" customHeight="1">
      <c r="A44" s="323"/>
      <c r="B44" s="325"/>
      <c r="C44" s="325"/>
      <c r="D44" s="326"/>
      <c r="E44" s="584"/>
      <c r="F44" s="585"/>
      <c r="G44" s="586"/>
      <c r="H44" s="401"/>
    </row>
    <row r="45" spans="1:8" ht="16.5" customHeight="1">
      <c r="A45" s="336">
        <v>45545</v>
      </c>
      <c r="B45" s="324" t="s">
        <v>3964</v>
      </c>
      <c r="C45" s="324"/>
      <c r="D45" s="326">
        <v>2880000</v>
      </c>
      <c r="E45" s="327"/>
      <c r="F45" s="328"/>
      <c r="G45" s="329"/>
      <c r="H45" s="400" t="s">
        <v>3966</v>
      </c>
    </row>
    <row r="46" spans="1:8" ht="16.5" customHeight="1">
      <c r="A46" s="323"/>
      <c r="B46" s="325"/>
      <c r="C46" s="325"/>
      <c r="D46" s="326"/>
      <c r="E46" s="330"/>
      <c r="F46" s="331"/>
      <c r="G46" s="332"/>
      <c r="H46" s="401"/>
    </row>
    <row r="47" spans="1:8" ht="16.5" customHeight="1">
      <c r="A47" s="336">
        <v>45545</v>
      </c>
      <c r="B47" s="324" t="s">
        <v>3965</v>
      </c>
      <c r="C47" s="325"/>
      <c r="D47" s="326">
        <v>1100000</v>
      </c>
      <c r="E47" s="562" t="s">
        <v>3967</v>
      </c>
      <c r="F47" s="582"/>
      <c r="G47" s="583"/>
      <c r="H47" s="325" t="s">
        <v>1524</v>
      </c>
    </row>
    <row r="48" spans="1:8" ht="17.25" customHeight="1">
      <c r="A48" s="323"/>
      <c r="B48" s="325"/>
      <c r="C48" s="325"/>
      <c r="D48" s="326"/>
      <c r="E48" s="584"/>
      <c r="F48" s="585"/>
      <c r="G48" s="586"/>
      <c r="H48" s="325"/>
    </row>
    <row r="49" spans="1:11" ht="16.5" customHeight="1">
      <c r="A49" s="336">
        <v>45546</v>
      </c>
      <c r="B49" s="324" t="s">
        <v>3961</v>
      </c>
      <c r="C49" s="324" t="s">
        <v>3993</v>
      </c>
      <c r="D49" s="326">
        <v>400000</v>
      </c>
      <c r="E49" s="562" t="s">
        <v>3962</v>
      </c>
      <c r="F49" s="582"/>
      <c r="G49" s="583"/>
      <c r="H49" s="360" t="s">
        <v>3963</v>
      </c>
      <c r="K49" s="24"/>
    </row>
    <row r="50" spans="1:11" ht="16.5" customHeight="1">
      <c r="A50" s="323"/>
      <c r="B50" s="325"/>
      <c r="C50" s="325"/>
      <c r="D50" s="326"/>
      <c r="E50" s="584"/>
      <c r="F50" s="585"/>
      <c r="G50" s="586"/>
      <c r="H50" s="359"/>
      <c r="K50" s="24"/>
    </row>
    <row r="51" spans="1:11" ht="16.5" customHeight="1">
      <c r="A51" s="336">
        <v>45546</v>
      </c>
      <c r="B51" s="324" t="s">
        <v>3971</v>
      </c>
      <c r="C51" s="325"/>
      <c r="D51" s="326">
        <v>105000</v>
      </c>
      <c r="E51" s="327" t="s">
        <v>3973</v>
      </c>
      <c r="F51" s="328"/>
      <c r="G51" s="329"/>
      <c r="H51" s="359" t="s">
        <v>3972</v>
      </c>
    </row>
    <row r="52" spans="1:11" ht="16.5" customHeight="1">
      <c r="A52" s="323"/>
      <c r="B52" s="325"/>
      <c r="C52" s="325"/>
      <c r="D52" s="326"/>
      <c r="E52" s="330"/>
      <c r="F52" s="331"/>
      <c r="G52" s="332"/>
      <c r="H52" s="359"/>
    </row>
    <row r="53" spans="1:11" ht="16.5" customHeight="1">
      <c r="A53" s="322">
        <v>45547</v>
      </c>
      <c r="B53" s="324" t="s">
        <v>3975</v>
      </c>
      <c r="C53" s="325" t="s">
        <v>3977</v>
      </c>
      <c r="D53" s="326">
        <v>280000</v>
      </c>
      <c r="E53" s="327" t="s">
        <v>3994</v>
      </c>
      <c r="F53" s="328"/>
      <c r="G53" s="329"/>
      <c r="H53" s="359" t="s">
        <v>3974</v>
      </c>
    </row>
    <row r="54" spans="1:11" ht="16.5" customHeight="1">
      <c r="A54" s="323"/>
      <c r="B54" s="325"/>
      <c r="C54" s="325"/>
      <c r="D54" s="326"/>
      <c r="E54" s="330"/>
      <c r="F54" s="331"/>
      <c r="G54" s="332"/>
      <c r="H54" s="359"/>
    </row>
    <row r="55" spans="1:11" ht="16.5" customHeight="1">
      <c r="A55" s="322">
        <v>45547</v>
      </c>
      <c r="B55" s="324" t="s">
        <v>3976</v>
      </c>
      <c r="C55" s="325" t="s">
        <v>3978</v>
      </c>
      <c r="D55" s="326">
        <v>540000</v>
      </c>
      <c r="E55" s="327" t="s">
        <v>3979</v>
      </c>
      <c r="F55" s="328"/>
      <c r="G55" s="329"/>
      <c r="H55" s="359" t="s">
        <v>3980</v>
      </c>
    </row>
    <row r="56" spans="1:11" ht="16.5" customHeight="1">
      <c r="A56" s="323"/>
      <c r="B56" s="325"/>
      <c r="C56" s="325"/>
      <c r="D56" s="326"/>
      <c r="E56" s="330"/>
      <c r="F56" s="331"/>
      <c r="G56" s="332"/>
      <c r="H56" s="359"/>
    </row>
    <row r="57" spans="1:11" ht="16.5" customHeight="1">
      <c r="A57" s="322">
        <v>45548</v>
      </c>
      <c r="B57" s="324" t="s">
        <v>3995</v>
      </c>
      <c r="C57" s="326"/>
      <c r="D57" s="326">
        <v>510000</v>
      </c>
      <c r="E57" s="562" t="s">
        <v>3983</v>
      </c>
      <c r="F57" s="582"/>
      <c r="G57" s="583"/>
      <c r="H57" s="359" t="s">
        <v>3996</v>
      </c>
    </row>
    <row r="58" spans="1:11" ht="16.5" customHeight="1">
      <c r="A58" s="323"/>
      <c r="B58" s="325"/>
      <c r="C58" s="326"/>
      <c r="D58" s="326"/>
      <c r="E58" s="584"/>
      <c r="F58" s="585"/>
      <c r="G58" s="586"/>
      <c r="H58" s="359"/>
    </row>
    <row r="59" spans="1:11" ht="16.5" customHeight="1">
      <c r="A59" s="322">
        <v>45548</v>
      </c>
      <c r="B59" s="324" t="s">
        <v>3982</v>
      </c>
      <c r="C59" s="325"/>
      <c r="D59" s="326">
        <v>320000</v>
      </c>
      <c r="E59" s="574" t="s">
        <v>3984</v>
      </c>
      <c r="F59" s="575"/>
      <c r="G59" s="575"/>
      <c r="H59" s="359" t="s">
        <v>3996</v>
      </c>
      <c r="I59" s="3"/>
      <c r="K59" s="23"/>
    </row>
    <row r="60" spans="1:11" ht="24.75" customHeight="1">
      <c r="A60" s="323"/>
      <c r="B60" s="325"/>
      <c r="C60" s="325"/>
      <c r="D60" s="326"/>
      <c r="E60" s="575"/>
      <c r="F60" s="575"/>
      <c r="G60" s="575"/>
      <c r="H60" s="359"/>
    </row>
    <row r="61" spans="1:11" ht="16.5" customHeight="1">
      <c r="A61" s="322">
        <v>45548</v>
      </c>
      <c r="B61" s="324" t="s">
        <v>3997</v>
      </c>
      <c r="C61" s="324" t="s">
        <v>4000</v>
      </c>
      <c r="D61" s="326">
        <v>220000</v>
      </c>
      <c r="E61" s="327" t="s">
        <v>3999</v>
      </c>
      <c r="F61" s="328"/>
      <c r="G61" s="329"/>
      <c r="H61" s="359" t="s">
        <v>3998</v>
      </c>
    </row>
    <row r="62" spans="1:11" ht="16.5" customHeight="1">
      <c r="A62" s="323"/>
      <c r="B62" s="325"/>
      <c r="C62" s="325"/>
      <c r="D62" s="326"/>
      <c r="E62" s="330"/>
      <c r="F62" s="331"/>
      <c r="G62" s="332"/>
      <c r="H62" s="359"/>
    </row>
    <row r="63" spans="1:11" ht="16.5" customHeight="1">
      <c r="A63" s="322">
        <v>45548</v>
      </c>
      <c r="B63" s="324" t="s">
        <v>4002</v>
      </c>
      <c r="C63" s="325"/>
      <c r="D63" s="326">
        <v>88000</v>
      </c>
      <c r="E63" s="327" t="s">
        <v>4003</v>
      </c>
      <c r="F63" s="328"/>
      <c r="G63" s="329"/>
      <c r="H63" s="359" t="s">
        <v>4001</v>
      </c>
    </row>
    <row r="64" spans="1:11" ht="16.5" customHeight="1">
      <c r="A64" s="323"/>
      <c r="B64" s="325"/>
      <c r="C64" s="325"/>
      <c r="D64" s="326"/>
      <c r="E64" s="330"/>
      <c r="F64" s="331"/>
      <c r="G64" s="332"/>
      <c r="H64" s="359"/>
    </row>
    <row r="65" spans="1:8">
      <c r="A65" s="334">
        <v>45548</v>
      </c>
      <c r="B65" s="324" t="s">
        <v>41</v>
      </c>
      <c r="C65" s="325"/>
      <c r="D65" s="326">
        <v>5000</v>
      </c>
      <c r="E65" s="326">
        <v>520</v>
      </c>
      <c r="F65" s="326"/>
      <c r="G65" s="326"/>
      <c r="H65" s="359" t="s">
        <v>4005</v>
      </c>
    </row>
    <row r="66" spans="1:8">
      <c r="A66" s="323"/>
      <c r="B66" s="325"/>
      <c r="C66" s="325"/>
      <c r="D66" s="326"/>
      <c r="E66" s="326"/>
      <c r="F66" s="326"/>
      <c r="G66" s="326"/>
      <c r="H66" s="359"/>
    </row>
    <row r="67" spans="1:8" ht="16.5" customHeight="1">
      <c r="A67" s="334">
        <v>45548</v>
      </c>
      <c r="B67" s="324" t="s">
        <v>4007</v>
      </c>
      <c r="C67" s="325"/>
      <c r="D67" s="326">
        <v>20000</v>
      </c>
      <c r="E67" s="326" t="s">
        <v>4008</v>
      </c>
      <c r="F67" s="326"/>
      <c r="G67" s="326"/>
      <c r="H67" s="359" t="s">
        <v>4006</v>
      </c>
    </row>
    <row r="68" spans="1:8" ht="16.5" customHeight="1">
      <c r="A68" s="323"/>
      <c r="B68" s="325"/>
      <c r="C68" s="325"/>
      <c r="D68" s="326"/>
      <c r="E68" s="326"/>
      <c r="F68" s="326"/>
      <c r="G68" s="326"/>
      <c r="H68" s="359"/>
    </row>
    <row r="69" spans="1:8" ht="16.5" customHeight="1">
      <c r="A69" s="313"/>
      <c r="B69" s="644" t="s">
        <v>4017</v>
      </c>
      <c r="C69" s="645"/>
      <c r="D69" s="645"/>
      <c r="E69" s="645"/>
      <c r="F69" s="645"/>
      <c r="G69" s="645"/>
      <c r="H69" s="646"/>
    </row>
    <row r="70" spans="1:8" ht="36" customHeight="1">
      <c r="A70" s="305"/>
      <c r="B70" s="647"/>
      <c r="C70" s="648"/>
      <c r="D70" s="648"/>
      <c r="E70" s="648"/>
      <c r="F70" s="648"/>
      <c r="G70" s="648"/>
      <c r="H70" s="649"/>
    </row>
    <row r="71" spans="1:8" ht="16.5" customHeight="1">
      <c r="A71" s="313">
        <v>45554</v>
      </c>
      <c r="B71" s="324" t="s">
        <v>4009</v>
      </c>
      <c r="C71" s="325"/>
      <c r="D71" s="326">
        <v>825000</v>
      </c>
      <c r="E71" s="327" t="s">
        <v>4027</v>
      </c>
      <c r="F71" s="328"/>
      <c r="G71" s="329"/>
      <c r="H71" s="359" t="s">
        <v>4096</v>
      </c>
    </row>
    <row r="72" spans="1:8" ht="16.5" customHeight="1">
      <c r="A72" s="305"/>
      <c r="B72" s="325"/>
      <c r="C72" s="325"/>
      <c r="D72" s="326"/>
      <c r="E72" s="330"/>
      <c r="F72" s="331"/>
      <c r="G72" s="332"/>
      <c r="H72" s="359"/>
    </row>
    <row r="73" spans="1:8">
      <c r="A73" s="313">
        <v>45554</v>
      </c>
      <c r="B73" s="324" t="s">
        <v>4010</v>
      </c>
      <c r="C73" s="325"/>
      <c r="D73" s="326">
        <v>230000</v>
      </c>
      <c r="E73" s="326"/>
      <c r="F73" s="326"/>
      <c r="G73" s="326"/>
      <c r="H73" s="359" t="s">
        <v>4013</v>
      </c>
    </row>
    <row r="74" spans="1:8">
      <c r="A74" s="305"/>
      <c r="B74" s="325"/>
      <c r="C74" s="325"/>
      <c r="D74" s="326"/>
      <c r="E74" s="326"/>
      <c r="F74" s="326"/>
      <c r="G74" s="326"/>
      <c r="H74" s="359"/>
    </row>
    <row r="75" spans="1:8" ht="16.5" customHeight="1">
      <c r="A75" s="313">
        <v>45554</v>
      </c>
      <c r="B75" s="324" t="s">
        <v>4012</v>
      </c>
      <c r="C75" s="325"/>
      <c r="D75" s="326">
        <v>170000</v>
      </c>
      <c r="E75" s="327"/>
      <c r="F75" s="328"/>
      <c r="G75" s="329"/>
      <c r="H75" s="360" t="s">
        <v>4014</v>
      </c>
    </row>
    <row r="76" spans="1:8" ht="16.5" customHeight="1">
      <c r="A76" s="305"/>
      <c r="B76" s="325"/>
      <c r="C76" s="325"/>
      <c r="D76" s="326"/>
      <c r="E76" s="330"/>
      <c r="F76" s="331"/>
      <c r="G76" s="332"/>
      <c r="H76" s="359"/>
    </row>
    <row r="77" spans="1:8" ht="16.5" customHeight="1">
      <c r="A77" s="313">
        <v>45555</v>
      </c>
      <c r="B77" s="324" t="s">
        <v>4019</v>
      </c>
      <c r="C77" s="325"/>
      <c r="D77" s="326">
        <v>950000</v>
      </c>
      <c r="E77" s="562" t="s">
        <v>4015</v>
      </c>
      <c r="F77" s="582"/>
      <c r="G77" s="583"/>
      <c r="H77" s="360" t="s">
        <v>145</v>
      </c>
    </row>
    <row r="78" spans="1:8" ht="16.5" customHeight="1">
      <c r="A78" s="305"/>
      <c r="B78" s="325"/>
      <c r="C78" s="325"/>
      <c r="D78" s="326"/>
      <c r="E78" s="584"/>
      <c r="F78" s="585"/>
      <c r="G78" s="586"/>
      <c r="H78" s="359"/>
    </row>
    <row r="79" spans="1:8">
      <c r="A79" s="313">
        <v>45555</v>
      </c>
      <c r="B79" s="325" t="s">
        <v>4020</v>
      </c>
      <c r="C79" s="325"/>
      <c r="D79" s="326">
        <v>1080000</v>
      </c>
      <c r="E79" s="575" t="s">
        <v>4015</v>
      </c>
      <c r="F79" s="575"/>
      <c r="G79" s="575"/>
      <c r="H79" s="360" t="s">
        <v>4011</v>
      </c>
    </row>
    <row r="80" spans="1:8">
      <c r="A80" s="305"/>
      <c r="B80" s="353"/>
      <c r="C80" s="353"/>
      <c r="D80" s="343"/>
      <c r="E80" s="834"/>
      <c r="F80" s="834"/>
      <c r="G80" s="834"/>
      <c r="H80" s="359"/>
    </row>
    <row r="81" spans="1:10">
      <c r="A81" s="313">
        <v>45555</v>
      </c>
      <c r="B81" s="325" t="s">
        <v>4021</v>
      </c>
      <c r="C81" s="325"/>
      <c r="D81" s="326">
        <v>550000</v>
      </c>
      <c r="E81" s="326" t="s">
        <v>4016</v>
      </c>
      <c r="F81" s="326"/>
      <c r="G81" s="326"/>
      <c r="H81" s="325" t="s">
        <v>4018</v>
      </c>
    </row>
    <row r="82" spans="1:10">
      <c r="A82" s="305"/>
      <c r="B82" s="325"/>
      <c r="C82" s="325"/>
      <c r="D82" s="326"/>
      <c r="E82" s="326"/>
      <c r="F82" s="326"/>
      <c r="G82" s="326"/>
      <c r="H82" s="325"/>
    </row>
    <row r="83" spans="1:10">
      <c r="A83" s="797">
        <v>45556</v>
      </c>
      <c r="B83" s="325" t="s">
        <v>4022</v>
      </c>
      <c r="C83" s="325"/>
      <c r="D83" s="326">
        <v>3000000</v>
      </c>
      <c r="E83" s="326"/>
      <c r="F83" s="326"/>
      <c r="G83" s="326"/>
      <c r="H83" s="325" t="s">
        <v>4023</v>
      </c>
    </row>
    <row r="84" spans="1:10">
      <c r="A84" s="798"/>
      <c r="B84" s="325"/>
      <c r="C84" s="325"/>
      <c r="D84" s="326"/>
      <c r="E84" s="326"/>
      <c r="F84" s="326"/>
      <c r="G84" s="326"/>
      <c r="H84" s="325"/>
    </row>
    <row r="85" spans="1:10">
      <c r="A85" s="835"/>
      <c r="B85" s="837" t="s">
        <v>4049</v>
      </c>
      <c r="C85" s="838"/>
      <c r="D85" s="838"/>
      <c r="E85" s="838"/>
      <c r="F85" s="838"/>
      <c r="G85" s="838"/>
      <c r="H85" s="839"/>
    </row>
    <row r="86" spans="1:10" ht="60.75" customHeight="1">
      <c r="A86" s="836"/>
      <c r="B86" s="840"/>
      <c r="C86" s="841"/>
      <c r="D86" s="841"/>
      <c r="E86" s="841"/>
      <c r="F86" s="841"/>
      <c r="G86" s="841"/>
      <c r="H86" s="842"/>
    </row>
    <row r="87" spans="1:10">
      <c r="A87" s="797">
        <v>45558</v>
      </c>
      <c r="B87" s="325" t="s">
        <v>4025</v>
      </c>
      <c r="C87" s="325"/>
      <c r="D87" s="326">
        <v>550000</v>
      </c>
      <c r="E87" s="575" t="s">
        <v>4026</v>
      </c>
      <c r="F87" s="575"/>
      <c r="G87" s="575"/>
      <c r="H87" s="325" t="s">
        <v>4024</v>
      </c>
    </row>
    <row r="88" spans="1:10">
      <c r="A88" s="798"/>
      <c r="B88" s="325"/>
      <c r="C88" s="325"/>
      <c r="D88" s="326"/>
      <c r="E88" s="575"/>
      <c r="F88" s="575"/>
      <c r="G88" s="575"/>
      <c r="H88" s="325"/>
    </row>
    <row r="89" spans="1:10">
      <c r="A89" s="797">
        <v>45559</v>
      </c>
      <c r="B89" s="352" t="s">
        <v>4029</v>
      </c>
      <c r="C89" s="352"/>
      <c r="D89" s="344">
        <v>2380000</v>
      </c>
      <c r="E89" s="843" t="s">
        <v>4030</v>
      </c>
      <c r="F89" s="843"/>
      <c r="G89" s="843"/>
      <c r="H89" s="325" t="s">
        <v>4032</v>
      </c>
      <c r="J89">
        <v>1030000</v>
      </c>
    </row>
    <row r="90" spans="1:10">
      <c r="A90" s="798"/>
      <c r="B90" s="325"/>
      <c r="C90" s="325"/>
      <c r="D90" s="326"/>
      <c r="E90" s="575"/>
      <c r="F90" s="575"/>
      <c r="G90" s="575"/>
      <c r="H90" s="325"/>
    </row>
    <row r="91" spans="1:10">
      <c r="A91" s="797">
        <v>45559</v>
      </c>
      <c r="B91" s="325" t="s">
        <v>4028</v>
      </c>
      <c r="C91" s="325"/>
      <c r="D91" s="326">
        <v>70000</v>
      </c>
      <c r="E91" s="326"/>
      <c r="F91" s="326"/>
      <c r="G91" s="326"/>
      <c r="H91" s="325" t="s">
        <v>4031</v>
      </c>
      <c r="J91">
        <v>3000000</v>
      </c>
    </row>
    <row r="92" spans="1:10">
      <c r="A92" s="798"/>
      <c r="B92" s="325"/>
      <c r="C92" s="325"/>
      <c r="D92" s="326"/>
      <c r="E92" s="326"/>
      <c r="F92" s="326"/>
      <c r="G92" s="326"/>
      <c r="H92" s="325"/>
      <c r="J92">
        <v>300000</v>
      </c>
    </row>
    <row r="93" spans="1:10">
      <c r="A93" s="797">
        <v>45559</v>
      </c>
      <c r="B93" s="325" t="s">
        <v>4028</v>
      </c>
      <c r="C93" s="325"/>
      <c r="D93" s="326">
        <v>125000</v>
      </c>
      <c r="E93" s="326"/>
      <c r="F93" s="326"/>
      <c r="G93" s="326"/>
      <c r="H93" s="325" t="s">
        <v>4031</v>
      </c>
    </row>
    <row r="94" spans="1:10">
      <c r="A94" s="798"/>
      <c r="B94" s="325"/>
      <c r="C94" s="325"/>
      <c r="D94" s="326"/>
      <c r="E94" s="326"/>
      <c r="F94" s="326"/>
      <c r="G94" s="326"/>
      <c r="H94" s="325"/>
    </row>
    <row r="95" spans="1:10">
      <c r="A95" s="313">
        <v>45560</v>
      </c>
      <c r="B95" s="325" t="s">
        <v>4033</v>
      </c>
      <c r="C95" s="325"/>
      <c r="D95" s="326">
        <v>1080000</v>
      </c>
      <c r="E95" s="574" t="s">
        <v>4034</v>
      </c>
      <c r="F95" s="575"/>
      <c r="G95" s="575"/>
      <c r="H95" s="325" t="s">
        <v>145</v>
      </c>
      <c r="J95">
        <v>660000</v>
      </c>
    </row>
    <row r="96" spans="1:10">
      <c r="A96" s="305"/>
      <c r="B96" s="325"/>
      <c r="C96" s="325"/>
      <c r="D96" s="326"/>
      <c r="E96" s="575"/>
      <c r="F96" s="575"/>
      <c r="G96" s="575"/>
      <c r="H96" s="325"/>
    </row>
    <row r="97" spans="1:10" ht="17.25" customHeight="1">
      <c r="A97" s="313">
        <v>45560</v>
      </c>
      <c r="B97" s="325" t="s">
        <v>4035</v>
      </c>
      <c r="C97" s="325"/>
      <c r="D97" s="326">
        <v>660000</v>
      </c>
      <c r="E97" s="575" t="s">
        <v>4044</v>
      </c>
      <c r="F97" s="575"/>
      <c r="G97" s="575"/>
      <c r="H97" s="762" t="s">
        <v>145</v>
      </c>
      <c r="J97">
        <v>540000</v>
      </c>
    </row>
    <row r="98" spans="1:10" ht="17.25" customHeight="1">
      <c r="A98" s="305"/>
      <c r="B98" s="325"/>
      <c r="C98" s="325"/>
      <c r="D98" s="326"/>
      <c r="E98" s="575"/>
      <c r="F98" s="575"/>
      <c r="G98" s="575"/>
      <c r="H98" s="762"/>
    </row>
    <row r="99" spans="1:10" ht="17.25" customHeight="1">
      <c r="A99" s="313">
        <v>45560</v>
      </c>
      <c r="B99" s="325" t="s">
        <v>4048</v>
      </c>
      <c r="C99" s="325"/>
      <c r="D99" s="326">
        <v>230000</v>
      </c>
      <c r="E99" s="326"/>
      <c r="F99" s="326"/>
      <c r="G99" s="326"/>
      <c r="H99" s="359" t="s">
        <v>4042</v>
      </c>
    </row>
    <row r="100" spans="1:10" ht="17.25" customHeight="1">
      <c r="A100" s="305"/>
      <c r="B100" s="325"/>
      <c r="C100" s="325"/>
      <c r="D100" s="326"/>
      <c r="E100" s="326"/>
      <c r="F100" s="326"/>
      <c r="G100" s="326"/>
      <c r="H100" s="359"/>
    </row>
    <row r="101" spans="1:10">
      <c r="A101" s="313">
        <v>45561</v>
      </c>
      <c r="B101" s="325" t="s">
        <v>4039</v>
      </c>
      <c r="C101" s="325"/>
      <c r="D101" s="326">
        <v>850000</v>
      </c>
      <c r="E101" s="574" t="s">
        <v>4037</v>
      </c>
      <c r="F101" s="575"/>
      <c r="G101" s="575"/>
      <c r="H101" s="359" t="s">
        <v>4041</v>
      </c>
    </row>
    <row r="102" spans="1:10">
      <c r="A102" s="305"/>
      <c r="B102" s="325"/>
      <c r="C102" s="325"/>
      <c r="D102" s="326"/>
      <c r="E102" s="575"/>
      <c r="F102" s="575"/>
      <c r="G102" s="575"/>
      <c r="H102" s="359"/>
    </row>
    <row r="103" spans="1:10">
      <c r="A103" s="313">
        <v>45561</v>
      </c>
      <c r="B103" s="325" t="s">
        <v>4040</v>
      </c>
      <c r="C103" s="325"/>
      <c r="D103" s="326">
        <v>1140000</v>
      </c>
      <c r="E103" s="575" t="s">
        <v>4038</v>
      </c>
      <c r="F103" s="575"/>
      <c r="G103" s="575"/>
      <c r="H103" s="359" t="s">
        <v>3155</v>
      </c>
    </row>
    <row r="104" spans="1:10">
      <c r="A104" s="305"/>
      <c r="B104" s="325"/>
      <c r="C104" s="325"/>
      <c r="D104" s="326"/>
      <c r="E104" s="575"/>
      <c r="F104" s="575"/>
      <c r="G104" s="575"/>
      <c r="H104" s="359"/>
    </row>
    <row r="105" spans="1:10">
      <c r="A105" s="313">
        <v>45561</v>
      </c>
      <c r="B105" s="325" t="s">
        <v>4036</v>
      </c>
      <c r="C105" s="307"/>
      <c r="D105" s="309">
        <v>1250000</v>
      </c>
      <c r="E105" s="575" t="s">
        <v>4038</v>
      </c>
      <c r="F105" s="575"/>
      <c r="G105" s="575"/>
      <c r="H105" s="762" t="s">
        <v>4042</v>
      </c>
    </row>
    <row r="106" spans="1:10">
      <c r="A106" s="305"/>
      <c r="B106" s="325"/>
      <c r="C106" s="307"/>
      <c r="D106" s="309"/>
      <c r="E106" s="575"/>
      <c r="F106" s="575"/>
      <c r="G106" s="575"/>
      <c r="H106" s="762"/>
    </row>
    <row r="107" spans="1:10">
      <c r="A107" s="313">
        <v>45562</v>
      </c>
      <c r="B107" s="307" t="s">
        <v>4046</v>
      </c>
      <c r="C107" s="307"/>
      <c r="D107" s="309">
        <v>294000</v>
      </c>
      <c r="E107" s="309"/>
      <c r="F107" s="309"/>
      <c r="G107" s="309"/>
      <c r="H107" s="762" t="s">
        <v>4043</v>
      </c>
    </row>
    <row r="108" spans="1:10">
      <c r="A108" s="305"/>
      <c r="B108" s="307"/>
      <c r="C108" s="307"/>
      <c r="D108" s="309"/>
      <c r="E108" s="309"/>
      <c r="F108" s="309"/>
      <c r="G108" s="309"/>
      <c r="H108" s="762"/>
    </row>
    <row r="109" spans="1:10">
      <c r="A109" s="313">
        <v>45562</v>
      </c>
      <c r="B109" s="307" t="s">
        <v>4045</v>
      </c>
      <c r="C109" s="307"/>
      <c r="D109" s="309">
        <v>540000</v>
      </c>
      <c r="E109" s="575" t="s">
        <v>4047</v>
      </c>
      <c r="F109" s="575"/>
      <c r="G109" s="575"/>
      <c r="H109" s="762" t="s">
        <v>145</v>
      </c>
    </row>
    <row r="110" spans="1:10">
      <c r="A110" s="305"/>
      <c r="B110" s="307"/>
      <c r="C110" s="307"/>
      <c r="D110" s="309"/>
      <c r="E110" s="575"/>
      <c r="F110" s="575"/>
      <c r="G110" s="575"/>
      <c r="H110" s="762"/>
    </row>
    <row r="111" spans="1:10" ht="17.25" customHeight="1">
      <c r="A111" s="313">
        <v>45565</v>
      </c>
      <c r="B111" s="307" t="s">
        <v>4094</v>
      </c>
      <c r="C111" s="307"/>
      <c r="D111" s="309">
        <v>190000</v>
      </c>
      <c r="E111" s="309"/>
      <c r="F111" s="309"/>
      <c r="G111" s="309"/>
      <c r="H111" s="762" t="s">
        <v>4095</v>
      </c>
    </row>
    <row r="112" spans="1:10" ht="17.25" customHeight="1">
      <c r="A112" s="305"/>
      <c r="B112" s="307"/>
      <c r="C112" s="307"/>
      <c r="D112" s="309"/>
      <c r="E112" s="309"/>
      <c r="F112" s="309"/>
      <c r="G112" s="309"/>
      <c r="H112" s="762"/>
    </row>
    <row r="113" spans="1:8">
      <c r="A113" s="305"/>
      <c r="B113" s="844" t="s">
        <v>4093</v>
      </c>
      <c r="C113" s="845"/>
      <c r="D113" s="845"/>
      <c r="E113" s="845"/>
      <c r="F113" s="845"/>
      <c r="G113" s="845"/>
      <c r="H113" s="846"/>
    </row>
    <row r="114" spans="1:8" ht="51" customHeight="1">
      <c r="A114" s="305"/>
      <c r="B114" s="847"/>
      <c r="C114" s="848"/>
      <c r="D114" s="848"/>
      <c r="E114" s="848"/>
      <c r="F114" s="848"/>
      <c r="G114" s="848"/>
      <c r="H114" s="849"/>
    </row>
    <row r="115" spans="1:8">
      <c r="A115" s="305"/>
      <c r="B115" s="307"/>
      <c r="C115" s="307"/>
      <c r="D115" s="309"/>
      <c r="E115" s="309"/>
      <c r="F115" s="309"/>
      <c r="G115" s="309"/>
      <c r="H115" s="311"/>
    </row>
    <row r="116" spans="1:8">
      <c r="A116" s="305"/>
      <c r="B116" s="307"/>
      <c r="C116" s="307"/>
      <c r="D116" s="309"/>
      <c r="E116" s="309"/>
      <c r="F116" s="309"/>
      <c r="G116" s="309"/>
      <c r="H116" s="311"/>
    </row>
    <row r="117" spans="1:8">
      <c r="A117" s="305"/>
      <c r="B117" s="307"/>
      <c r="C117" s="307"/>
      <c r="D117" s="309"/>
      <c r="E117" s="309"/>
      <c r="F117" s="309"/>
      <c r="G117" s="309"/>
      <c r="H117" s="311"/>
    </row>
    <row r="118" spans="1:8">
      <c r="A118" s="305"/>
      <c r="B118" s="307"/>
      <c r="C118" s="307"/>
      <c r="D118" s="309"/>
      <c r="E118" s="309"/>
      <c r="F118" s="309"/>
      <c r="G118" s="309"/>
      <c r="H118" s="311"/>
    </row>
    <row r="119" spans="1:8">
      <c r="A119" s="305"/>
      <c r="B119" s="307"/>
      <c r="C119" s="307"/>
      <c r="D119" s="309"/>
      <c r="E119" s="309"/>
      <c r="F119" s="309"/>
      <c r="G119" s="309"/>
      <c r="H119" s="311"/>
    </row>
    <row r="120" spans="1:8">
      <c r="A120" s="305"/>
      <c r="B120" s="307"/>
      <c r="C120" s="307"/>
      <c r="D120" s="309"/>
      <c r="E120" s="309"/>
      <c r="F120" s="309"/>
      <c r="G120" s="309"/>
      <c r="H120" s="311"/>
    </row>
    <row r="121" spans="1:8">
      <c r="A121" s="305"/>
      <c r="B121" s="307"/>
      <c r="C121" s="307"/>
      <c r="D121" s="309"/>
      <c r="E121" s="309"/>
      <c r="F121" s="309"/>
      <c r="G121" s="309"/>
      <c r="H121" s="311"/>
    </row>
    <row r="122" spans="1:8">
      <c r="A122" s="305"/>
      <c r="B122" s="307"/>
      <c r="C122" s="307"/>
      <c r="D122" s="309"/>
      <c r="E122" s="309"/>
      <c r="F122" s="309"/>
      <c r="G122" s="309"/>
      <c r="H122" s="311"/>
    </row>
    <row r="123" spans="1:8">
      <c r="A123" s="305"/>
      <c r="B123" s="307"/>
      <c r="C123" s="307"/>
      <c r="D123" s="309"/>
      <c r="E123" s="309"/>
      <c r="F123" s="309"/>
      <c r="G123" s="309"/>
      <c r="H123" s="311"/>
    </row>
    <row r="124" spans="1:8">
      <c r="A124" s="305"/>
      <c r="B124" s="307"/>
      <c r="C124" s="307"/>
      <c r="D124" s="309"/>
      <c r="E124" s="309"/>
      <c r="F124" s="309"/>
      <c r="G124" s="309"/>
      <c r="H124" s="311"/>
    </row>
    <row r="125" spans="1:8">
      <c r="A125" s="305"/>
      <c r="B125" s="307"/>
      <c r="C125" s="307"/>
      <c r="D125" s="309"/>
      <c r="E125" s="309"/>
      <c r="F125" s="309"/>
      <c r="G125" s="309"/>
      <c r="H125" s="311"/>
    </row>
    <row r="126" spans="1:8">
      <c r="A126" s="305"/>
      <c r="B126" s="307"/>
      <c r="C126" s="307"/>
      <c r="D126" s="309"/>
      <c r="E126" s="309"/>
      <c r="F126" s="309"/>
      <c r="G126" s="309"/>
      <c r="H126" s="311"/>
    </row>
    <row r="127" spans="1:8" ht="17.25" customHeight="1">
      <c r="A127" s="305"/>
      <c r="B127" s="307"/>
      <c r="C127" s="307"/>
      <c r="D127" s="309"/>
      <c r="E127" s="309"/>
      <c r="F127" s="309"/>
      <c r="G127" s="309"/>
      <c r="H127" s="311"/>
    </row>
    <row r="128" spans="1:8" ht="17.25" customHeight="1">
      <c r="A128" s="305"/>
      <c r="B128" s="307"/>
      <c r="C128" s="307"/>
      <c r="D128" s="309"/>
      <c r="E128" s="309"/>
      <c r="F128" s="309"/>
      <c r="G128" s="309"/>
      <c r="H128" s="311"/>
    </row>
  </sheetData>
  <mergeCells count="367">
    <mergeCell ref="A127:A128"/>
    <mergeCell ref="B127:B128"/>
    <mergeCell ref="C127:C128"/>
    <mergeCell ref="D127:D128"/>
    <mergeCell ref="E127:G128"/>
    <mergeCell ref="H127:H128"/>
    <mergeCell ref="A125:A126"/>
    <mergeCell ref="B125:B126"/>
    <mergeCell ref="C125:C126"/>
    <mergeCell ref="D125:D126"/>
    <mergeCell ref="E125:G126"/>
    <mergeCell ref="H125:H126"/>
    <mergeCell ref="A123:A124"/>
    <mergeCell ref="B123:B124"/>
    <mergeCell ref="C123:C124"/>
    <mergeCell ref="D123:D124"/>
    <mergeCell ref="E123:G124"/>
    <mergeCell ref="H123:H124"/>
    <mergeCell ref="A121:A122"/>
    <mergeCell ref="B121:B122"/>
    <mergeCell ref="C121:C122"/>
    <mergeCell ref="D121:D122"/>
    <mergeCell ref="E121:G122"/>
    <mergeCell ref="H121:H122"/>
    <mergeCell ref="A119:A120"/>
    <mergeCell ref="B119:B120"/>
    <mergeCell ref="C119:C120"/>
    <mergeCell ref="D119:D120"/>
    <mergeCell ref="E119:G120"/>
    <mergeCell ref="H119:H120"/>
    <mergeCell ref="A117:A118"/>
    <mergeCell ref="B117:B118"/>
    <mergeCell ref="C117:C118"/>
    <mergeCell ref="D117:D118"/>
    <mergeCell ref="E117:G118"/>
    <mergeCell ref="H117:H118"/>
    <mergeCell ref="A115:A116"/>
    <mergeCell ref="B115:B116"/>
    <mergeCell ref="C115:C116"/>
    <mergeCell ref="D115:D116"/>
    <mergeCell ref="E115:G116"/>
    <mergeCell ref="H115:H116"/>
    <mergeCell ref="A113:A114"/>
    <mergeCell ref="B113:H114"/>
    <mergeCell ref="A111:A112"/>
    <mergeCell ref="B111:B112"/>
    <mergeCell ref="C111:C112"/>
    <mergeCell ref="D111:D112"/>
    <mergeCell ref="E111:G112"/>
    <mergeCell ref="H111:H112"/>
    <mergeCell ref="A109:A110"/>
    <mergeCell ref="B109:B110"/>
    <mergeCell ref="C109:C110"/>
    <mergeCell ref="D109:D110"/>
    <mergeCell ref="E109:G110"/>
    <mergeCell ref="H109:H110"/>
    <mergeCell ref="A107:A108"/>
    <mergeCell ref="B107:B108"/>
    <mergeCell ref="C107:C108"/>
    <mergeCell ref="D107:D108"/>
    <mergeCell ref="E107:G108"/>
    <mergeCell ref="H107:H108"/>
    <mergeCell ref="A105:A106"/>
    <mergeCell ref="B105:B106"/>
    <mergeCell ref="C105:C106"/>
    <mergeCell ref="D105:D106"/>
    <mergeCell ref="E105:G106"/>
    <mergeCell ref="H105:H106"/>
    <mergeCell ref="A103:A104"/>
    <mergeCell ref="B103:B104"/>
    <mergeCell ref="C103:C104"/>
    <mergeCell ref="D103:D104"/>
    <mergeCell ref="E103:G104"/>
    <mergeCell ref="H103:H104"/>
    <mergeCell ref="A101:A102"/>
    <mergeCell ref="B101:B102"/>
    <mergeCell ref="C101:C102"/>
    <mergeCell ref="D101:D102"/>
    <mergeCell ref="E101:G102"/>
    <mergeCell ref="H101:H102"/>
    <mergeCell ref="A99:A100"/>
    <mergeCell ref="B99:B100"/>
    <mergeCell ref="C99:C100"/>
    <mergeCell ref="D99:D100"/>
    <mergeCell ref="E99:G100"/>
    <mergeCell ref="H99:H100"/>
    <mergeCell ref="A97:A98"/>
    <mergeCell ref="B97:B98"/>
    <mergeCell ref="C97:C98"/>
    <mergeCell ref="D97:D98"/>
    <mergeCell ref="E97:G98"/>
    <mergeCell ref="H97:H98"/>
    <mergeCell ref="A95:A96"/>
    <mergeCell ref="B95:B96"/>
    <mergeCell ref="C95:C96"/>
    <mergeCell ref="D95:D96"/>
    <mergeCell ref="E95:G96"/>
    <mergeCell ref="H95:H96"/>
    <mergeCell ref="A93:A94"/>
    <mergeCell ref="B93:B94"/>
    <mergeCell ref="C93:C94"/>
    <mergeCell ref="D93:D94"/>
    <mergeCell ref="E93:G94"/>
    <mergeCell ref="H93:H94"/>
    <mergeCell ref="A91:A92"/>
    <mergeCell ref="B91:B92"/>
    <mergeCell ref="C91:C92"/>
    <mergeCell ref="D91:D92"/>
    <mergeCell ref="E91:G92"/>
    <mergeCell ref="H91:H92"/>
    <mergeCell ref="A89:A90"/>
    <mergeCell ref="B89:B90"/>
    <mergeCell ref="C89:C90"/>
    <mergeCell ref="D89:D90"/>
    <mergeCell ref="E89:G90"/>
    <mergeCell ref="H89:H90"/>
    <mergeCell ref="A87:A88"/>
    <mergeCell ref="B87:B88"/>
    <mergeCell ref="C87:C88"/>
    <mergeCell ref="D87:D88"/>
    <mergeCell ref="E87:G88"/>
    <mergeCell ref="H87:H88"/>
    <mergeCell ref="A85:A86"/>
    <mergeCell ref="B85:H86"/>
    <mergeCell ref="A83:A84"/>
    <mergeCell ref="B83:B84"/>
    <mergeCell ref="C83:C84"/>
    <mergeCell ref="D83:D84"/>
    <mergeCell ref="E83:G84"/>
    <mergeCell ref="H83:H84"/>
    <mergeCell ref="A81:A82"/>
    <mergeCell ref="B81:B82"/>
    <mergeCell ref="C81:C82"/>
    <mergeCell ref="D81:D82"/>
    <mergeCell ref="E81:G82"/>
    <mergeCell ref="H81:H82"/>
    <mergeCell ref="A79:A80"/>
    <mergeCell ref="B79:B80"/>
    <mergeCell ref="C79:C80"/>
    <mergeCell ref="D79:D80"/>
    <mergeCell ref="E79:G80"/>
    <mergeCell ref="H79:H80"/>
    <mergeCell ref="A77:A78"/>
    <mergeCell ref="B77:B78"/>
    <mergeCell ref="C77:C78"/>
    <mergeCell ref="D77:D78"/>
    <mergeCell ref="E77:G78"/>
    <mergeCell ref="H77:H78"/>
    <mergeCell ref="B69:H70"/>
    <mergeCell ref="A71:A72"/>
    <mergeCell ref="B71:B72"/>
    <mergeCell ref="C71:C72"/>
    <mergeCell ref="D71:D72"/>
    <mergeCell ref="E71:G72"/>
    <mergeCell ref="H71:H72"/>
    <mergeCell ref="A69:A70"/>
    <mergeCell ref="A75:A76"/>
    <mergeCell ref="B75:B76"/>
    <mergeCell ref="C75:C76"/>
    <mergeCell ref="D75:D76"/>
    <mergeCell ref="E75:G76"/>
    <mergeCell ref="H75:H76"/>
    <mergeCell ref="A73:A74"/>
    <mergeCell ref="B73:B74"/>
    <mergeCell ref="C73:C74"/>
    <mergeCell ref="D73:D74"/>
    <mergeCell ref="E73:G74"/>
    <mergeCell ref="H73:H74"/>
    <mergeCell ref="A63:A64"/>
    <mergeCell ref="B63:B64"/>
    <mergeCell ref="C63:C64"/>
    <mergeCell ref="D63:D64"/>
    <mergeCell ref="E63:G64"/>
    <mergeCell ref="H63:H64"/>
    <mergeCell ref="A67:A68"/>
    <mergeCell ref="B67:B68"/>
    <mergeCell ref="C67:C68"/>
    <mergeCell ref="D67:D68"/>
    <mergeCell ref="E67:G68"/>
    <mergeCell ref="H67:H68"/>
    <mergeCell ref="A65:A66"/>
    <mergeCell ref="B65:B66"/>
    <mergeCell ref="C65:C66"/>
    <mergeCell ref="D65:D66"/>
    <mergeCell ref="E65:G66"/>
    <mergeCell ref="H65:H66"/>
    <mergeCell ref="A61:A62"/>
    <mergeCell ref="B61:B62"/>
    <mergeCell ref="C61:C62"/>
    <mergeCell ref="D61:D62"/>
    <mergeCell ref="E61:G62"/>
    <mergeCell ref="H61:H62"/>
    <mergeCell ref="A59:A60"/>
    <mergeCell ref="B59:B60"/>
    <mergeCell ref="C59:C60"/>
    <mergeCell ref="D59:D60"/>
    <mergeCell ref="E59:G60"/>
    <mergeCell ref="H59:H60"/>
    <mergeCell ref="A57:A58"/>
    <mergeCell ref="B57:B58"/>
    <mergeCell ref="C57:C58"/>
    <mergeCell ref="D57:D58"/>
    <mergeCell ref="E57:G58"/>
    <mergeCell ref="H57:H58"/>
    <mergeCell ref="A55:A56"/>
    <mergeCell ref="B55:B56"/>
    <mergeCell ref="C55:C56"/>
    <mergeCell ref="D55:D56"/>
    <mergeCell ref="E55:G56"/>
    <mergeCell ref="H55:H56"/>
    <mergeCell ref="A53:A54"/>
    <mergeCell ref="B53:B54"/>
    <mergeCell ref="C53:C54"/>
    <mergeCell ref="D53:D54"/>
    <mergeCell ref="E53:G54"/>
    <mergeCell ref="H53:H54"/>
    <mergeCell ref="A51:A52"/>
    <mergeCell ref="B51:B52"/>
    <mergeCell ref="C51:C52"/>
    <mergeCell ref="D51:D52"/>
    <mergeCell ref="E51:G52"/>
    <mergeCell ref="H51:H52"/>
    <mergeCell ref="A49:A50"/>
    <mergeCell ref="B49:B50"/>
    <mergeCell ref="C49:C50"/>
    <mergeCell ref="D49:D50"/>
    <mergeCell ref="E49:G50"/>
    <mergeCell ref="H49:H50"/>
    <mergeCell ref="A47:A48"/>
    <mergeCell ref="B47:B48"/>
    <mergeCell ref="C47:C48"/>
    <mergeCell ref="D47:D48"/>
    <mergeCell ref="E47:G48"/>
    <mergeCell ref="H47:H48"/>
    <mergeCell ref="A45:A46"/>
    <mergeCell ref="B45:B46"/>
    <mergeCell ref="C45:C46"/>
    <mergeCell ref="D45:D46"/>
    <mergeCell ref="E45:G46"/>
    <mergeCell ref="H45:H46"/>
    <mergeCell ref="A43:A44"/>
    <mergeCell ref="B43:B44"/>
    <mergeCell ref="C43:C44"/>
    <mergeCell ref="D43:D44"/>
    <mergeCell ref="E43:G44"/>
    <mergeCell ref="H43:H44"/>
    <mergeCell ref="A41:A42"/>
    <mergeCell ref="A39:A40"/>
    <mergeCell ref="B39:B40"/>
    <mergeCell ref="C39:C40"/>
    <mergeCell ref="D39:D40"/>
    <mergeCell ref="E39:G40"/>
    <mergeCell ref="H39:H40"/>
    <mergeCell ref="B41:H42"/>
    <mergeCell ref="A37:A38"/>
    <mergeCell ref="B37:B38"/>
    <mergeCell ref="C37:C38"/>
    <mergeCell ref="D37:D38"/>
    <mergeCell ref="E37:G38"/>
    <mergeCell ref="H37:H38"/>
    <mergeCell ref="A35:A36"/>
    <mergeCell ref="B35:B36"/>
    <mergeCell ref="C35:C36"/>
    <mergeCell ref="D35:D36"/>
    <mergeCell ref="E35:G36"/>
    <mergeCell ref="H35:H36"/>
    <mergeCell ref="H27:H28"/>
    <mergeCell ref="A29:A30"/>
    <mergeCell ref="B29:B30"/>
    <mergeCell ref="C29:C30"/>
    <mergeCell ref="D29:D30"/>
    <mergeCell ref="E29:G30"/>
    <mergeCell ref="H29:H30"/>
    <mergeCell ref="A33:A34"/>
    <mergeCell ref="B33:B34"/>
    <mergeCell ref="C33:C34"/>
    <mergeCell ref="D33:D34"/>
    <mergeCell ref="E33:G34"/>
    <mergeCell ref="H33:H34"/>
    <mergeCell ref="A31:A32"/>
    <mergeCell ref="B31:B32"/>
    <mergeCell ref="C31:C32"/>
    <mergeCell ref="D31:D32"/>
    <mergeCell ref="E31:G32"/>
    <mergeCell ref="H31:H32"/>
    <mergeCell ref="E25:G25"/>
    <mergeCell ref="E26:G26"/>
    <mergeCell ref="A27:A28"/>
    <mergeCell ref="B27:B28"/>
    <mergeCell ref="C27:C28"/>
    <mergeCell ref="D27:D28"/>
    <mergeCell ref="E27:G28"/>
    <mergeCell ref="A23:A24"/>
    <mergeCell ref="B23:B24"/>
    <mergeCell ref="C23:C24"/>
    <mergeCell ref="D23:D24"/>
    <mergeCell ref="E23:G24"/>
    <mergeCell ref="H23:H24"/>
    <mergeCell ref="A21:A22"/>
    <mergeCell ref="B21:B22"/>
    <mergeCell ref="C21:C22"/>
    <mergeCell ref="D21:D22"/>
    <mergeCell ref="E21:G22"/>
    <mergeCell ref="H21:H22"/>
    <mergeCell ref="A19:A20"/>
    <mergeCell ref="B19:B20"/>
    <mergeCell ref="C19:C20"/>
    <mergeCell ref="D19:D20"/>
    <mergeCell ref="E19:G20"/>
    <mergeCell ref="H19:H20"/>
    <mergeCell ref="A17:A18"/>
    <mergeCell ref="B17:B18"/>
    <mergeCell ref="C17:C18"/>
    <mergeCell ref="D17:D18"/>
    <mergeCell ref="E17:G18"/>
    <mergeCell ref="H17:H18"/>
    <mergeCell ref="H13:H14"/>
    <mergeCell ref="A15:A16"/>
    <mergeCell ref="B15:B16"/>
    <mergeCell ref="C15:C16"/>
    <mergeCell ref="D15:D16"/>
    <mergeCell ref="E15:G16"/>
    <mergeCell ref="H15:H16"/>
    <mergeCell ref="E12:G12"/>
    <mergeCell ref="A13:A14"/>
    <mergeCell ref="B13:B14"/>
    <mergeCell ref="C13:C14"/>
    <mergeCell ref="D13:D14"/>
    <mergeCell ref="E13:G14"/>
    <mergeCell ref="A10:A11"/>
    <mergeCell ref="B10:B11"/>
    <mergeCell ref="C10:C11"/>
    <mergeCell ref="D10:D11"/>
    <mergeCell ref="E10:G11"/>
    <mergeCell ref="H10:H11"/>
    <mergeCell ref="A8:A9"/>
    <mergeCell ref="B8:B9"/>
    <mergeCell ref="C8:C9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A3:H3"/>
    <mergeCell ref="A4:A5"/>
    <mergeCell ref="B4:B5"/>
    <mergeCell ref="C4:C5"/>
    <mergeCell ref="D4:D5"/>
    <mergeCell ref="E4:G5"/>
    <mergeCell ref="H4:H5"/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</mergeCells>
  <phoneticPr fontId="1" type="noConversion"/>
  <pageMargins left="0" right="0" top="0" bottom="0" header="0" footer="0"/>
  <pageSetup paperSize="9" scale="36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41"/>
  <sheetViews>
    <sheetView showGridLines="0" zoomScale="115" zoomScaleNormal="115" workbookViewId="0">
      <pane xSplit="8" ySplit="2" topLeftCell="I123" activePane="bottomRight" state="frozen"/>
      <selection pane="topRight" activeCell="I1" sqref="I1"/>
      <selection pane="bottomLeft" activeCell="A3" sqref="A3"/>
      <selection pane="bottomRight" activeCell="E112" sqref="E112:G113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0" max="10" width="13.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  <col min="18" max="18" width="9.5" bestFit="1" customWidth="1"/>
  </cols>
  <sheetData>
    <row r="1" spans="1:18" ht="35.25" customHeight="1" thickBot="1">
      <c r="A1" s="388" t="s">
        <v>4050</v>
      </c>
      <c r="B1" s="389"/>
      <c r="C1" s="402" t="s">
        <v>27</v>
      </c>
      <c r="D1" s="403"/>
      <c r="E1" s="21" t="s">
        <v>26</v>
      </c>
      <c r="F1" s="20">
        <f>H1/31</f>
        <v>1033590.3225806452</v>
      </c>
      <c r="G1" s="21" t="s">
        <v>4</v>
      </c>
      <c r="H1" s="22">
        <f>SUM(D4:D168)</f>
        <v>32041300</v>
      </c>
      <c r="I1" s="392"/>
      <c r="J1" s="338"/>
      <c r="K1" s="394"/>
      <c r="L1" s="396"/>
      <c r="M1" s="377"/>
      <c r="N1" s="379"/>
      <c r="O1" s="381"/>
      <c r="P1" s="383"/>
      <c r="Q1" s="377"/>
      <c r="R1" s="376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385" t="s">
        <v>25</v>
      </c>
      <c r="F2" s="386"/>
      <c r="G2" s="387"/>
      <c r="H2" s="25" t="s">
        <v>5</v>
      </c>
      <c r="I2" s="393"/>
      <c r="J2" s="333"/>
      <c r="K2" s="395"/>
      <c r="L2" s="397"/>
      <c r="M2" s="378"/>
      <c r="N2" s="380"/>
      <c r="O2" s="382"/>
      <c r="P2" s="384"/>
      <c r="Q2" s="378"/>
      <c r="R2" s="376"/>
    </row>
    <row r="3" spans="1:18" ht="36" customHeight="1">
      <c r="A3" s="441" t="s">
        <v>4120</v>
      </c>
      <c r="B3" s="442"/>
      <c r="C3" s="442"/>
      <c r="D3" s="442"/>
      <c r="E3" s="442"/>
      <c r="F3" s="442"/>
      <c r="G3" s="442"/>
      <c r="H3" s="443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322">
        <v>45567</v>
      </c>
      <c r="B4" s="439" t="s">
        <v>4105</v>
      </c>
      <c r="C4" s="341" t="s">
        <v>4106</v>
      </c>
      <c r="D4" s="326">
        <v>810000</v>
      </c>
      <c r="E4" s="562" t="s">
        <v>4101</v>
      </c>
      <c r="F4" s="582"/>
      <c r="G4" s="583"/>
      <c r="H4" s="398" t="s">
        <v>4111</v>
      </c>
      <c r="J4" s="43"/>
    </row>
    <row r="5" spans="1:18" ht="16.5" customHeight="1">
      <c r="A5" s="323"/>
      <c r="B5" s="440"/>
      <c r="C5" s="342"/>
      <c r="D5" s="326"/>
      <c r="E5" s="584"/>
      <c r="F5" s="585"/>
      <c r="G5" s="586"/>
      <c r="H5" s="399"/>
      <c r="J5" s="43"/>
    </row>
    <row r="6" spans="1:18" ht="16.5" customHeight="1">
      <c r="A6" s="322">
        <v>45567</v>
      </c>
      <c r="B6" s="439" t="s">
        <v>4104</v>
      </c>
      <c r="C6" s="341"/>
      <c r="D6" s="343">
        <v>400000</v>
      </c>
      <c r="E6" s="327" t="s">
        <v>4107</v>
      </c>
      <c r="F6" s="345"/>
      <c r="G6" s="346"/>
      <c r="H6" s="398" t="s">
        <v>2257</v>
      </c>
    </row>
    <row r="7" spans="1:18" ht="51" customHeight="1">
      <c r="A7" s="323"/>
      <c r="B7" s="440"/>
      <c r="C7" s="342"/>
      <c r="D7" s="344"/>
      <c r="E7" s="347"/>
      <c r="F7" s="348"/>
      <c r="G7" s="349"/>
      <c r="H7" s="399"/>
    </row>
    <row r="8" spans="1:18" ht="16.5" customHeight="1">
      <c r="A8" s="322">
        <v>45568</v>
      </c>
      <c r="B8" s="444" t="s">
        <v>4103</v>
      </c>
      <c r="C8" s="341"/>
      <c r="D8" s="326">
        <v>190000</v>
      </c>
      <c r="E8" s="327"/>
      <c r="F8" s="328"/>
      <c r="G8" s="329"/>
      <c r="H8" s="398" t="s">
        <v>4102</v>
      </c>
      <c r="J8" s="48"/>
    </row>
    <row r="9" spans="1:18" ht="16.5" customHeight="1">
      <c r="A9" s="323"/>
      <c r="B9" s="445"/>
      <c r="C9" s="342"/>
      <c r="D9" s="326"/>
      <c r="E9" s="330"/>
      <c r="F9" s="331"/>
      <c r="G9" s="332"/>
      <c r="H9" s="399"/>
    </row>
    <row r="10" spans="1:18" ht="16.5" customHeight="1">
      <c r="A10" s="322">
        <v>45568</v>
      </c>
      <c r="B10" s="496" t="s">
        <v>4100</v>
      </c>
      <c r="C10" s="341"/>
      <c r="D10" s="326">
        <v>440000</v>
      </c>
      <c r="E10" s="562" t="s">
        <v>4101</v>
      </c>
      <c r="F10" s="582"/>
      <c r="G10" s="583"/>
      <c r="H10" s="400" t="s">
        <v>4102</v>
      </c>
    </row>
    <row r="11" spans="1:18" ht="26.25" customHeight="1">
      <c r="A11" s="323"/>
      <c r="B11" s="497"/>
      <c r="C11" s="342"/>
      <c r="D11" s="326"/>
      <c r="E11" s="584"/>
      <c r="F11" s="585"/>
      <c r="G11" s="586"/>
      <c r="H11" s="401"/>
    </row>
    <row r="12" spans="1:18" ht="45" customHeight="1">
      <c r="A12" s="144">
        <v>45568</v>
      </c>
      <c r="B12" s="150" t="s">
        <v>4099</v>
      </c>
      <c r="C12" s="145"/>
      <c r="D12" s="146">
        <v>130000</v>
      </c>
      <c r="E12" s="627"/>
      <c r="F12" s="628"/>
      <c r="G12" s="629"/>
      <c r="H12" s="98" t="s">
        <v>4097</v>
      </c>
    </row>
    <row r="13" spans="1:18" ht="16.5" customHeight="1">
      <c r="A13" s="322">
        <v>45569</v>
      </c>
      <c r="B13" s="496" t="s">
        <v>4108</v>
      </c>
      <c r="C13" s="325"/>
      <c r="D13" s="326">
        <v>250000</v>
      </c>
      <c r="E13" s="562" t="s">
        <v>4109</v>
      </c>
      <c r="F13" s="582"/>
      <c r="G13" s="583"/>
      <c r="H13" s="400" t="s">
        <v>4110</v>
      </c>
    </row>
    <row r="14" spans="1:18" ht="18.75" customHeight="1">
      <c r="A14" s="323"/>
      <c r="B14" s="497"/>
      <c r="C14" s="325"/>
      <c r="D14" s="326"/>
      <c r="E14" s="584"/>
      <c r="F14" s="585"/>
      <c r="G14" s="586"/>
      <c r="H14" s="401"/>
    </row>
    <row r="15" spans="1:18" ht="16.5" customHeight="1">
      <c r="A15" s="322">
        <v>45570</v>
      </c>
      <c r="B15" s="496" t="s">
        <v>4098</v>
      </c>
      <c r="C15" s="353"/>
      <c r="D15" s="343">
        <v>40000</v>
      </c>
      <c r="E15" s="327"/>
      <c r="F15" s="345"/>
      <c r="G15" s="346"/>
      <c r="H15" s="400" t="s">
        <v>4110</v>
      </c>
    </row>
    <row r="16" spans="1:18" ht="16.5" customHeight="1">
      <c r="A16" s="323"/>
      <c r="B16" s="497"/>
      <c r="C16" s="352"/>
      <c r="D16" s="344"/>
      <c r="E16" s="347"/>
      <c r="F16" s="348"/>
      <c r="G16" s="349"/>
      <c r="H16" s="401"/>
    </row>
    <row r="17" spans="1:8" ht="16.5" customHeight="1">
      <c r="A17" s="322"/>
      <c r="B17" s="856" t="s">
        <v>4158</v>
      </c>
      <c r="C17" s="857"/>
      <c r="D17" s="857"/>
      <c r="E17" s="857"/>
      <c r="F17" s="857"/>
      <c r="G17" s="857"/>
      <c r="H17" s="858"/>
    </row>
    <row r="18" spans="1:8" ht="48" customHeight="1">
      <c r="A18" s="323"/>
      <c r="B18" s="859"/>
      <c r="C18" s="860"/>
      <c r="D18" s="860"/>
      <c r="E18" s="860"/>
      <c r="F18" s="860"/>
      <c r="G18" s="860"/>
      <c r="H18" s="861"/>
    </row>
    <row r="19" spans="1:8" ht="16.5" customHeight="1">
      <c r="A19" s="322">
        <v>45572</v>
      </c>
      <c r="B19" s="324" t="s">
        <v>4112</v>
      </c>
      <c r="C19" s="324"/>
      <c r="D19" s="326">
        <v>60000</v>
      </c>
      <c r="E19" s="337" t="s">
        <v>4113</v>
      </c>
      <c r="F19" s="326"/>
      <c r="G19" s="326"/>
      <c r="H19" s="359" t="s">
        <v>4114</v>
      </c>
    </row>
    <row r="20" spans="1:8" ht="40.5" customHeight="1">
      <c r="A20" s="323"/>
      <c r="B20" s="325"/>
      <c r="C20" s="325"/>
      <c r="D20" s="326"/>
      <c r="E20" s="326"/>
      <c r="F20" s="326"/>
      <c r="G20" s="326"/>
      <c r="H20" s="359"/>
    </row>
    <row r="21" spans="1:8">
      <c r="A21" s="322">
        <v>45573</v>
      </c>
      <c r="B21" s="324" t="s">
        <v>4130</v>
      </c>
      <c r="C21" s="325"/>
      <c r="D21" s="326">
        <v>770000</v>
      </c>
      <c r="E21" s="574" t="s">
        <v>4134</v>
      </c>
      <c r="F21" s="575"/>
      <c r="G21" s="575"/>
      <c r="H21" s="359" t="s">
        <v>4185</v>
      </c>
    </row>
    <row r="22" spans="1:8" ht="26.25" customHeight="1">
      <c r="A22" s="323"/>
      <c r="B22" s="325"/>
      <c r="C22" s="325"/>
      <c r="D22" s="326"/>
      <c r="E22" s="575"/>
      <c r="F22" s="575"/>
      <c r="G22" s="575"/>
      <c r="H22" s="359"/>
    </row>
    <row r="23" spans="1:8">
      <c r="A23" s="322">
        <v>45573</v>
      </c>
      <c r="B23" s="324" t="s">
        <v>4131</v>
      </c>
      <c r="C23" s="325" t="s">
        <v>4132</v>
      </c>
      <c r="D23" s="326">
        <v>770000</v>
      </c>
      <c r="E23" s="574" t="s">
        <v>4127</v>
      </c>
      <c r="F23" s="575"/>
      <c r="G23" s="575"/>
      <c r="H23" s="359" t="s">
        <v>4133</v>
      </c>
    </row>
    <row r="24" spans="1:8" ht="42.75" customHeight="1">
      <c r="A24" s="323"/>
      <c r="B24" s="325"/>
      <c r="C24" s="325"/>
      <c r="D24" s="326"/>
      <c r="E24" s="575"/>
      <c r="F24" s="575"/>
      <c r="G24" s="575"/>
      <c r="H24" s="359"/>
    </row>
    <row r="25" spans="1:8" ht="42.75" customHeight="1">
      <c r="A25" s="144">
        <v>45573</v>
      </c>
      <c r="B25" s="148" t="s">
        <v>4144</v>
      </c>
      <c r="C25" s="148"/>
      <c r="D25" s="149">
        <v>90000</v>
      </c>
      <c r="E25" s="627"/>
      <c r="F25" s="628"/>
      <c r="G25" s="629"/>
      <c r="H25" s="147" t="s">
        <v>4145</v>
      </c>
    </row>
    <row r="26" spans="1:8" ht="42.75" customHeight="1">
      <c r="A26" s="144">
        <v>45573</v>
      </c>
      <c r="B26" s="148" t="s">
        <v>4146</v>
      </c>
      <c r="C26" s="148"/>
      <c r="D26" s="149">
        <v>400000</v>
      </c>
      <c r="E26" s="627" t="s">
        <v>4140</v>
      </c>
      <c r="F26" s="628"/>
      <c r="G26" s="629"/>
      <c r="H26" s="147" t="s">
        <v>4129</v>
      </c>
    </row>
    <row r="27" spans="1:8">
      <c r="A27" s="322">
        <v>45573</v>
      </c>
      <c r="B27" s="324" t="s">
        <v>4138</v>
      </c>
      <c r="C27" s="325"/>
      <c r="D27" s="326">
        <v>370000</v>
      </c>
      <c r="E27" s="337" t="s">
        <v>4139</v>
      </c>
      <c r="F27" s="326"/>
      <c r="G27" s="326"/>
      <c r="H27" s="359" t="s">
        <v>4128</v>
      </c>
    </row>
    <row r="28" spans="1:8" ht="57" customHeight="1">
      <c r="A28" s="323"/>
      <c r="B28" s="325"/>
      <c r="C28" s="325"/>
      <c r="D28" s="326"/>
      <c r="E28" s="326"/>
      <c r="F28" s="326"/>
      <c r="G28" s="326"/>
      <c r="H28" s="359"/>
    </row>
    <row r="29" spans="1:8">
      <c r="A29" s="322">
        <v>45573</v>
      </c>
      <c r="B29" s="325" t="s">
        <v>4124</v>
      </c>
      <c r="C29" s="325"/>
      <c r="D29" s="326">
        <v>125000</v>
      </c>
      <c r="E29" s="337" t="s">
        <v>4137</v>
      </c>
      <c r="F29" s="326"/>
      <c r="G29" s="326"/>
      <c r="H29" s="359" t="s">
        <v>145</v>
      </c>
    </row>
    <row r="30" spans="1:8" ht="30.75" customHeight="1">
      <c r="A30" s="323"/>
      <c r="B30" s="325"/>
      <c r="C30" s="325"/>
      <c r="D30" s="326"/>
      <c r="E30" s="326"/>
      <c r="F30" s="326"/>
      <c r="G30" s="326"/>
      <c r="H30" s="359"/>
    </row>
    <row r="31" spans="1:8">
      <c r="A31" s="322">
        <v>45575</v>
      </c>
      <c r="B31" s="341" t="s">
        <v>4135</v>
      </c>
      <c r="C31" s="353"/>
      <c r="D31" s="343">
        <v>942700</v>
      </c>
      <c r="E31" s="574" t="s">
        <v>4136</v>
      </c>
      <c r="F31" s="727"/>
      <c r="G31" s="727"/>
      <c r="H31" s="359" t="s">
        <v>4128</v>
      </c>
    </row>
    <row r="32" spans="1:8" s="30" customFormat="1">
      <c r="A32" s="323"/>
      <c r="B32" s="342"/>
      <c r="C32" s="352"/>
      <c r="D32" s="344"/>
      <c r="E32" s="727"/>
      <c r="F32" s="727"/>
      <c r="G32" s="727"/>
      <c r="H32" s="359"/>
    </row>
    <row r="33" spans="1:11">
      <c r="A33" s="322">
        <v>45575</v>
      </c>
      <c r="B33" s="324" t="s">
        <v>4121</v>
      </c>
      <c r="C33" s="325"/>
      <c r="D33" s="326">
        <v>440000</v>
      </c>
      <c r="E33" s="337" t="s">
        <v>4143</v>
      </c>
      <c r="F33" s="326"/>
      <c r="G33" s="326"/>
      <c r="H33" s="359" t="s">
        <v>4128</v>
      </c>
    </row>
    <row r="34" spans="1:11" s="30" customFormat="1">
      <c r="A34" s="323"/>
      <c r="B34" s="325"/>
      <c r="C34" s="325"/>
      <c r="D34" s="326"/>
      <c r="E34" s="326"/>
      <c r="F34" s="326"/>
      <c r="G34" s="326"/>
      <c r="H34" s="359"/>
    </row>
    <row r="35" spans="1:11">
      <c r="A35" s="322">
        <v>45575</v>
      </c>
      <c r="B35" s="324" t="s">
        <v>4122</v>
      </c>
      <c r="C35" s="325"/>
      <c r="D35" s="343">
        <v>320000</v>
      </c>
      <c r="E35" s="574" t="s">
        <v>4127</v>
      </c>
      <c r="F35" s="575"/>
      <c r="G35" s="575"/>
      <c r="H35" s="360" t="s">
        <v>4185</v>
      </c>
    </row>
    <row r="36" spans="1:11" ht="28.5" customHeight="1">
      <c r="A36" s="323"/>
      <c r="B36" s="325"/>
      <c r="C36" s="325"/>
      <c r="D36" s="344"/>
      <c r="E36" s="575"/>
      <c r="F36" s="575"/>
      <c r="G36" s="575"/>
      <c r="H36" s="359"/>
    </row>
    <row r="37" spans="1:11" ht="16.5" customHeight="1">
      <c r="A37" s="322">
        <v>45575</v>
      </c>
      <c r="B37" s="324" t="s">
        <v>4124</v>
      </c>
      <c r="C37" s="325"/>
      <c r="D37" s="326">
        <v>72000</v>
      </c>
      <c r="E37" s="337" t="s">
        <v>4125</v>
      </c>
      <c r="F37" s="326"/>
      <c r="G37" s="326"/>
      <c r="H37" s="360" t="s">
        <v>4126</v>
      </c>
    </row>
    <row r="38" spans="1:11" ht="16.5" customHeight="1">
      <c r="A38" s="323"/>
      <c r="B38" s="325"/>
      <c r="C38" s="325"/>
      <c r="D38" s="326"/>
      <c r="E38" s="326"/>
      <c r="F38" s="326"/>
      <c r="G38" s="326"/>
      <c r="H38" s="359"/>
    </row>
    <row r="39" spans="1:11" ht="16.5" customHeight="1">
      <c r="A39" s="336">
        <v>45575</v>
      </c>
      <c r="B39" s="324" t="s">
        <v>4141</v>
      </c>
      <c r="C39" s="325"/>
      <c r="D39" s="326">
        <v>200000</v>
      </c>
      <c r="E39" s="562" t="s">
        <v>4142</v>
      </c>
      <c r="F39" s="582"/>
      <c r="G39" s="583"/>
      <c r="H39" s="400" t="s">
        <v>145</v>
      </c>
    </row>
    <row r="40" spans="1:11" ht="16.5" customHeight="1">
      <c r="A40" s="323"/>
      <c r="B40" s="325"/>
      <c r="C40" s="325"/>
      <c r="D40" s="326"/>
      <c r="E40" s="584"/>
      <c r="F40" s="585"/>
      <c r="G40" s="586"/>
      <c r="H40" s="401"/>
    </row>
    <row r="41" spans="1:11" ht="16.5" customHeight="1">
      <c r="A41" s="335">
        <v>45576</v>
      </c>
      <c r="B41" s="341" t="s">
        <v>4150</v>
      </c>
      <c r="C41" s="341"/>
      <c r="D41" s="343">
        <v>230000</v>
      </c>
      <c r="E41" s="327"/>
      <c r="F41" s="328"/>
      <c r="G41" s="329"/>
      <c r="H41" s="359" t="s">
        <v>4184</v>
      </c>
    </row>
    <row r="42" spans="1:11" ht="16.5" customHeight="1">
      <c r="A42" s="336"/>
      <c r="B42" s="342"/>
      <c r="C42" s="342"/>
      <c r="D42" s="344"/>
      <c r="E42" s="330"/>
      <c r="F42" s="331"/>
      <c r="G42" s="332"/>
      <c r="H42" s="359"/>
    </row>
    <row r="43" spans="1:11" ht="16.5" customHeight="1">
      <c r="A43" s="335">
        <v>45576</v>
      </c>
      <c r="B43" s="341" t="s">
        <v>4149</v>
      </c>
      <c r="C43" s="353"/>
      <c r="D43" s="343">
        <v>370000</v>
      </c>
      <c r="E43" s="327"/>
      <c r="F43" s="328"/>
      <c r="G43" s="329"/>
      <c r="H43" s="325" t="s">
        <v>4148</v>
      </c>
    </row>
    <row r="44" spans="1:11" ht="17.25" customHeight="1">
      <c r="A44" s="336"/>
      <c r="B44" s="342"/>
      <c r="C44" s="352"/>
      <c r="D44" s="344"/>
      <c r="E44" s="330"/>
      <c r="F44" s="331"/>
      <c r="G44" s="332"/>
      <c r="H44" s="325"/>
    </row>
    <row r="45" spans="1:11" ht="16.5" customHeight="1">
      <c r="A45" s="336">
        <v>45576</v>
      </c>
      <c r="B45" s="324" t="s">
        <v>4123</v>
      </c>
      <c r="C45" s="325"/>
      <c r="D45" s="326">
        <v>640000</v>
      </c>
      <c r="E45" s="562" t="s">
        <v>4183</v>
      </c>
      <c r="F45" s="582"/>
      <c r="G45" s="583"/>
      <c r="H45" s="360" t="s">
        <v>4147</v>
      </c>
      <c r="K45" s="24"/>
    </row>
    <row r="46" spans="1:11" ht="16.5" customHeight="1">
      <c r="A46" s="323"/>
      <c r="B46" s="325"/>
      <c r="C46" s="325"/>
      <c r="D46" s="326"/>
      <c r="E46" s="584"/>
      <c r="F46" s="585"/>
      <c r="G46" s="586"/>
      <c r="H46" s="359"/>
      <c r="K46" s="24"/>
    </row>
    <row r="47" spans="1:11" ht="16.5" customHeight="1">
      <c r="A47" s="336">
        <v>45576</v>
      </c>
      <c r="B47" s="324" t="s">
        <v>4151</v>
      </c>
      <c r="C47" s="325"/>
      <c r="D47" s="326">
        <v>40000</v>
      </c>
      <c r="E47" s="327"/>
      <c r="F47" s="328"/>
      <c r="G47" s="329"/>
      <c r="H47" s="359" t="s">
        <v>4147</v>
      </c>
    </row>
    <row r="48" spans="1:11" ht="16.5" customHeight="1">
      <c r="A48" s="323"/>
      <c r="B48" s="325"/>
      <c r="C48" s="325"/>
      <c r="D48" s="326"/>
      <c r="E48" s="330"/>
      <c r="F48" s="331"/>
      <c r="G48" s="332"/>
      <c r="H48" s="359"/>
    </row>
    <row r="49" spans="1:11" ht="16.5" customHeight="1">
      <c r="A49" s="322"/>
      <c r="B49" s="695" t="s">
        <v>4191</v>
      </c>
      <c r="C49" s="696"/>
      <c r="D49" s="696"/>
      <c r="E49" s="696"/>
      <c r="F49" s="696"/>
      <c r="G49" s="696"/>
      <c r="H49" s="697"/>
    </row>
    <row r="50" spans="1:11" ht="53.25" customHeight="1">
      <c r="A50" s="323"/>
      <c r="B50" s="698"/>
      <c r="C50" s="699"/>
      <c r="D50" s="699"/>
      <c r="E50" s="699"/>
      <c r="F50" s="699"/>
      <c r="G50" s="699"/>
      <c r="H50" s="700"/>
    </row>
    <row r="51" spans="1:11" ht="16.5" customHeight="1">
      <c r="A51" s="322">
        <v>45579</v>
      </c>
      <c r="B51" s="324" t="s">
        <v>4152</v>
      </c>
      <c r="C51" s="325"/>
      <c r="D51" s="326">
        <v>520000</v>
      </c>
      <c r="E51" s="562" t="s">
        <v>4153</v>
      </c>
      <c r="F51" s="582"/>
      <c r="G51" s="583"/>
      <c r="H51" s="359" t="s">
        <v>4154</v>
      </c>
    </row>
    <row r="52" spans="1:11" ht="16.5" customHeight="1">
      <c r="A52" s="323"/>
      <c r="B52" s="325"/>
      <c r="C52" s="325"/>
      <c r="D52" s="326"/>
      <c r="E52" s="584"/>
      <c r="F52" s="585"/>
      <c r="G52" s="586"/>
      <c r="H52" s="359"/>
    </row>
    <row r="53" spans="1:11" ht="16.5" customHeight="1">
      <c r="A53" s="322">
        <v>45579</v>
      </c>
      <c r="B53" s="324" t="s">
        <v>4155</v>
      </c>
      <c r="C53" s="326"/>
      <c r="D53" s="326">
        <v>560000</v>
      </c>
      <c r="E53" s="327" t="s">
        <v>4156</v>
      </c>
      <c r="F53" s="328"/>
      <c r="G53" s="329"/>
      <c r="H53" s="359" t="s">
        <v>4157</v>
      </c>
    </row>
    <row r="54" spans="1:11" ht="23.25" customHeight="1">
      <c r="A54" s="323"/>
      <c r="B54" s="325"/>
      <c r="C54" s="326"/>
      <c r="D54" s="326"/>
      <c r="E54" s="330"/>
      <c r="F54" s="331"/>
      <c r="G54" s="332"/>
      <c r="H54" s="359"/>
    </row>
    <row r="55" spans="1:11" ht="16.5" customHeight="1">
      <c r="A55" s="322">
        <v>45580</v>
      </c>
      <c r="B55" s="324" t="s">
        <v>4159</v>
      </c>
      <c r="C55" s="325"/>
      <c r="D55" s="326">
        <v>120000</v>
      </c>
      <c r="E55" s="337" t="s">
        <v>4161</v>
      </c>
      <c r="F55" s="326"/>
      <c r="G55" s="326"/>
      <c r="H55" s="359" t="s">
        <v>4160</v>
      </c>
      <c r="I55" s="3"/>
      <c r="K55" s="23"/>
    </row>
    <row r="56" spans="1:11" ht="24.75" customHeight="1">
      <c r="A56" s="323"/>
      <c r="B56" s="325"/>
      <c r="C56" s="325"/>
      <c r="D56" s="326"/>
      <c r="E56" s="326"/>
      <c r="F56" s="326"/>
      <c r="G56" s="326"/>
      <c r="H56" s="359"/>
    </row>
    <row r="57" spans="1:11" ht="16.5" customHeight="1">
      <c r="A57" s="322">
        <v>45581</v>
      </c>
      <c r="B57" s="324" t="s">
        <v>4168</v>
      </c>
      <c r="C57" s="324"/>
      <c r="D57" s="326">
        <v>240000</v>
      </c>
      <c r="E57" s="327"/>
      <c r="F57" s="328"/>
      <c r="G57" s="329"/>
      <c r="H57" s="359" t="s">
        <v>4169</v>
      </c>
    </row>
    <row r="58" spans="1:11" ht="16.5" customHeight="1">
      <c r="A58" s="323"/>
      <c r="B58" s="325"/>
      <c r="C58" s="325"/>
      <c r="D58" s="326"/>
      <c r="E58" s="330"/>
      <c r="F58" s="331"/>
      <c r="G58" s="332"/>
      <c r="H58" s="359"/>
    </row>
    <row r="59" spans="1:11" ht="16.5" customHeight="1">
      <c r="A59" s="322">
        <v>45581</v>
      </c>
      <c r="B59" s="324" t="s">
        <v>4170</v>
      </c>
      <c r="C59" s="325"/>
      <c r="D59" s="326">
        <v>170000</v>
      </c>
      <c r="E59" s="327" t="s">
        <v>4171</v>
      </c>
      <c r="F59" s="328"/>
      <c r="G59" s="329"/>
      <c r="H59" s="359" t="s">
        <v>4163</v>
      </c>
    </row>
    <row r="60" spans="1:11" ht="16.5" customHeight="1">
      <c r="A60" s="323"/>
      <c r="B60" s="325"/>
      <c r="C60" s="325"/>
      <c r="D60" s="326"/>
      <c r="E60" s="330"/>
      <c r="F60" s="331"/>
      <c r="G60" s="332"/>
      <c r="H60" s="359"/>
    </row>
    <row r="61" spans="1:11">
      <c r="A61" s="322">
        <v>45582</v>
      </c>
      <c r="B61" s="324" t="s">
        <v>4166</v>
      </c>
      <c r="C61" s="325"/>
      <c r="D61" s="326">
        <v>833800</v>
      </c>
      <c r="E61" s="337" t="s">
        <v>4167</v>
      </c>
      <c r="F61" s="326"/>
      <c r="G61" s="326"/>
      <c r="H61" s="359" t="s">
        <v>4241</v>
      </c>
    </row>
    <row r="62" spans="1:11" ht="21.75" customHeight="1">
      <c r="A62" s="323"/>
      <c r="B62" s="325"/>
      <c r="C62" s="325"/>
      <c r="D62" s="326"/>
      <c r="E62" s="326"/>
      <c r="F62" s="326"/>
      <c r="G62" s="326"/>
      <c r="H62" s="359"/>
    </row>
    <row r="63" spans="1:11" ht="16.5" customHeight="1">
      <c r="A63" s="334">
        <v>45582</v>
      </c>
      <c r="B63" s="324" t="s">
        <v>4162</v>
      </c>
      <c r="C63" s="325"/>
      <c r="D63" s="326">
        <v>480000</v>
      </c>
      <c r="E63" s="326" t="s">
        <v>4172</v>
      </c>
      <c r="F63" s="326"/>
      <c r="G63" s="326"/>
      <c r="H63" s="359" t="s">
        <v>4163</v>
      </c>
    </row>
    <row r="64" spans="1:11" ht="16.5" customHeight="1">
      <c r="A64" s="323"/>
      <c r="B64" s="325"/>
      <c r="C64" s="325"/>
      <c r="D64" s="326"/>
      <c r="E64" s="326"/>
      <c r="F64" s="326"/>
      <c r="G64" s="326"/>
      <c r="H64" s="359"/>
    </row>
    <row r="65" spans="1:8" ht="16.5" customHeight="1">
      <c r="A65" s="322">
        <v>45582</v>
      </c>
      <c r="B65" s="324" t="s">
        <v>4164</v>
      </c>
      <c r="C65" s="325"/>
      <c r="D65" s="326">
        <v>300000</v>
      </c>
      <c r="E65" s="562" t="s">
        <v>4165</v>
      </c>
      <c r="F65" s="582"/>
      <c r="G65" s="583"/>
      <c r="H65" s="359" t="s">
        <v>180</v>
      </c>
    </row>
    <row r="66" spans="1:8" ht="16.5" customHeight="1">
      <c r="A66" s="323"/>
      <c r="B66" s="325"/>
      <c r="C66" s="325"/>
      <c r="D66" s="326"/>
      <c r="E66" s="584"/>
      <c r="F66" s="585"/>
      <c r="G66" s="586"/>
      <c r="H66" s="359"/>
    </row>
    <row r="67" spans="1:8">
      <c r="A67" s="313">
        <v>45582</v>
      </c>
      <c r="B67" s="324" t="s">
        <v>4173</v>
      </c>
      <c r="C67" s="325"/>
      <c r="D67" s="326">
        <v>1500000</v>
      </c>
      <c r="E67" s="575" t="s">
        <v>4174</v>
      </c>
      <c r="F67" s="575"/>
      <c r="G67" s="575"/>
      <c r="H67" s="359" t="s">
        <v>4175</v>
      </c>
    </row>
    <row r="68" spans="1:8">
      <c r="A68" s="305"/>
      <c r="B68" s="325"/>
      <c r="C68" s="325"/>
      <c r="D68" s="326"/>
      <c r="E68" s="575"/>
      <c r="F68" s="575"/>
      <c r="G68" s="575"/>
      <c r="H68" s="359"/>
    </row>
    <row r="69" spans="1:8" ht="33.75" customHeight="1">
      <c r="A69" s="153">
        <v>45582</v>
      </c>
      <c r="B69" s="151" t="s">
        <v>4190</v>
      </c>
      <c r="C69" s="151"/>
      <c r="D69" s="152">
        <v>508200</v>
      </c>
      <c r="E69" s="627"/>
      <c r="F69" s="628"/>
      <c r="G69" s="629"/>
      <c r="H69" s="155" t="s">
        <v>1524</v>
      </c>
    </row>
    <row r="70" spans="1:8" ht="16.5" customHeight="1">
      <c r="A70" s="313">
        <v>45583</v>
      </c>
      <c r="B70" s="324" t="s">
        <v>4176</v>
      </c>
      <c r="C70" s="325"/>
      <c r="D70" s="326">
        <v>793000</v>
      </c>
      <c r="E70" s="327"/>
      <c r="F70" s="328"/>
      <c r="G70" s="329"/>
      <c r="H70" s="359" t="s">
        <v>500</v>
      </c>
    </row>
    <row r="71" spans="1:8" ht="16.5" customHeight="1">
      <c r="A71" s="305"/>
      <c r="B71" s="325"/>
      <c r="C71" s="325"/>
      <c r="D71" s="326"/>
      <c r="E71" s="330"/>
      <c r="F71" s="331"/>
      <c r="G71" s="332"/>
      <c r="H71" s="359"/>
    </row>
    <row r="72" spans="1:8">
      <c r="A72" s="313">
        <v>45584</v>
      </c>
      <c r="B72" s="325" t="s">
        <v>4182</v>
      </c>
      <c r="C72" s="325"/>
      <c r="D72" s="326">
        <v>130000</v>
      </c>
      <c r="E72" s="326"/>
      <c r="F72" s="326"/>
      <c r="G72" s="326"/>
      <c r="H72" s="360" t="s">
        <v>4177</v>
      </c>
    </row>
    <row r="73" spans="1:8">
      <c r="A73" s="305"/>
      <c r="B73" s="353"/>
      <c r="C73" s="353"/>
      <c r="D73" s="343"/>
      <c r="E73" s="343"/>
      <c r="F73" s="343"/>
      <c r="G73" s="343"/>
      <c r="H73" s="359"/>
    </row>
    <row r="74" spans="1:8">
      <c r="A74" s="313"/>
      <c r="B74" s="862" t="s">
        <v>4225</v>
      </c>
      <c r="C74" s="863"/>
      <c r="D74" s="863"/>
      <c r="E74" s="863"/>
      <c r="F74" s="863"/>
      <c r="G74" s="863"/>
      <c r="H74" s="864"/>
    </row>
    <row r="75" spans="1:8" ht="35.25" customHeight="1">
      <c r="A75" s="305"/>
      <c r="B75" s="865"/>
      <c r="C75" s="866"/>
      <c r="D75" s="866"/>
      <c r="E75" s="866"/>
      <c r="F75" s="866"/>
      <c r="G75" s="866"/>
      <c r="H75" s="867"/>
    </row>
    <row r="76" spans="1:8">
      <c r="A76" s="797">
        <v>45586</v>
      </c>
      <c r="B76" s="325" t="s">
        <v>4178</v>
      </c>
      <c r="C76" s="325"/>
      <c r="D76" s="326">
        <v>770000</v>
      </c>
      <c r="E76" s="326" t="s">
        <v>4179</v>
      </c>
      <c r="F76" s="326"/>
      <c r="G76" s="326"/>
      <c r="H76" s="325" t="s">
        <v>4195</v>
      </c>
    </row>
    <row r="77" spans="1:8">
      <c r="A77" s="798"/>
      <c r="B77" s="325"/>
      <c r="C77" s="325"/>
      <c r="D77" s="326"/>
      <c r="E77" s="326"/>
      <c r="F77" s="326"/>
      <c r="G77" s="326"/>
      <c r="H77" s="325"/>
    </row>
    <row r="78" spans="1:8">
      <c r="A78" s="797">
        <v>45586</v>
      </c>
      <c r="B78" s="325" t="s">
        <v>4180</v>
      </c>
      <c r="C78" s="325"/>
      <c r="D78" s="326">
        <v>570000</v>
      </c>
      <c r="E78" s="575" t="s">
        <v>4181</v>
      </c>
      <c r="F78" s="575"/>
      <c r="G78" s="575"/>
      <c r="H78" s="325" t="s">
        <v>4189</v>
      </c>
    </row>
    <row r="79" spans="1:8">
      <c r="A79" s="798"/>
      <c r="B79" s="325"/>
      <c r="C79" s="325"/>
      <c r="D79" s="326"/>
      <c r="E79" s="575"/>
      <c r="F79" s="575"/>
      <c r="G79" s="575"/>
      <c r="H79" s="325"/>
    </row>
    <row r="80" spans="1:8">
      <c r="A80" s="797">
        <v>45586</v>
      </c>
      <c r="B80" s="352" t="s">
        <v>4186</v>
      </c>
      <c r="C80" s="352"/>
      <c r="D80" s="344">
        <v>120000</v>
      </c>
      <c r="E80" s="344" t="s">
        <v>4188</v>
      </c>
      <c r="F80" s="344"/>
      <c r="G80" s="344"/>
      <c r="H80" s="325" t="s">
        <v>4187</v>
      </c>
    </row>
    <row r="81" spans="1:8">
      <c r="A81" s="798"/>
      <c r="B81" s="325"/>
      <c r="C81" s="325"/>
      <c r="D81" s="326"/>
      <c r="E81" s="326"/>
      <c r="F81" s="326"/>
      <c r="G81" s="326"/>
      <c r="H81" s="325"/>
    </row>
    <row r="82" spans="1:8">
      <c r="A82" s="797">
        <v>45587</v>
      </c>
      <c r="B82" s="325" t="s">
        <v>4193</v>
      </c>
      <c r="C82" s="325"/>
      <c r="D82" s="326">
        <v>370000</v>
      </c>
      <c r="E82" s="326"/>
      <c r="F82" s="326"/>
      <c r="G82" s="326"/>
      <c r="H82" s="325" t="s">
        <v>4192</v>
      </c>
    </row>
    <row r="83" spans="1:8">
      <c r="A83" s="798"/>
      <c r="B83" s="325"/>
      <c r="C83" s="325"/>
      <c r="D83" s="326"/>
      <c r="E83" s="326"/>
      <c r="F83" s="326"/>
      <c r="G83" s="326"/>
      <c r="H83" s="325"/>
    </row>
    <row r="84" spans="1:8">
      <c r="A84" s="797">
        <v>45587</v>
      </c>
      <c r="B84" s="325" t="s">
        <v>4194</v>
      </c>
      <c r="C84" s="325"/>
      <c r="D84" s="326">
        <v>580000</v>
      </c>
      <c r="E84" s="575" t="s">
        <v>4198</v>
      </c>
      <c r="F84" s="575"/>
      <c r="G84" s="575"/>
      <c r="H84" s="325" t="s">
        <v>4196</v>
      </c>
    </row>
    <row r="85" spans="1:8">
      <c r="A85" s="798"/>
      <c r="B85" s="325"/>
      <c r="C85" s="325"/>
      <c r="D85" s="326"/>
      <c r="E85" s="575"/>
      <c r="F85" s="575"/>
      <c r="G85" s="575"/>
      <c r="H85" s="325"/>
    </row>
    <row r="86" spans="1:8">
      <c r="A86" s="313">
        <v>45588</v>
      </c>
      <c r="B86" s="325" t="s">
        <v>4197</v>
      </c>
      <c r="C86" s="325"/>
      <c r="D86" s="326">
        <v>610000</v>
      </c>
      <c r="E86" s="574" t="s">
        <v>4198</v>
      </c>
      <c r="F86" s="575"/>
      <c r="G86" s="575"/>
      <c r="H86" s="325" t="s">
        <v>4199</v>
      </c>
    </row>
    <row r="87" spans="1:8">
      <c r="A87" s="305"/>
      <c r="B87" s="325"/>
      <c r="C87" s="325"/>
      <c r="D87" s="326"/>
      <c r="E87" s="575"/>
      <c r="F87" s="575"/>
      <c r="G87" s="575"/>
      <c r="H87" s="325"/>
    </row>
    <row r="88" spans="1:8" ht="17.25" customHeight="1">
      <c r="A88" s="313">
        <v>45588</v>
      </c>
      <c r="B88" s="325" t="s">
        <v>4200</v>
      </c>
      <c r="C88" s="325"/>
      <c r="D88" s="326">
        <v>720000</v>
      </c>
      <c r="E88" s="575" t="s">
        <v>4201</v>
      </c>
      <c r="F88" s="575"/>
      <c r="G88" s="575"/>
      <c r="H88" s="325" t="s">
        <v>145</v>
      </c>
    </row>
    <row r="89" spans="1:8" ht="17.25" customHeight="1">
      <c r="A89" s="305"/>
      <c r="B89" s="325"/>
      <c r="C89" s="325"/>
      <c r="D89" s="326"/>
      <c r="E89" s="575"/>
      <c r="F89" s="575"/>
      <c r="G89" s="575"/>
      <c r="H89" s="325"/>
    </row>
    <row r="90" spans="1:8" ht="17.25" customHeight="1">
      <c r="A90" s="313">
        <v>45588</v>
      </c>
      <c r="B90" s="325" t="s">
        <v>4202</v>
      </c>
      <c r="C90" s="325"/>
      <c r="D90" s="326">
        <v>320000</v>
      </c>
      <c r="E90" s="326" t="s">
        <v>4213</v>
      </c>
      <c r="F90" s="326"/>
      <c r="G90" s="326"/>
      <c r="H90" s="325" t="s">
        <v>4147</v>
      </c>
    </row>
    <row r="91" spans="1:8" ht="17.25" customHeight="1">
      <c r="A91" s="305"/>
      <c r="B91" s="325"/>
      <c r="C91" s="325"/>
      <c r="D91" s="326"/>
      <c r="E91" s="326"/>
      <c r="F91" s="326"/>
      <c r="G91" s="326"/>
      <c r="H91" s="325"/>
    </row>
    <row r="92" spans="1:8">
      <c r="A92" s="313">
        <v>45588</v>
      </c>
      <c r="B92" s="325" t="s">
        <v>4203</v>
      </c>
      <c r="C92" s="325"/>
      <c r="D92" s="326">
        <v>780000</v>
      </c>
      <c r="E92" s="574" t="s">
        <v>4212</v>
      </c>
      <c r="F92" s="575"/>
      <c r="G92" s="575"/>
      <c r="H92" s="325" t="s">
        <v>4147</v>
      </c>
    </row>
    <row r="93" spans="1:8">
      <c r="A93" s="305"/>
      <c r="B93" s="325"/>
      <c r="C93" s="325"/>
      <c r="D93" s="326"/>
      <c r="E93" s="575"/>
      <c r="F93" s="575"/>
      <c r="G93" s="575"/>
      <c r="H93" s="325"/>
    </row>
    <row r="94" spans="1:8">
      <c r="A94" s="313">
        <v>45589</v>
      </c>
      <c r="B94" s="325" t="s">
        <v>4204</v>
      </c>
      <c r="C94" s="325"/>
      <c r="D94" s="326">
        <v>1020000</v>
      </c>
      <c r="E94" s="575" t="s">
        <v>4211</v>
      </c>
      <c r="F94" s="575"/>
      <c r="G94" s="575"/>
      <c r="H94" s="359" t="s">
        <v>4216</v>
      </c>
    </row>
    <row r="95" spans="1:8">
      <c r="A95" s="305"/>
      <c r="B95" s="325"/>
      <c r="C95" s="325"/>
      <c r="D95" s="326"/>
      <c r="E95" s="575"/>
      <c r="F95" s="575"/>
      <c r="G95" s="575"/>
      <c r="H95" s="359"/>
    </row>
    <row r="96" spans="1:8">
      <c r="A96" s="313">
        <v>45589</v>
      </c>
      <c r="B96" s="325" t="s">
        <v>4205</v>
      </c>
      <c r="C96" s="325"/>
      <c r="D96" s="326">
        <v>660000</v>
      </c>
      <c r="E96" s="326" t="s">
        <v>4210</v>
      </c>
      <c r="F96" s="326"/>
      <c r="G96" s="326"/>
      <c r="H96" s="359" t="s">
        <v>1455</v>
      </c>
    </row>
    <row r="97" spans="1:8">
      <c r="A97" s="305"/>
      <c r="B97" s="325"/>
      <c r="C97" s="325"/>
      <c r="D97" s="326"/>
      <c r="E97" s="326"/>
      <c r="F97" s="326"/>
      <c r="G97" s="326"/>
      <c r="H97" s="359"/>
    </row>
    <row r="98" spans="1:8">
      <c r="A98" s="313">
        <v>45589</v>
      </c>
      <c r="B98" s="325" t="s">
        <v>4206</v>
      </c>
      <c r="C98" s="325"/>
      <c r="D98" s="326">
        <v>110000</v>
      </c>
      <c r="E98" s="326" t="s">
        <v>4209</v>
      </c>
      <c r="F98" s="326"/>
      <c r="G98" s="326"/>
      <c r="H98" s="359" t="s">
        <v>4217</v>
      </c>
    </row>
    <row r="99" spans="1:8">
      <c r="A99" s="305"/>
      <c r="B99" s="325"/>
      <c r="C99" s="325"/>
      <c r="D99" s="326"/>
      <c r="E99" s="326"/>
      <c r="F99" s="326"/>
      <c r="G99" s="326"/>
      <c r="H99" s="359"/>
    </row>
    <row r="100" spans="1:8">
      <c r="A100" s="313">
        <v>45589</v>
      </c>
      <c r="B100" s="325" t="s">
        <v>4207</v>
      </c>
      <c r="C100" s="325"/>
      <c r="D100" s="326">
        <v>300000</v>
      </c>
      <c r="E100" s="575" t="s">
        <v>4208</v>
      </c>
      <c r="F100" s="575"/>
      <c r="G100" s="575"/>
      <c r="H100" s="359" t="s">
        <v>145</v>
      </c>
    </row>
    <row r="101" spans="1:8">
      <c r="A101" s="305"/>
      <c r="B101" s="325"/>
      <c r="C101" s="325"/>
      <c r="D101" s="326"/>
      <c r="E101" s="575"/>
      <c r="F101" s="575"/>
      <c r="G101" s="575"/>
      <c r="H101" s="359"/>
    </row>
    <row r="102" spans="1:8">
      <c r="A102" s="313">
        <v>45589</v>
      </c>
      <c r="B102" s="307" t="s">
        <v>4214</v>
      </c>
      <c r="C102" s="307"/>
      <c r="D102" s="309">
        <v>230000</v>
      </c>
      <c r="E102" s="309"/>
      <c r="F102" s="309"/>
      <c r="G102" s="309"/>
      <c r="H102" s="762" t="s">
        <v>4215</v>
      </c>
    </row>
    <row r="103" spans="1:8">
      <c r="A103" s="305"/>
      <c r="B103" s="307"/>
      <c r="C103" s="307"/>
      <c r="D103" s="309"/>
      <c r="E103" s="309"/>
      <c r="F103" s="309"/>
      <c r="G103" s="309"/>
      <c r="H103" s="762"/>
    </row>
    <row r="104" spans="1:8">
      <c r="A104" s="313">
        <v>45590</v>
      </c>
      <c r="B104" s="307"/>
      <c r="C104" s="307"/>
      <c r="D104" s="309">
        <v>680000</v>
      </c>
      <c r="E104" s="575" t="s">
        <v>4219</v>
      </c>
      <c r="F104" s="575"/>
      <c r="G104" s="575"/>
      <c r="H104" s="359" t="s">
        <v>7</v>
      </c>
    </row>
    <row r="105" spans="1:8">
      <c r="A105" s="305"/>
      <c r="B105" s="307"/>
      <c r="C105" s="307"/>
      <c r="D105" s="309"/>
      <c r="E105" s="575"/>
      <c r="F105" s="575"/>
      <c r="G105" s="575"/>
      <c r="H105" s="359"/>
    </row>
    <row r="106" spans="1:8">
      <c r="A106" s="313">
        <v>45590</v>
      </c>
      <c r="B106" s="307" t="s">
        <v>4218</v>
      </c>
      <c r="C106" s="307"/>
      <c r="D106" s="309">
        <v>682000</v>
      </c>
      <c r="E106" s="309"/>
      <c r="F106" s="309"/>
      <c r="G106" s="309"/>
      <c r="H106" s="359" t="s">
        <v>8</v>
      </c>
    </row>
    <row r="107" spans="1:8">
      <c r="A107" s="305"/>
      <c r="B107" s="307"/>
      <c r="C107" s="307"/>
      <c r="D107" s="309"/>
      <c r="E107" s="309"/>
      <c r="F107" s="309"/>
      <c r="G107" s="309"/>
      <c r="H107" s="359"/>
    </row>
    <row r="108" spans="1:8">
      <c r="A108" s="313">
        <v>45590</v>
      </c>
      <c r="B108" s="307" t="s">
        <v>4222</v>
      </c>
      <c r="C108" s="307"/>
      <c r="D108" s="309">
        <v>170000</v>
      </c>
      <c r="E108" s="309"/>
      <c r="F108" s="309"/>
      <c r="G108" s="309"/>
      <c r="H108" s="359" t="s">
        <v>4223</v>
      </c>
    </row>
    <row r="109" spans="1:8">
      <c r="A109" s="305"/>
      <c r="B109" s="307"/>
      <c r="C109" s="307"/>
      <c r="D109" s="309"/>
      <c r="E109" s="309"/>
      <c r="F109" s="309"/>
      <c r="G109" s="309"/>
      <c r="H109" s="359"/>
    </row>
    <row r="110" spans="1:8">
      <c r="A110" s="313">
        <v>45590</v>
      </c>
      <c r="B110" s="307" t="s">
        <v>4220</v>
      </c>
      <c r="C110" s="307"/>
      <c r="D110" s="309">
        <v>712000</v>
      </c>
      <c r="E110" s="575" t="s">
        <v>4219</v>
      </c>
      <c r="F110" s="575"/>
      <c r="G110" s="575"/>
      <c r="H110" s="359" t="s">
        <v>4221</v>
      </c>
    </row>
    <row r="111" spans="1:8">
      <c r="A111" s="305"/>
      <c r="B111" s="307"/>
      <c r="C111" s="307"/>
      <c r="D111" s="309"/>
      <c r="E111" s="575"/>
      <c r="F111" s="575"/>
      <c r="G111" s="575"/>
      <c r="H111" s="359"/>
    </row>
    <row r="112" spans="1:8">
      <c r="A112" s="313">
        <v>45591</v>
      </c>
      <c r="B112" s="307" t="s">
        <v>4227</v>
      </c>
      <c r="C112" s="307"/>
      <c r="D112" s="309">
        <v>680000</v>
      </c>
      <c r="E112" s="575" t="s">
        <v>4224</v>
      </c>
      <c r="F112" s="575"/>
      <c r="G112" s="575"/>
      <c r="H112" s="359" t="s">
        <v>145</v>
      </c>
    </row>
    <row r="113" spans="1:8">
      <c r="A113" s="305"/>
      <c r="B113" s="307"/>
      <c r="C113" s="307"/>
      <c r="D113" s="309"/>
      <c r="E113" s="575"/>
      <c r="F113" s="575"/>
      <c r="G113" s="575"/>
      <c r="H113" s="359"/>
    </row>
    <row r="114" spans="1:8" ht="17.25" customHeight="1">
      <c r="A114" s="313">
        <v>45591</v>
      </c>
      <c r="B114" s="307" t="s">
        <v>4228</v>
      </c>
      <c r="C114" s="307"/>
      <c r="D114" s="309">
        <v>450000</v>
      </c>
      <c r="E114" s="309"/>
      <c r="F114" s="309"/>
      <c r="G114" s="309"/>
      <c r="H114" s="762" t="s">
        <v>4226</v>
      </c>
    </row>
    <row r="115" spans="1:8" ht="17.25" customHeight="1">
      <c r="A115" s="305"/>
      <c r="B115" s="307"/>
      <c r="C115" s="307"/>
      <c r="D115" s="309"/>
      <c r="E115" s="309"/>
      <c r="F115" s="309"/>
      <c r="G115" s="309"/>
      <c r="H115" s="762"/>
    </row>
    <row r="116" spans="1:8">
      <c r="A116" s="305"/>
      <c r="B116" s="844" t="s">
        <v>4363</v>
      </c>
      <c r="C116" s="845"/>
      <c r="D116" s="845"/>
      <c r="E116" s="845"/>
      <c r="F116" s="845"/>
      <c r="G116" s="845"/>
      <c r="H116" s="846"/>
    </row>
    <row r="117" spans="1:8" ht="48" customHeight="1">
      <c r="A117" s="305"/>
      <c r="B117" s="847"/>
      <c r="C117" s="848"/>
      <c r="D117" s="848"/>
      <c r="E117" s="848"/>
      <c r="F117" s="848"/>
      <c r="G117" s="848"/>
      <c r="H117" s="849"/>
    </row>
    <row r="118" spans="1:8" ht="17.25" customHeight="1">
      <c r="A118" s="313">
        <v>45593</v>
      </c>
      <c r="B118" s="307" t="s">
        <v>4229</v>
      </c>
      <c r="C118" s="307"/>
      <c r="D118" s="309">
        <v>858000</v>
      </c>
      <c r="E118" s="309" t="s">
        <v>4230</v>
      </c>
      <c r="F118" s="309"/>
      <c r="G118" s="309"/>
      <c r="H118" s="762" t="s">
        <v>4231</v>
      </c>
    </row>
    <row r="119" spans="1:8" ht="17.25" customHeight="1">
      <c r="A119" s="305"/>
      <c r="B119" s="307"/>
      <c r="C119" s="307"/>
      <c r="D119" s="309"/>
      <c r="E119" s="309"/>
      <c r="F119" s="309"/>
      <c r="G119" s="309"/>
      <c r="H119" s="762"/>
    </row>
    <row r="120" spans="1:8">
      <c r="A120" s="313">
        <v>45593</v>
      </c>
      <c r="B120" s="307" t="s">
        <v>4235</v>
      </c>
      <c r="C120" s="307"/>
      <c r="D120" s="309">
        <v>100000</v>
      </c>
      <c r="E120" s="309"/>
      <c r="F120" s="309"/>
      <c r="G120" s="309"/>
      <c r="H120" s="762" t="s">
        <v>473</v>
      </c>
    </row>
    <row r="121" spans="1:8">
      <c r="A121" s="305"/>
      <c r="B121" s="307"/>
      <c r="C121" s="307"/>
      <c r="D121" s="309"/>
      <c r="E121" s="309"/>
      <c r="F121" s="309"/>
      <c r="G121" s="309"/>
      <c r="H121" s="762"/>
    </row>
    <row r="122" spans="1:8">
      <c r="A122" s="313">
        <v>45593</v>
      </c>
      <c r="B122" s="307" t="s">
        <v>4237</v>
      </c>
      <c r="C122" s="307"/>
      <c r="D122" s="309">
        <v>90000</v>
      </c>
      <c r="E122" s="309"/>
      <c r="F122" s="309"/>
      <c r="G122" s="309"/>
      <c r="H122" s="762" t="s">
        <v>4233</v>
      </c>
    </row>
    <row r="123" spans="1:8">
      <c r="A123" s="305"/>
      <c r="B123" s="307"/>
      <c r="C123" s="307"/>
      <c r="D123" s="309"/>
      <c r="E123" s="309"/>
      <c r="F123" s="309"/>
      <c r="G123" s="309"/>
      <c r="H123" s="762"/>
    </row>
    <row r="124" spans="1:8" ht="17.25" customHeight="1">
      <c r="A124" s="313">
        <v>45593</v>
      </c>
      <c r="B124" s="307" t="s">
        <v>4232</v>
      </c>
      <c r="C124" s="307"/>
      <c r="D124" s="309">
        <v>240000</v>
      </c>
      <c r="E124" s="309" t="s">
        <v>4236</v>
      </c>
      <c r="F124" s="309"/>
      <c r="G124" s="309"/>
      <c r="H124" s="762" t="s">
        <v>4234</v>
      </c>
    </row>
    <row r="125" spans="1:8" ht="17.25" customHeight="1">
      <c r="A125" s="305"/>
      <c r="B125" s="307"/>
      <c r="C125" s="307"/>
      <c r="D125" s="309"/>
      <c r="E125" s="309"/>
      <c r="F125" s="309"/>
      <c r="G125" s="309"/>
      <c r="H125" s="762"/>
    </row>
    <row r="126" spans="1:8" ht="17.25" customHeight="1">
      <c r="A126" s="313">
        <v>45594</v>
      </c>
      <c r="B126" s="307" t="s">
        <v>4238</v>
      </c>
      <c r="C126" s="307"/>
      <c r="D126" s="309">
        <v>570000</v>
      </c>
      <c r="E126" s="575" t="s">
        <v>4239</v>
      </c>
      <c r="F126" s="575"/>
      <c r="G126" s="575"/>
      <c r="H126" s="762" t="s">
        <v>4242</v>
      </c>
    </row>
    <row r="127" spans="1:8" ht="17.25" customHeight="1">
      <c r="A127" s="305"/>
      <c r="B127" s="307"/>
      <c r="C127" s="307"/>
      <c r="D127" s="309"/>
      <c r="E127" s="575"/>
      <c r="F127" s="575"/>
      <c r="G127" s="575"/>
      <c r="H127" s="762"/>
    </row>
    <row r="128" spans="1:8">
      <c r="A128" s="313">
        <v>45594</v>
      </c>
      <c r="B128" s="307" t="s">
        <v>4240</v>
      </c>
      <c r="C128" s="307"/>
      <c r="D128" s="309">
        <v>245000</v>
      </c>
      <c r="E128" s="309"/>
      <c r="F128" s="309"/>
      <c r="G128" s="309"/>
      <c r="H128" s="762" t="s">
        <v>4243</v>
      </c>
    </row>
    <row r="129" spans="1:8">
      <c r="A129" s="305"/>
      <c r="B129" s="307"/>
      <c r="C129" s="307"/>
      <c r="D129" s="309"/>
      <c r="E129" s="309"/>
      <c r="F129" s="309"/>
      <c r="G129" s="309"/>
      <c r="H129" s="762"/>
    </row>
    <row r="130" spans="1:8">
      <c r="A130" s="305"/>
      <c r="B130" s="307"/>
      <c r="C130" s="307"/>
      <c r="D130" s="309"/>
      <c r="E130" s="309"/>
      <c r="F130" s="309"/>
      <c r="G130" s="309"/>
      <c r="H130" s="311"/>
    </row>
    <row r="131" spans="1:8">
      <c r="A131" s="305"/>
      <c r="B131" s="307"/>
      <c r="C131" s="307"/>
      <c r="D131" s="309"/>
      <c r="E131" s="309"/>
      <c r="F131" s="309"/>
      <c r="G131" s="309"/>
      <c r="H131" s="311"/>
    </row>
    <row r="132" spans="1:8" ht="17.25" customHeight="1">
      <c r="A132" s="313">
        <v>45595</v>
      </c>
      <c r="B132" s="307"/>
      <c r="C132" s="307"/>
      <c r="D132" s="309">
        <v>1260000</v>
      </c>
      <c r="E132" s="309"/>
      <c r="F132" s="309"/>
      <c r="G132" s="309"/>
      <c r="H132" s="311"/>
    </row>
    <row r="133" spans="1:8" ht="17.25" customHeight="1">
      <c r="A133" s="305"/>
      <c r="B133" s="307"/>
      <c r="C133" s="307"/>
      <c r="D133" s="309"/>
      <c r="E133" s="309"/>
      <c r="F133" s="309"/>
      <c r="G133" s="309"/>
      <c r="H133" s="311"/>
    </row>
    <row r="134" spans="1:8">
      <c r="A134" s="313">
        <v>45595</v>
      </c>
      <c r="B134" s="307" t="s">
        <v>4364</v>
      </c>
      <c r="C134" s="307"/>
      <c r="D134" s="309">
        <v>3889600</v>
      </c>
      <c r="E134" s="309"/>
      <c r="F134" s="309"/>
      <c r="G134" s="309"/>
      <c r="H134" s="311"/>
    </row>
    <row r="135" spans="1:8">
      <c r="A135" s="305"/>
      <c r="B135" s="307"/>
      <c r="C135" s="307"/>
      <c r="D135" s="309"/>
      <c r="E135" s="309"/>
      <c r="F135" s="309"/>
      <c r="G135" s="309"/>
      <c r="H135" s="311"/>
    </row>
    <row r="136" spans="1:8">
      <c r="A136" s="305"/>
      <c r="B136" s="850" t="s">
        <v>4271</v>
      </c>
      <c r="C136" s="851"/>
      <c r="D136" s="851"/>
      <c r="E136" s="851"/>
      <c r="F136" s="851"/>
      <c r="G136" s="851"/>
      <c r="H136" s="852"/>
    </row>
    <row r="137" spans="1:8" ht="80.25" customHeight="1">
      <c r="A137" s="305"/>
      <c r="B137" s="853"/>
      <c r="C137" s="854"/>
      <c r="D137" s="854"/>
      <c r="E137" s="854"/>
      <c r="F137" s="854"/>
      <c r="G137" s="854"/>
      <c r="H137" s="855"/>
    </row>
    <row r="138" spans="1:8">
      <c r="A138" s="305"/>
      <c r="B138" s="307"/>
      <c r="C138" s="307"/>
      <c r="D138" s="309"/>
      <c r="E138" s="309"/>
      <c r="F138" s="309"/>
      <c r="G138" s="309"/>
      <c r="H138" s="311"/>
    </row>
    <row r="139" spans="1:8">
      <c r="A139" s="305"/>
      <c r="B139" s="307"/>
      <c r="C139" s="307"/>
      <c r="D139" s="309"/>
      <c r="E139" s="309"/>
      <c r="F139" s="309"/>
      <c r="G139" s="309"/>
      <c r="H139" s="311"/>
    </row>
    <row r="140" spans="1:8">
      <c r="A140" s="305"/>
      <c r="B140" s="307"/>
      <c r="C140" s="307"/>
      <c r="D140" s="309"/>
      <c r="E140" s="309"/>
      <c r="F140" s="309"/>
      <c r="G140" s="309"/>
      <c r="H140" s="311"/>
    </row>
    <row r="141" spans="1:8">
      <c r="A141" s="305"/>
      <c r="B141" s="307"/>
      <c r="C141" s="307"/>
      <c r="D141" s="309"/>
      <c r="E141" s="309"/>
      <c r="F141" s="309"/>
      <c r="G141" s="309"/>
      <c r="H141" s="311"/>
    </row>
  </sheetData>
  <mergeCells count="400">
    <mergeCell ref="A114:A115"/>
    <mergeCell ref="B114:B115"/>
    <mergeCell ref="C114:C115"/>
    <mergeCell ref="D114:D115"/>
    <mergeCell ref="E114:G115"/>
    <mergeCell ref="H114:H115"/>
    <mergeCell ref="A112:A113"/>
    <mergeCell ref="B112:B113"/>
    <mergeCell ref="C112:C113"/>
    <mergeCell ref="D112:D113"/>
    <mergeCell ref="E112:G113"/>
    <mergeCell ref="H112:H113"/>
    <mergeCell ref="A110:A111"/>
    <mergeCell ref="B110:B111"/>
    <mergeCell ref="C110:C111"/>
    <mergeCell ref="D110:D111"/>
    <mergeCell ref="E110:G111"/>
    <mergeCell ref="H110:H111"/>
    <mergeCell ref="A108:A109"/>
    <mergeCell ref="B108:B109"/>
    <mergeCell ref="C108:C109"/>
    <mergeCell ref="D108:D109"/>
    <mergeCell ref="E108:G109"/>
    <mergeCell ref="H108:H109"/>
    <mergeCell ref="A102:A103"/>
    <mergeCell ref="B102:B103"/>
    <mergeCell ref="C102:C103"/>
    <mergeCell ref="D102:D103"/>
    <mergeCell ref="E102:G103"/>
    <mergeCell ref="H102:H103"/>
    <mergeCell ref="A106:A107"/>
    <mergeCell ref="B106:B107"/>
    <mergeCell ref="C106:C107"/>
    <mergeCell ref="D106:D107"/>
    <mergeCell ref="E106:G107"/>
    <mergeCell ref="H106:H107"/>
    <mergeCell ref="A104:A105"/>
    <mergeCell ref="B104:B105"/>
    <mergeCell ref="C104:C105"/>
    <mergeCell ref="D104:D105"/>
    <mergeCell ref="E104:G105"/>
    <mergeCell ref="H104:H105"/>
    <mergeCell ref="A100:A101"/>
    <mergeCell ref="B100:B101"/>
    <mergeCell ref="C100:C101"/>
    <mergeCell ref="D100:D101"/>
    <mergeCell ref="E100:G101"/>
    <mergeCell ref="H100:H101"/>
    <mergeCell ref="A98:A99"/>
    <mergeCell ref="B98:B99"/>
    <mergeCell ref="C98:C99"/>
    <mergeCell ref="D98:D99"/>
    <mergeCell ref="E98:G99"/>
    <mergeCell ref="H98:H99"/>
    <mergeCell ref="A96:A97"/>
    <mergeCell ref="B96:B97"/>
    <mergeCell ref="C96:C97"/>
    <mergeCell ref="D96:D97"/>
    <mergeCell ref="E96:G97"/>
    <mergeCell ref="H96:H97"/>
    <mergeCell ref="A94:A95"/>
    <mergeCell ref="B94:B95"/>
    <mergeCell ref="C94:C95"/>
    <mergeCell ref="D94:D95"/>
    <mergeCell ref="E94:G95"/>
    <mergeCell ref="H94:H95"/>
    <mergeCell ref="A92:A93"/>
    <mergeCell ref="B92:B93"/>
    <mergeCell ref="C92:C93"/>
    <mergeCell ref="D92:D93"/>
    <mergeCell ref="E92:G93"/>
    <mergeCell ref="H92:H93"/>
    <mergeCell ref="A90:A91"/>
    <mergeCell ref="B90:B91"/>
    <mergeCell ref="C90:C91"/>
    <mergeCell ref="D90:D91"/>
    <mergeCell ref="E90:G91"/>
    <mergeCell ref="H90:H91"/>
    <mergeCell ref="A88:A89"/>
    <mergeCell ref="B88:B89"/>
    <mergeCell ref="C88:C89"/>
    <mergeCell ref="D88:D89"/>
    <mergeCell ref="E88:G89"/>
    <mergeCell ref="H88:H89"/>
    <mergeCell ref="A86:A87"/>
    <mergeCell ref="B86:B87"/>
    <mergeCell ref="C86:C87"/>
    <mergeCell ref="D86:D87"/>
    <mergeCell ref="E86:G87"/>
    <mergeCell ref="H86:H87"/>
    <mergeCell ref="A84:A85"/>
    <mergeCell ref="B84:B85"/>
    <mergeCell ref="C84:C85"/>
    <mergeCell ref="D84:D85"/>
    <mergeCell ref="E84:G85"/>
    <mergeCell ref="H84:H85"/>
    <mergeCell ref="A82:A83"/>
    <mergeCell ref="B82:B83"/>
    <mergeCell ref="C82:C83"/>
    <mergeCell ref="D82:D83"/>
    <mergeCell ref="E82:G83"/>
    <mergeCell ref="H82:H83"/>
    <mergeCell ref="A80:A81"/>
    <mergeCell ref="B80:B81"/>
    <mergeCell ref="C80:C81"/>
    <mergeCell ref="D80:D81"/>
    <mergeCell ref="E80:G81"/>
    <mergeCell ref="H80:H81"/>
    <mergeCell ref="A78:A79"/>
    <mergeCell ref="B78:B79"/>
    <mergeCell ref="C78:C79"/>
    <mergeCell ref="D78:D79"/>
    <mergeCell ref="E78:G79"/>
    <mergeCell ref="H78:H79"/>
    <mergeCell ref="A72:A73"/>
    <mergeCell ref="B72:B73"/>
    <mergeCell ref="C72:C73"/>
    <mergeCell ref="D72:D73"/>
    <mergeCell ref="E72:G73"/>
    <mergeCell ref="H72:H73"/>
    <mergeCell ref="A76:A77"/>
    <mergeCell ref="B76:B77"/>
    <mergeCell ref="C76:C77"/>
    <mergeCell ref="D76:D77"/>
    <mergeCell ref="E76:G77"/>
    <mergeCell ref="H76:H77"/>
    <mergeCell ref="A74:A75"/>
    <mergeCell ref="B74:H75"/>
    <mergeCell ref="A70:A71"/>
    <mergeCell ref="B70:B71"/>
    <mergeCell ref="C70:C71"/>
    <mergeCell ref="D70:D71"/>
    <mergeCell ref="E70:G71"/>
    <mergeCell ref="H70:H71"/>
    <mergeCell ref="A67:A68"/>
    <mergeCell ref="B67:B68"/>
    <mergeCell ref="C67:C68"/>
    <mergeCell ref="D67:D68"/>
    <mergeCell ref="E67:G68"/>
    <mergeCell ref="H67:H68"/>
    <mergeCell ref="E69:G69"/>
    <mergeCell ref="A65:A66"/>
    <mergeCell ref="B65:B66"/>
    <mergeCell ref="C65:C66"/>
    <mergeCell ref="D65:D66"/>
    <mergeCell ref="E65:G66"/>
    <mergeCell ref="H65:H66"/>
    <mergeCell ref="A63:A64"/>
    <mergeCell ref="B63:B64"/>
    <mergeCell ref="C63:C64"/>
    <mergeCell ref="D63:D64"/>
    <mergeCell ref="E63:G64"/>
    <mergeCell ref="H63:H64"/>
    <mergeCell ref="A61:A62"/>
    <mergeCell ref="B61:B62"/>
    <mergeCell ref="C61:C62"/>
    <mergeCell ref="D61:D62"/>
    <mergeCell ref="E61:G62"/>
    <mergeCell ref="H61:H62"/>
    <mergeCell ref="A59:A60"/>
    <mergeCell ref="B59:B60"/>
    <mergeCell ref="C59:C60"/>
    <mergeCell ref="D59:D60"/>
    <mergeCell ref="E59:G60"/>
    <mergeCell ref="H59:H60"/>
    <mergeCell ref="A57:A58"/>
    <mergeCell ref="B57:B58"/>
    <mergeCell ref="C57:C58"/>
    <mergeCell ref="D57:D58"/>
    <mergeCell ref="E57:G58"/>
    <mergeCell ref="H57:H58"/>
    <mergeCell ref="A55:A56"/>
    <mergeCell ref="B55:B56"/>
    <mergeCell ref="C55:C56"/>
    <mergeCell ref="D55:D56"/>
    <mergeCell ref="E55:G56"/>
    <mergeCell ref="H55:H56"/>
    <mergeCell ref="A53:A54"/>
    <mergeCell ref="B53:B54"/>
    <mergeCell ref="C53:C54"/>
    <mergeCell ref="D53:D54"/>
    <mergeCell ref="E53:G54"/>
    <mergeCell ref="H53:H54"/>
    <mergeCell ref="A51:A52"/>
    <mergeCell ref="B51:B52"/>
    <mergeCell ref="C51:C52"/>
    <mergeCell ref="D51:D52"/>
    <mergeCell ref="E51:G52"/>
    <mergeCell ref="H51:H52"/>
    <mergeCell ref="A49:A50"/>
    <mergeCell ref="A47:A48"/>
    <mergeCell ref="B47:B48"/>
    <mergeCell ref="C47:C48"/>
    <mergeCell ref="D47:D48"/>
    <mergeCell ref="E47:G48"/>
    <mergeCell ref="H47:H48"/>
    <mergeCell ref="B49:H50"/>
    <mergeCell ref="A45:A46"/>
    <mergeCell ref="B45:B46"/>
    <mergeCell ref="C45:C46"/>
    <mergeCell ref="D45:D46"/>
    <mergeCell ref="E45:G46"/>
    <mergeCell ref="H45:H46"/>
    <mergeCell ref="A43:A44"/>
    <mergeCell ref="B43:B44"/>
    <mergeCell ref="C43:C44"/>
    <mergeCell ref="D43:D44"/>
    <mergeCell ref="E43:G44"/>
    <mergeCell ref="H43:H44"/>
    <mergeCell ref="A41:A42"/>
    <mergeCell ref="B41:B42"/>
    <mergeCell ref="C41:C42"/>
    <mergeCell ref="D41:D42"/>
    <mergeCell ref="E41:G42"/>
    <mergeCell ref="H41:H42"/>
    <mergeCell ref="A39:A40"/>
    <mergeCell ref="B39:B40"/>
    <mergeCell ref="C39:C40"/>
    <mergeCell ref="D39:D40"/>
    <mergeCell ref="E39:G40"/>
    <mergeCell ref="H39:H40"/>
    <mergeCell ref="A33:A34"/>
    <mergeCell ref="B33:B34"/>
    <mergeCell ref="C33:C34"/>
    <mergeCell ref="D33:D34"/>
    <mergeCell ref="E33:G34"/>
    <mergeCell ref="H33:H34"/>
    <mergeCell ref="A37:A38"/>
    <mergeCell ref="B37:B38"/>
    <mergeCell ref="C37:C38"/>
    <mergeCell ref="D37:D38"/>
    <mergeCell ref="E37:G38"/>
    <mergeCell ref="H37:H38"/>
    <mergeCell ref="A35:A36"/>
    <mergeCell ref="B35:B36"/>
    <mergeCell ref="C35:C36"/>
    <mergeCell ref="D35:D36"/>
    <mergeCell ref="E35:G36"/>
    <mergeCell ref="H35:H36"/>
    <mergeCell ref="A31:A32"/>
    <mergeCell ref="B31:B32"/>
    <mergeCell ref="C31:C32"/>
    <mergeCell ref="D31:D32"/>
    <mergeCell ref="E31:G32"/>
    <mergeCell ref="H31:H32"/>
    <mergeCell ref="H27:H28"/>
    <mergeCell ref="A29:A30"/>
    <mergeCell ref="B29:B30"/>
    <mergeCell ref="C29:C30"/>
    <mergeCell ref="D29:D30"/>
    <mergeCell ref="E29:G30"/>
    <mergeCell ref="H29:H30"/>
    <mergeCell ref="E25:G25"/>
    <mergeCell ref="E26:G26"/>
    <mergeCell ref="A27:A28"/>
    <mergeCell ref="B27:B28"/>
    <mergeCell ref="C27:C28"/>
    <mergeCell ref="D27:D28"/>
    <mergeCell ref="E27:G28"/>
    <mergeCell ref="A23:A24"/>
    <mergeCell ref="B23:B24"/>
    <mergeCell ref="C23:C24"/>
    <mergeCell ref="D23:D24"/>
    <mergeCell ref="E23:G24"/>
    <mergeCell ref="H23:H24"/>
    <mergeCell ref="A21:A22"/>
    <mergeCell ref="B21:B22"/>
    <mergeCell ref="C21:C22"/>
    <mergeCell ref="D21:D22"/>
    <mergeCell ref="E21:G22"/>
    <mergeCell ref="H21:H22"/>
    <mergeCell ref="A19:A20"/>
    <mergeCell ref="B19:B20"/>
    <mergeCell ref="C19:C20"/>
    <mergeCell ref="D19:D20"/>
    <mergeCell ref="E19:G20"/>
    <mergeCell ref="H19:H20"/>
    <mergeCell ref="A17:A18"/>
    <mergeCell ref="H13:H14"/>
    <mergeCell ref="A15:A16"/>
    <mergeCell ref="B15:B16"/>
    <mergeCell ref="C15:C16"/>
    <mergeCell ref="D15:D16"/>
    <mergeCell ref="E15:G16"/>
    <mergeCell ref="H15:H16"/>
    <mergeCell ref="B17:H18"/>
    <mergeCell ref="B13:B14"/>
    <mergeCell ref="C13:C14"/>
    <mergeCell ref="D13:D14"/>
    <mergeCell ref="E13:G14"/>
    <mergeCell ref="A10:A11"/>
    <mergeCell ref="B10:B11"/>
    <mergeCell ref="C10:C11"/>
    <mergeCell ref="D10:D11"/>
    <mergeCell ref="E10:G11"/>
    <mergeCell ref="A4:A5"/>
    <mergeCell ref="B4:B5"/>
    <mergeCell ref="C4:C5"/>
    <mergeCell ref="D4:D5"/>
    <mergeCell ref="E4:G5"/>
    <mergeCell ref="H4:H5"/>
    <mergeCell ref="A6:A7"/>
    <mergeCell ref="B6:B7"/>
    <mergeCell ref="C6:C7"/>
    <mergeCell ref="D6:D7"/>
    <mergeCell ref="E6:G7"/>
    <mergeCell ref="R1:R2"/>
    <mergeCell ref="A1:B1"/>
    <mergeCell ref="C1:D1"/>
    <mergeCell ref="I1:I2"/>
    <mergeCell ref="J1:J2"/>
    <mergeCell ref="K1:K2"/>
    <mergeCell ref="L1:L2"/>
    <mergeCell ref="E2:G2"/>
    <mergeCell ref="A3:H3"/>
    <mergeCell ref="M1:M2"/>
    <mergeCell ref="N1:N2"/>
    <mergeCell ref="O1:O2"/>
    <mergeCell ref="P1:P2"/>
    <mergeCell ref="Q1:Q2"/>
    <mergeCell ref="H10:H11"/>
    <mergeCell ref="A8:A9"/>
    <mergeCell ref="B8:B9"/>
    <mergeCell ref="C8:C9"/>
    <mergeCell ref="D8:D9"/>
    <mergeCell ref="E8:G9"/>
    <mergeCell ref="H8:H9"/>
    <mergeCell ref="H6:H7"/>
    <mergeCell ref="A120:A121"/>
    <mergeCell ref="B120:B121"/>
    <mergeCell ref="C120:C121"/>
    <mergeCell ref="D120:D121"/>
    <mergeCell ref="E120:G121"/>
    <mergeCell ref="H120:H121"/>
    <mergeCell ref="A116:A117"/>
    <mergeCell ref="B116:H117"/>
    <mergeCell ref="A118:A119"/>
    <mergeCell ref="B118:B119"/>
    <mergeCell ref="C118:C119"/>
    <mergeCell ref="D118:D119"/>
    <mergeCell ref="E118:G119"/>
    <mergeCell ref="H118:H119"/>
    <mergeCell ref="E12:G12"/>
    <mergeCell ref="A13:A14"/>
    <mergeCell ref="E128:G129"/>
    <mergeCell ref="H128:H129"/>
    <mergeCell ref="A130:A131"/>
    <mergeCell ref="B130:B131"/>
    <mergeCell ref="C130:C131"/>
    <mergeCell ref="D130:D131"/>
    <mergeCell ref="E130:G131"/>
    <mergeCell ref="H130:H131"/>
    <mergeCell ref="A122:A123"/>
    <mergeCell ref="B122:B123"/>
    <mergeCell ref="C122:C123"/>
    <mergeCell ref="D122:D123"/>
    <mergeCell ref="E122:G123"/>
    <mergeCell ref="H122:H123"/>
    <mergeCell ref="A124:A125"/>
    <mergeCell ref="B124:B125"/>
    <mergeCell ref="C124:C125"/>
    <mergeCell ref="D124:D125"/>
    <mergeCell ref="E124:G125"/>
    <mergeCell ref="H124:H125"/>
    <mergeCell ref="A134:A135"/>
    <mergeCell ref="B134:B135"/>
    <mergeCell ref="C134:C135"/>
    <mergeCell ref="D134:D135"/>
    <mergeCell ref="E134:G135"/>
    <mergeCell ref="H134:H135"/>
    <mergeCell ref="A136:A137"/>
    <mergeCell ref="B136:H137"/>
    <mergeCell ref="A126:A127"/>
    <mergeCell ref="B126:B127"/>
    <mergeCell ref="C126:C127"/>
    <mergeCell ref="D126:D127"/>
    <mergeCell ref="E126:G127"/>
    <mergeCell ref="H126:H127"/>
    <mergeCell ref="A132:A133"/>
    <mergeCell ref="B132:B133"/>
    <mergeCell ref="C132:C133"/>
    <mergeCell ref="D132:D133"/>
    <mergeCell ref="E132:G133"/>
    <mergeCell ref="H132:H133"/>
    <mergeCell ref="A128:A129"/>
    <mergeCell ref="B128:B129"/>
    <mergeCell ref="C128:C129"/>
    <mergeCell ref="D128:D129"/>
    <mergeCell ref="A138:A139"/>
    <mergeCell ref="B138:B139"/>
    <mergeCell ref="C138:C139"/>
    <mergeCell ref="D138:D139"/>
    <mergeCell ref="E138:G139"/>
    <mergeCell ref="H138:H139"/>
    <mergeCell ref="A140:A141"/>
    <mergeCell ref="B140:B141"/>
    <mergeCell ref="C140:C141"/>
    <mergeCell ref="D140:D141"/>
    <mergeCell ref="E140:G141"/>
    <mergeCell ref="H140:H141"/>
  </mergeCells>
  <phoneticPr fontId="1" type="noConversion"/>
  <pageMargins left="0" right="0" top="0" bottom="0" header="0" footer="0"/>
  <pageSetup paperSize="9" scale="36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45"/>
  <sheetViews>
    <sheetView showGridLines="0" zoomScale="115" zoomScaleNormal="115" workbookViewId="0">
      <pane xSplit="8" ySplit="2" topLeftCell="I120" activePane="bottomRight" state="frozen"/>
      <selection pane="topRight" activeCell="I1" sqref="I1"/>
      <selection pane="bottomLeft" activeCell="A3" sqref="A3"/>
      <selection pane="bottomRight" activeCell="I10" sqref="I10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0" max="10" width="13.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  <col min="18" max="18" width="9.5" bestFit="1" customWidth="1"/>
  </cols>
  <sheetData>
    <row r="1" spans="1:18" ht="35.25" customHeight="1" thickBot="1">
      <c r="A1" s="388" t="s">
        <v>4050</v>
      </c>
      <c r="B1" s="389"/>
      <c r="C1" s="402" t="s">
        <v>27</v>
      </c>
      <c r="D1" s="403"/>
      <c r="E1" s="21" t="s">
        <v>26</v>
      </c>
      <c r="F1" s="20">
        <f>H1/31</f>
        <v>1076545.1612903227</v>
      </c>
      <c r="G1" s="21" t="s">
        <v>4</v>
      </c>
      <c r="H1" s="22">
        <f>SUM(D4:D150)</f>
        <v>33372900</v>
      </c>
      <c r="I1" s="392"/>
      <c r="J1" s="338"/>
      <c r="K1" s="394"/>
      <c r="L1" s="396"/>
      <c r="M1" s="377"/>
      <c r="N1" s="379"/>
      <c r="O1" s="381"/>
      <c r="P1" s="383"/>
      <c r="Q1" s="377"/>
      <c r="R1" s="376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385" t="s">
        <v>25</v>
      </c>
      <c r="F2" s="386"/>
      <c r="G2" s="387"/>
      <c r="H2" s="25" t="s">
        <v>5</v>
      </c>
      <c r="I2" s="393"/>
      <c r="J2" s="333"/>
      <c r="K2" s="395"/>
      <c r="L2" s="397"/>
      <c r="M2" s="378"/>
      <c r="N2" s="380"/>
      <c r="O2" s="382"/>
      <c r="P2" s="384"/>
      <c r="Q2" s="378"/>
      <c r="R2" s="376"/>
    </row>
    <row r="3" spans="1:18" ht="36" customHeight="1">
      <c r="A3" s="441" t="s">
        <v>4250</v>
      </c>
      <c r="B3" s="442"/>
      <c r="C3" s="442"/>
      <c r="D3" s="442"/>
      <c r="E3" s="442"/>
      <c r="F3" s="442"/>
      <c r="G3" s="442"/>
      <c r="H3" s="443"/>
      <c r="I3" s="32"/>
      <c r="J3" s="33">
        <v>120000</v>
      </c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322">
        <v>45597</v>
      </c>
      <c r="B4" s="439" t="s">
        <v>3664</v>
      </c>
      <c r="C4" s="341"/>
      <c r="D4" s="326">
        <v>630000</v>
      </c>
      <c r="E4" s="562" t="s">
        <v>4248</v>
      </c>
      <c r="F4" s="582"/>
      <c r="G4" s="583"/>
      <c r="H4" s="398" t="s">
        <v>145</v>
      </c>
      <c r="J4" s="43">
        <v>141000</v>
      </c>
    </row>
    <row r="5" spans="1:18" ht="16.5" customHeight="1">
      <c r="A5" s="323"/>
      <c r="B5" s="440"/>
      <c r="C5" s="342"/>
      <c r="D5" s="326"/>
      <c r="E5" s="584"/>
      <c r="F5" s="585"/>
      <c r="G5" s="586"/>
      <c r="H5" s="399"/>
      <c r="J5" s="43">
        <v>100000</v>
      </c>
    </row>
    <row r="6" spans="1:18" ht="16.5" customHeight="1">
      <c r="A6" s="322">
        <v>45597</v>
      </c>
      <c r="B6" s="439" t="s">
        <v>4244</v>
      </c>
      <c r="C6" s="341"/>
      <c r="D6" s="343">
        <v>120000</v>
      </c>
      <c r="E6" s="562" t="s">
        <v>4251</v>
      </c>
      <c r="F6" s="563"/>
      <c r="G6" s="564"/>
      <c r="H6" s="610" t="s">
        <v>4247</v>
      </c>
    </row>
    <row r="7" spans="1:18" ht="51" customHeight="1">
      <c r="A7" s="323"/>
      <c r="B7" s="440"/>
      <c r="C7" s="342"/>
      <c r="D7" s="344"/>
      <c r="E7" s="565"/>
      <c r="F7" s="566"/>
      <c r="G7" s="567"/>
      <c r="H7" s="611"/>
    </row>
    <row r="8" spans="1:18" ht="16.5" customHeight="1">
      <c r="A8" s="322">
        <v>45597</v>
      </c>
      <c r="B8" s="444" t="s">
        <v>4245</v>
      </c>
      <c r="C8" s="341"/>
      <c r="D8" s="326">
        <v>140000</v>
      </c>
      <c r="E8" s="327"/>
      <c r="F8" s="328"/>
      <c r="G8" s="329"/>
      <c r="H8" s="398" t="s">
        <v>8</v>
      </c>
      <c r="J8" s="48"/>
    </row>
    <row r="9" spans="1:18" ht="16.5" customHeight="1">
      <c r="A9" s="323"/>
      <c r="B9" s="445"/>
      <c r="C9" s="342"/>
      <c r="D9" s="326"/>
      <c r="E9" s="330"/>
      <c r="F9" s="331"/>
      <c r="G9" s="332"/>
      <c r="H9" s="399"/>
    </row>
    <row r="10" spans="1:18" ht="16.5" customHeight="1">
      <c r="A10" s="322">
        <v>45597</v>
      </c>
      <c r="B10" s="496" t="s">
        <v>4246</v>
      </c>
      <c r="C10" s="341"/>
      <c r="D10" s="326">
        <v>137500</v>
      </c>
      <c r="E10" s="878"/>
      <c r="F10" s="879"/>
      <c r="G10" s="880"/>
      <c r="H10" s="400" t="s">
        <v>1455</v>
      </c>
    </row>
    <row r="11" spans="1:18" ht="26.25" customHeight="1">
      <c r="A11" s="323"/>
      <c r="B11" s="497"/>
      <c r="C11" s="342"/>
      <c r="D11" s="326"/>
      <c r="E11" s="881"/>
      <c r="F11" s="882"/>
      <c r="G11" s="883"/>
      <c r="H11" s="401"/>
    </row>
    <row r="12" spans="1:18" ht="45" customHeight="1">
      <c r="A12" s="157">
        <v>45598</v>
      </c>
      <c r="B12" s="163" t="s">
        <v>4252</v>
      </c>
      <c r="C12" s="160"/>
      <c r="D12" s="161">
        <v>17000</v>
      </c>
      <c r="E12" s="875"/>
      <c r="F12" s="876"/>
      <c r="G12" s="877"/>
      <c r="H12" s="98" t="s">
        <v>4249</v>
      </c>
    </row>
    <row r="13" spans="1:18" ht="16.5" customHeight="1">
      <c r="A13" s="322"/>
      <c r="B13" s="856" t="s">
        <v>4292</v>
      </c>
      <c r="C13" s="857"/>
      <c r="D13" s="857"/>
      <c r="E13" s="857"/>
      <c r="F13" s="857"/>
      <c r="G13" s="857"/>
      <c r="H13" s="858"/>
    </row>
    <row r="14" spans="1:18" ht="48" customHeight="1">
      <c r="A14" s="323"/>
      <c r="B14" s="859"/>
      <c r="C14" s="860"/>
      <c r="D14" s="860"/>
      <c r="E14" s="860"/>
      <c r="F14" s="860"/>
      <c r="G14" s="860"/>
      <c r="H14" s="861"/>
    </row>
    <row r="15" spans="1:18">
      <c r="A15" s="322">
        <v>45600</v>
      </c>
      <c r="B15" s="324" t="s">
        <v>4259</v>
      </c>
      <c r="C15" s="325"/>
      <c r="D15" s="326">
        <v>1160000</v>
      </c>
      <c r="E15" s="574" t="s">
        <v>4253</v>
      </c>
      <c r="F15" s="575"/>
      <c r="G15" s="575"/>
      <c r="H15" s="359" t="s">
        <v>4257</v>
      </c>
    </row>
    <row r="16" spans="1:18" ht="26.25" customHeight="1">
      <c r="A16" s="323"/>
      <c r="B16" s="325"/>
      <c r="C16" s="325"/>
      <c r="D16" s="326"/>
      <c r="E16" s="575"/>
      <c r="F16" s="575"/>
      <c r="G16" s="575"/>
      <c r="H16" s="359"/>
    </row>
    <row r="17" spans="1:8">
      <c r="A17" s="322">
        <v>45600</v>
      </c>
      <c r="B17" s="324" t="s">
        <v>4254</v>
      </c>
      <c r="C17" s="325"/>
      <c r="D17" s="326">
        <v>280000</v>
      </c>
      <c r="E17" s="337"/>
      <c r="F17" s="326"/>
      <c r="G17" s="326"/>
      <c r="H17" s="359" t="s">
        <v>4255</v>
      </c>
    </row>
    <row r="18" spans="1:8" ht="42.75" customHeight="1">
      <c r="A18" s="323"/>
      <c r="B18" s="325"/>
      <c r="C18" s="325"/>
      <c r="D18" s="326"/>
      <c r="E18" s="326"/>
      <c r="F18" s="326"/>
      <c r="G18" s="326"/>
      <c r="H18" s="359"/>
    </row>
    <row r="19" spans="1:8" ht="42.75" customHeight="1">
      <c r="A19" s="157">
        <v>45600</v>
      </c>
      <c r="B19" s="164" t="s">
        <v>4256</v>
      </c>
      <c r="C19" s="158"/>
      <c r="D19" s="159">
        <v>230000</v>
      </c>
      <c r="E19" s="627"/>
      <c r="F19" s="628"/>
      <c r="G19" s="629"/>
      <c r="H19" s="162" t="s">
        <v>147</v>
      </c>
    </row>
    <row r="20" spans="1:8" ht="42.75" customHeight="1">
      <c r="A20" s="157">
        <v>45600</v>
      </c>
      <c r="B20" s="158" t="s">
        <v>4270</v>
      </c>
      <c r="C20" s="158"/>
      <c r="D20" s="159">
        <v>150000</v>
      </c>
      <c r="E20" s="627"/>
      <c r="F20" s="628"/>
      <c r="G20" s="629"/>
      <c r="H20" s="165" t="s">
        <v>145</v>
      </c>
    </row>
    <row r="21" spans="1:8">
      <c r="A21" s="335">
        <v>45600</v>
      </c>
      <c r="B21" s="324" t="s">
        <v>4258</v>
      </c>
      <c r="C21" s="325"/>
      <c r="D21" s="326">
        <v>15000</v>
      </c>
      <c r="E21" s="337"/>
      <c r="F21" s="326"/>
      <c r="G21" s="326"/>
      <c r="H21" s="359" t="s">
        <v>2732</v>
      </c>
    </row>
    <row r="22" spans="1:8" ht="57" customHeight="1">
      <c r="A22" s="336"/>
      <c r="B22" s="325"/>
      <c r="C22" s="325"/>
      <c r="D22" s="326"/>
      <c r="E22" s="326"/>
      <c r="F22" s="326"/>
      <c r="G22" s="326"/>
      <c r="H22" s="359"/>
    </row>
    <row r="23" spans="1:8">
      <c r="A23" s="322">
        <v>45601</v>
      </c>
      <c r="B23" s="325" t="s">
        <v>4268</v>
      </c>
      <c r="C23" s="325"/>
      <c r="D23" s="326">
        <v>155100</v>
      </c>
      <c r="E23" s="337"/>
      <c r="F23" s="326"/>
      <c r="G23" s="326"/>
      <c r="H23" s="359" t="s">
        <v>4360</v>
      </c>
    </row>
    <row r="24" spans="1:8" ht="30.75" customHeight="1">
      <c r="A24" s="323"/>
      <c r="B24" s="325"/>
      <c r="C24" s="325"/>
      <c r="D24" s="326"/>
      <c r="E24" s="326"/>
      <c r="F24" s="326"/>
      <c r="G24" s="326"/>
      <c r="H24" s="359"/>
    </row>
    <row r="25" spans="1:8">
      <c r="A25" s="322">
        <v>45601</v>
      </c>
      <c r="B25" s="341" t="s">
        <v>4267</v>
      </c>
      <c r="C25" s="353"/>
      <c r="D25" s="343">
        <v>200000</v>
      </c>
      <c r="E25" s="574" t="s">
        <v>4269</v>
      </c>
      <c r="F25" s="727"/>
      <c r="G25" s="727"/>
      <c r="H25" s="359" t="s">
        <v>2732</v>
      </c>
    </row>
    <row r="26" spans="1:8" s="30" customFormat="1">
      <c r="A26" s="323"/>
      <c r="B26" s="342"/>
      <c r="C26" s="352"/>
      <c r="D26" s="344"/>
      <c r="E26" s="727"/>
      <c r="F26" s="727"/>
      <c r="G26" s="727"/>
      <c r="H26" s="359"/>
    </row>
    <row r="27" spans="1:8">
      <c r="A27" s="322">
        <v>45602</v>
      </c>
      <c r="B27" s="324" t="s">
        <v>4274</v>
      </c>
      <c r="C27" s="325"/>
      <c r="D27" s="326">
        <v>880000</v>
      </c>
      <c r="E27" s="337"/>
      <c r="F27" s="326"/>
      <c r="G27" s="326"/>
      <c r="H27" s="359" t="s">
        <v>4272</v>
      </c>
    </row>
    <row r="28" spans="1:8" s="30" customFormat="1">
      <c r="A28" s="323"/>
      <c r="B28" s="325"/>
      <c r="C28" s="325"/>
      <c r="D28" s="326"/>
      <c r="E28" s="326"/>
      <c r="F28" s="326"/>
      <c r="G28" s="326"/>
      <c r="H28" s="359"/>
    </row>
    <row r="29" spans="1:8">
      <c r="A29" s="322">
        <v>45602</v>
      </c>
      <c r="B29" s="324" t="s">
        <v>4275</v>
      </c>
      <c r="C29" s="325"/>
      <c r="D29" s="343">
        <v>860000</v>
      </c>
      <c r="E29" s="337"/>
      <c r="F29" s="326"/>
      <c r="G29" s="326"/>
      <c r="H29" s="360" t="s">
        <v>4273</v>
      </c>
    </row>
    <row r="30" spans="1:8" ht="28.5" customHeight="1">
      <c r="A30" s="323"/>
      <c r="B30" s="325"/>
      <c r="C30" s="325"/>
      <c r="D30" s="344"/>
      <c r="E30" s="326"/>
      <c r="F30" s="326"/>
      <c r="G30" s="326"/>
      <c r="H30" s="359"/>
    </row>
    <row r="31" spans="1:8" ht="16.5" customHeight="1">
      <c r="A31" s="322">
        <v>45603</v>
      </c>
      <c r="B31" s="324" t="s">
        <v>4276</v>
      </c>
      <c r="C31" s="325"/>
      <c r="D31" s="326">
        <v>506000</v>
      </c>
      <c r="E31" s="337" t="s">
        <v>4284</v>
      </c>
      <c r="F31" s="326"/>
      <c r="G31" s="326"/>
      <c r="H31" s="360" t="s">
        <v>4279</v>
      </c>
    </row>
    <row r="32" spans="1:8" ht="16.5" customHeight="1">
      <c r="A32" s="323"/>
      <c r="B32" s="325"/>
      <c r="C32" s="325"/>
      <c r="D32" s="326"/>
      <c r="E32" s="326"/>
      <c r="F32" s="326"/>
      <c r="G32" s="326"/>
      <c r="H32" s="359"/>
    </row>
    <row r="33" spans="1:11" ht="16.5" customHeight="1">
      <c r="A33" s="336">
        <v>45603</v>
      </c>
      <c r="B33" s="324" t="s">
        <v>4277</v>
      </c>
      <c r="C33" s="325"/>
      <c r="D33" s="326">
        <v>300000</v>
      </c>
      <c r="E33" s="327" t="s">
        <v>4285</v>
      </c>
      <c r="F33" s="328"/>
      <c r="G33" s="329"/>
      <c r="H33" s="400" t="s">
        <v>4280</v>
      </c>
    </row>
    <row r="34" spans="1:11" ht="16.5" customHeight="1">
      <c r="A34" s="323"/>
      <c r="B34" s="325"/>
      <c r="C34" s="325"/>
      <c r="D34" s="326"/>
      <c r="E34" s="330"/>
      <c r="F34" s="331"/>
      <c r="G34" s="332"/>
      <c r="H34" s="401"/>
    </row>
    <row r="35" spans="1:11" ht="16.5" customHeight="1">
      <c r="A35" s="336">
        <v>45603</v>
      </c>
      <c r="B35" s="341" t="s">
        <v>4278</v>
      </c>
      <c r="C35" s="341"/>
      <c r="D35" s="343">
        <v>480000</v>
      </c>
      <c r="E35" s="327"/>
      <c r="F35" s="328"/>
      <c r="G35" s="329"/>
      <c r="H35" s="359" t="s">
        <v>4281</v>
      </c>
    </row>
    <row r="36" spans="1:11" ht="16.5" customHeight="1">
      <c r="A36" s="323"/>
      <c r="B36" s="342"/>
      <c r="C36" s="342"/>
      <c r="D36" s="344"/>
      <c r="E36" s="330"/>
      <c r="F36" s="331"/>
      <c r="G36" s="332"/>
      <c r="H36" s="359"/>
    </row>
    <row r="37" spans="1:11" ht="16.5" customHeight="1">
      <c r="A37" s="335">
        <v>45603</v>
      </c>
      <c r="B37" s="341" t="s">
        <v>4282</v>
      </c>
      <c r="C37" s="353"/>
      <c r="D37" s="343">
        <v>230000</v>
      </c>
      <c r="E37" s="327"/>
      <c r="F37" s="328"/>
      <c r="G37" s="329"/>
      <c r="H37" s="325" t="s">
        <v>2361</v>
      </c>
    </row>
    <row r="38" spans="1:11" ht="17.25" customHeight="1">
      <c r="A38" s="336"/>
      <c r="B38" s="342"/>
      <c r="C38" s="352"/>
      <c r="D38" s="344"/>
      <c r="E38" s="330"/>
      <c r="F38" s="331"/>
      <c r="G38" s="332"/>
      <c r="H38" s="325"/>
      <c r="J38">
        <v>506000</v>
      </c>
    </row>
    <row r="39" spans="1:11" ht="16.5" customHeight="1">
      <c r="A39" s="336">
        <v>45604</v>
      </c>
      <c r="B39" s="324" t="s">
        <v>4286</v>
      </c>
      <c r="C39" s="325"/>
      <c r="D39" s="326">
        <v>1881000</v>
      </c>
      <c r="E39" s="327"/>
      <c r="F39" s="328"/>
      <c r="G39" s="329"/>
      <c r="H39" s="359" t="s">
        <v>4394</v>
      </c>
      <c r="J39">
        <v>1810000</v>
      </c>
    </row>
    <row r="40" spans="1:11" ht="16.5" customHeight="1">
      <c r="A40" s="323"/>
      <c r="B40" s="325"/>
      <c r="C40" s="325"/>
      <c r="D40" s="326"/>
      <c r="E40" s="330"/>
      <c r="F40" s="331"/>
      <c r="G40" s="332"/>
      <c r="H40" s="359"/>
      <c r="J40">
        <v>510000</v>
      </c>
    </row>
    <row r="41" spans="1:11" ht="16.5" customHeight="1">
      <c r="A41" s="336">
        <v>45604</v>
      </c>
      <c r="B41" s="324" t="s">
        <v>4287</v>
      </c>
      <c r="C41" s="325"/>
      <c r="D41" s="326">
        <v>510000</v>
      </c>
      <c r="E41" s="562" t="s">
        <v>4283</v>
      </c>
      <c r="F41" s="582"/>
      <c r="G41" s="583"/>
      <c r="H41" s="359" t="s">
        <v>2732</v>
      </c>
      <c r="J41">
        <v>100000</v>
      </c>
    </row>
    <row r="42" spans="1:11" ht="16.5" customHeight="1">
      <c r="A42" s="323"/>
      <c r="B42" s="325"/>
      <c r="C42" s="325"/>
      <c r="D42" s="326"/>
      <c r="E42" s="584"/>
      <c r="F42" s="585"/>
      <c r="G42" s="586"/>
      <c r="H42" s="359"/>
      <c r="J42">
        <v>141000</v>
      </c>
    </row>
    <row r="43" spans="1:11" ht="16.5" customHeight="1">
      <c r="A43" s="336">
        <v>45604</v>
      </c>
      <c r="B43" s="324" t="s">
        <v>4288</v>
      </c>
      <c r="C43" s="326"/>
      <c r="D43" s="326">
        <v>428000</v>
      </c>
      <c r="E43" s="327" t="s">
        <v>4305</v>
      </c>
      <c r="F43" s="328"/>
      <c r="G43" s="329"/>
      <c r="H43" s="359" t="s">
        <v>4291</v>
      </c>
      <c r="J43">
        <v>120000</v>
      </c>
    </row>
    <row r="44" spans="1:11" ht="23.25" customHeight="1">
      <c r="A44" s="323"/>
      <c r="B44" s="325"/>
      <c r="C44" s="326"/>
      <c r="D44" s="326"/>
      <c r="E44" s="330"/>
      <c r="F44" s="331"/>
      <c r="G44" s="332"/>
      <c r="H44" s="359"/>
      <c r="J44">
        <v>5400000</v>
      </c>
    </row>
    <row r="45" spans="1:11" ht="16.5" customHeight="1">
      <c r="A45" s="322">
        <v>45604</v>
      </c>
      <c r="B45" s="324" t="s">
        <v>4289</v>
      </c>
      <c r="C45" s="325"/>
      <c r="D45" s="326">
        <v>50000</v>
      </c>
      <c r="E45" s="337"/>
      <c r="F45" s="326"/>
      <c r="G45" s="326"/>
      <c r="H45" s="359" t="s">
        <v>4290</v>
      </c>
      <c r="I45" s="3"/>
      <c r="K45" s="23"/>
    </row>
    <row r="46" spans="1:11" ht="24.75" customHeight="1">
      <c r="A46" s="323"/>
      <c r="B46" s="325"/>
      <c r="C46" s="325"/>
      <c r="D46" s="326"/>
      <c r="E46" s="326"/>
      <c r="F46" s="326"/>
      <c r="G46" s="326"/>
      <c r="H46" s="359"/>
    </row>
    <row r="47" spans="1:11" ht="16.5" customHeight="1">
      <c r="A47" s="322"/>
      <c r="B47" s="695" t="s">
        <v>4368</v>
      </c>
      <c r="C47" s="696"/>
      <c r="D47" s="696"/>
      <c r="E47" s="696"/>
      <c r="F47" s="696"/>
      <c r="G47" s="696"/>
      <c r="H47" s="697"/>
      <c r="J47">
        <v>380000</v>
      </c>
    </row>
    <row r="48" spans="1:11" ht="43.5" customHeight="1">
      <c r="A48" s="323"/>
      <c r="B48" s="698"/>
      <c r="C48" s="699"/>
      <c r="D48" s="699"/>
      <c r="E48" s="699"/>
      <c r="F48" s="699"/>
      <c r="G48" s="699"/>
      <c r="H48" s="700"/>
    </row>
    <row r="49" spans="1:8" ht="16.5" customHeight="1">
      <c r="A49" s="322">
        <v>45607</v>
      </c>
      <c r="B49" s="324" t="s">
        <v>4306</v>
      </c>
      <c r="C49" s="325"/>
      <c r="D49" s="326">
        <v>180000</v>
      </c>
      <c r="E49" s="327" t="s">
        <v>4307</v>
      </c>
      <c r="F49" s="328"/>
      <c r="G49" s="329"/>
      <c r="H49" s="359" t="s">
        <v>4294</v>
      </c>
    </row>
    <row r="50" spans="1:8" ht="16.5" customHeight="1">
      <c r="A50" s="323"/>
      <c r="B50" s="325"/>
      <c r="C50" s="325"/>
      <c r="D50" s="326"/>
      <c r="E50" s="330"/>
      <c r="F50" s="331"/>
      <c r="G50" s="332"/>
      <c r="H50" s="359"/>
    </row>
    <row r="51" spans="1:8">
      <c r="A51" s="322">
        <v>45607</v>
      </c>
      <c r="B51" s="324" t="s">
        <v>4302</v>
      </c>
      <c r="C51" s="325"/>
      <c r="D51" s="326">
        <v>12000</v>
      </c>
      <c r="E51" s="337"/>
      <c r="F51" s="326"/>
      <c r="G51" s="326"/>
      <c r="H51" s="359" t="s">
        <v>4293</v>
      </c>
    </row>
    <row r="52" spans="1:8" ht="21.75" customHeight="1">
      <c r="A52" s="323"/>
      <c r="B52" s="325"/>
      <c r="C52" s="325"/>
      <c r="D52" s="326"/>
      <c r="E52" s="326"/>
      <c r="F52" s="326"/>
      <c r="G52" s="326"/>
      <c r="H52" s="359"/>
    </row>
    <row r="53" spans="1:8" ht="16.5" customHeight="1">
      <c r="A53" s="322">
        <v>45608</v>
      </c>
      <c r="B53" s="324" t="s">
        <v>4301</v>
      </c>
      <c r="C53" s="325"/>
      <c r="D53" s="326">
        <v>840000</v>
      </c>
      <c r="E53" s="575" t="s">
        <v>4298</v>
      </c>
      <c r="F53" s="575"/>
      <c r="G53" s="575"/>
      <c r="H53" s="359" t="s">
        <v>4297</v>
      </c>
    </row>
    <row r="54" spans="1:8" ht="16.5" customHeight="1">
      <c r="A54" s="323"/>
      <c r="B54" s="325"/>
      <c r="C54" s="325"/>
      <c r="D54" s="326"/>
      <c r="E54" s="575"/>
      <c r="F54" s="575"/>
      <c r="G54" s="575"/>
      <c r="H54" s="359"/>
    </row>
    <row r="55" spans="1:8" ht="16.5" customHeight="1">
      <c r="A55" s="322">
        <v>45608</v>
      </c>
      <c r="B55" s="324" t="s">
        <v>4300</v>
      </c>
      <c r="C55" s="325"/>
      <c r="D55" s="326">
        <v>2250000</v>
      </c>
      <c r="E55" s="562" t="s">
        <v>4299</v>
      </c>
      <c r="F55" s="582"/>
      <c r="G55" s="583"/>
      <c r="H55" s="359" t="s">
        <v>4296</v>
      </c>
    </row>
    <row r="56" spans="1:8" ht="16.5" customHeight="1">
      <c r="A56" s="323"/>
      <c r="B56" s="325"/>
      <c r="C56" s="325"/>
      <c r="D56" s="326"/>
      <c r="E56" s="584"/>
      <c r="F56" s="585"/>
      <c r="G56" s="586"/>
      <c r="H56" s="359"/>
    </row>
    <row r="57" spans="1:8">
      <c r="A57" s="313">
        <v>45609</v>
      </c>
      <c r="B57" s="324" t="s">
        <v>4295</v>
      </c>
      <c r="C57" s="325"/>
      <c r="D57" s="326">
        <v>200000</v>
      </c>
      <c r="E57" s="326" t="s">
        <v>4308</v>
      </c>
      <c r="F57" s="326"/>
      <c r="G57" s="326"/>
      <c r="H57" s="359" t="s">
        <v>4296</v>
      </c>
    </row>
    <row r="58" spans="1:8">
      <c r="A58" s="305"/>
      <c r="B58" s="325"/>
      <c r="C58" s="325"/>
      <c r="D58" s="326"/>
      <c r="E58" s="326"/>
      <c r="F58" s="326"/>
      <c r="G58" s="326"/>
      <c r="H58" s="359"/>
    </row>
    <row r="59" spans="1:8" ht="33.75" customHeight="1">
      <c r="A59" s="156">
        <v>45609</v>
      </c>
      <c r="B59" s="158" t="s">
        <v>4303</v>
      </c>
      <c r="C59" s="158"/>
      <c r="D59" s="159">
        <v>550000</v>
      </c>
      <c r="E59" s="808" t="s">
        <v>4304</v>
      </c>
      <c r="F59" s="722"/>
      <c r="G59" s="723"/>
      <c r="H59" s="162" t="s">
        <v>145</v>
      </c>
    </row>
    <row r="60" spans="1:8" ht="16.5" customHeight="1">
      <c r="A60" s="313">
        <v>45610</v>
      </c>
      <c r="B60" s="324" t="s">
        <v>4358</v>
      </c>
      <c r="C60" s="325"/>
      <c r="D60" s="326">
        <v>800000</v>
      </c>
      <c r="E60" s="562" t="s">
        <v>4309</v>
      </c>
      <c r="F60" s="582"/>
      <c r="G60" s="583"/>
      <c r="H60" s="359" t="s">
        <v>2732</v>
      </c>
    </row>
    <row r="61" spans="1:8" ht="16.5" customHeight="1">
      <c r="A61" s="305"/>
      <c r="B61" s="325"/>
      <c r="C61" s="325"/>
      <c r="D61" s="326"/>
      <c r="E61" s="584"/>
      <c r="F61" s="585"/>
      <c r="G61" s="586"/>
      <c r="H61" s="359"/>
    </row>
    <row r="62" spans="1:8">
      <c r="A62" s="313">
        <v>45610</v>
      </c>
      <c r="B62" s="325" t="s">
        <v>4359</v>
      </c>
      <c r="C62" s="325"/>
      <c r="D62" s="326">
        <v>200000</v>
      </c>
      <c r="E62" s="575" t="s">
        <v>4310</v>
      </c>
      <c r="F62" s="575"/>
      <c r="G62" s="575"/>
      <c r="H62" s="359" t="s">
        <v>2732</v>
      </c>
    </row>
    <row r="63" spans="1:8">
      <c r="A63" s="305"/>
      <c r="B63" s="353"/>
      <c r="C63" s="353"/>
      <c r="D63" s="343"/>
      <c r="E63" s="834"/>
      <c r="F63" s="834"/>
      <c r="G63" s="834"/>
      <c r="H63" s="359"/>
    </row>
    <row r="64" spans="1:8">
      <c r="A64" s="797">
        <v>45610</v>
      </c>
      <c r="B64" s="325" t="s">
        <v>4356</v>
      </c>
      <c r="C64" s="325"/>
      <c r="D64" s="326">
        <v>143000</v>
      </c>
      <c r="E64" s="326" t="s">
        <v>4357</v>
      </c>
      <c r="F64" s="326"/>
      <c r="G64" s="326"/>
      <c r="H64" s="325" t="s">
        <v>4355</v>
      </c>
    </row>
    <row r="65" spans="1:8">
      <c r="A65" s="798"/>
      <c r="B65" s="325"/>
      <c r="C65" s="325"/>
      <c r="D65" s="326"/>
      <c r="E65" s="326"/>
      <c r="F65" s="326"/>
      <c r="G65" s="326"/>
      <c r="H65" s="325"/>
    </row>
    <row r="66" spans="1:8">
      <c r="A66" s="797">
        <v>45611</v>
      </c>
      <c r="B66" s="325" t="s">
        <v>4361</v>
      </c>
      <c r="C66" s="325"/>
      <c r="D66" s="326">
        <v>1050000</v>
      </c>
      <c r="E66" s="575" t="s">
        <v>4362</v>
      </c>
      <c r="F66" s="575"/>
      <c r="G66" s="575"/>
      <c r="H66" s="359" t="s">
        <v>2732</v>
      </c>
    </row>
    <row r="67" spans="1:8">
      <c r="A67" s="798"/>
      <c r="B67" s="325"/>
      <c r="C67" s="325"/>
      <c r="D67" s="326"/>
      <c r="E67" s="575"/>
      <c r="F67" s="575"/>
      <c r="G67" s="575"/>
      <c r="H67" s="359"/>
    </row>
    <row r="68" spans="1:8">
      <c r="A68" s="797">
        <v>45611</v>
      </c>
      <c r="B68" s="325" t="s">
        <v>4369</v>
      </c>
      <c r="C68" s="325"/>
      <c r="D68" s="326">
        <v>26800</v>
      </c>
      <c r="E68" s="326" t="s">
        <v>4371</v>
      </c>
      <c r="F68" s="326"/>
      <c r="G68" s="326"/>
      <c r="H68" s="325" t="s">
        <v>4372</v>
      </c>
    </row>
    <row r="69" spans="1:8">
      <c r="A69" s="798"/>
      <c r="B69" s="325"/>
      <c r="C69" s="325"/>
      <c r="D69" s="326"/>
      <c r="E69" s="326"/>
      <c r="F69" s="326"/>
      <c r="G69" s="326"/>
      <c r="H69" s="325"/>
    </row>
    <row r="70" spans="1:8">
      <c r="A70" s="797">
        <v>45611</v>
      </c>
      <c r="B70" s="325" t="s">
        <v>4370</v>
      </c>
      <c r="C70" s="325"/>
      <c r="D70" s="326">
        <v>10000</v>
      </c>
      <c r="E70" s="326" t="s">
        <v>4373</v>
      </c>
      <c r="F70" s="326"/>
      <c r="G70" s="326"/>
      <c r="H70" s="325" t="s">
        <v>4374</v>
      </c>
    </row>
    <row r="71" spans="1:8">
      <c r="A71" s="798"/>
      <c r="B71" s="325"/>
      <c r="C71" s="325"/>
      <c r="D71" s="326"/>
      <c r="E71" s="326"/>
      <c r="F71" s="326"/>
      <c r="G71" s="326"/>
      <c r="H71" s="325"/>
    </row>
    <row r="72" spans="1:8">
      <c r="A72" s="313"/>
      <c r="B72" s="670" t="s">
        <v>4408</v>
      </c>
      <c r="C72" s="868"/>
      <c r="D72" s="868"/>
      <c r="E72" s="868"/>
      <c r="F72" s="868"/>
      <c r="G72" s="868"/>
      <c r="H72" s="873"/>
    </row>
    <row r="73" spans="1:8" ht="45.75" customHeight="1">
      <c r="A73" s="305"/>
      <c r="B73" s="870"/>
      <c r="C73" s="871"/>
      <c r="D73" s="871"/>
      <c r="E73" s="871"/>
      <c r="F73" s="871"/>
      <c r="G73" s="871"/>
      <c r="H73" s="874"/>
    </row>
    <row r="74" spans="1:8" ht="17.25" customHeight="1">
      <c r="A74" s="313">
        <v>45614</v>
      </c>
      <c r="B74" s="325" t="s">
        <v>4376</v>
      </c>
      <c r="C74" s="325"/>
      <c r="D74" s="326">
        <v>730000</v>
      </c>
      <c r="E74" s="337" t="s">
        <v>4378</v>
      </c>
      <c r="F74" s="326"/>
      <c r="G74" s="326"/>
      <c r="H74" s="325" t="s">
        <v>4375</v>
      </c>
    </row>
    <row r="75" spans="1:8" ht="24.75" customHeight="1">
      <c r="A75" s="305"/>
      <c r="B75" s="325"/>
      <c r="C75" s="325"/>
      <c r="D75" s="326"/>
      <c r="E75" s="326"/>
      <c r="F75" s="326"/>
      <c r="G75" s="326"/>
      <c r="H75" s="325"/>
    </row>
    <row r="76" spans="1:8" ht="17.25" customHeight="1">
      <c r="A76" s="313">
        <v>45614</v>
      </c>
      <c r="B76" s="325" t="s">
        <v>4377</v>
      </c>
      <c r="C76" s="325"/>
      <c r="D76" s="326">
        <v>440000</v>
      </c>
      <c r="E76" s="326"/>
      <c r="F76" s="326"/>
      <c r="G76" s="326"/>
      <c r="H76" s="325" t="s">
        <v>1524</v>
      </c>
    </row>
    <row r="77" spans="1:8" ht="19.5" customHeight="1">
      <c r="A77" s="305"/>
      <c r="B77" s="325"/>
      <c r="C77" s="325"/>
      <c r="D77" s="326"/>
      <c r="E77" s="326"/>
      <c r="F77" s="326"/>
      <c r="G77" s="326"/>
      <c r="H77" s="325"/>
    </row>
    <row r="78" spans="1:8">
      <c r="A78" s="313">
        <v>45614</v>
      </c>
      <c r="B78" s="325" t="s">
        <v>4379</v>
      </c>
      <c r="C78" s="325"/>
      <c r="D78" s="326">
        <v>100000</v>
      </c>
      <c r="E78" s="337"/>
      <c r="F78" s="326"/>
      <c r="G78" s="326"/>
      <c r="H78" s="325" t="s">
        <v>4382</v>
      </c>
    </row>
    <row r="79" spans="1:8">
      <c r="A79" s="305"/>
      <c r="B79" s="325"/>
      <c r="C79" s="325"/>
      <c r="D79" s="326"/>
      <c r="E79" s="326"/>
      <c r="F79" s="326"/>
      <c r="G79" s="326"/>
      <c r="H79" s="325"/>
    </row>
    <row r="80" spans="1:8">
      <c r="A80" s="313">
        <v>45614</v>
      </c>
      <c r="B80" s="325" t="s">
        <v>4380</v>
      </c>
      <c r="C80" s="325"/>
      <c r="D80" s="326">
        <v>190000</v>
      </c>
      <c r="E80" s="326"/>
      <c r="F80" s="326"/>
      <c r="G80" s="326"/>
      <c r="H80" s="359" t="s">
        <v>4381</v>
      </c>
    </row>
    <row r="81" spans="1:8">
      <c r="A81" s="305"/>
      <c r="B81" s="325"/>
      <c r="C81" s="325"/>
      <c r="D81" s="326"/>
      <c r="E81" s="326"/>
      <c r="F81" s="326"/>
      <c r="G81" s="326"/>
      <c r="H81" s="359"/>
    </row>
    <row r="82" spans="1:8">
      <c r="A82" s="313">
        <v>45615</v>
      </c>
      <c r="B82" s="325" t="s">
        <v>4383</v>
      </c>
      <c r="C82" s="325"/>
      <c r="D82" s="326">
        <v>600000</v>
      </c>
      <c r="E82" s="575" t="s">
        <v>4384</v>
      </c>
      <c r="F82" s="575"/>
      <c r="G82" s="575"/>
      <c r="H82" s="359" t="s">
        <v>145</v>
      </c>
    </row>
    <row r="83" spans="1:8">
      <c r="A83" s="305"/>
      <c r="B83" s="325"/>
      <c r="C83" s="325"/>
      <c r="D83" s="326"/>
      <c r="E83" s="575"/>
      <c r="F83" s="575"/>
      <c r="G83" s="575"/>
      <c r="H83" s="359"/>
    </row>
    <row r="84" spans="1:8">
      <c r="A84" s="313">
        <v>45615</v>
      </c>
      <c r="B84" s="325" t="s">
        <v>4385</v>
      </c>
      <c r="C84" s="325"/>
      <c r="D84" s="326">
        <v>280000</v>
      </c>
      <c r="E84" s="326" t="s">
        <v>4386</v>
      </c>
      <c r="F84" s="326"/>
      <c r="G84" s="326"/>
      <c r="H84" s="359" t="s">
        <v>4387</v>
      </c>
    </row>
    <row r="85" spans="1:8">
      <c r="A85" s="305"/>
      <c r="B85" s="325"/>
      <c r="C85" s="325"/>
      <c r="D85" s="326"/>
      <c r="E85" s="326"/>
      <c r="F85" s="326"/>
      <c r="G85" s="326"/>
      <c r="H85" s="359"/>
    </row>
    <row r="86" spans="1:8">
      <c r="A86" s="313">
        <v>45616</v>
      </c>
      <c r="B86" s="325" t="s">
        <v>4388</v>
      </c>
      <c r="C86" s="325"/>
      <c r="D86" s="326">
        <v>900000</v>
      </c>
      <c r="E86" s="575" t="s">
        <v>4389</v>
      </c>
      <c r="F86" s="575"/>
      <c r="G86" s="575"/>
      <c r="H86" s="359" t="s">
        <v>151</v>
      </c>
    </row>
    <row r="87" spans="1:8">
      <c r="A87" s="305"/>
      <c r="B87" s="325"/>
      <c r="C87" s="325"/>
      <c r="D87" s="326"/>
      <c r="E87" s="575"/>
      <c r="F87" s="575"/>
      <c r="G87" s="575"/>
      <c r="H87" s="359"/>
    </row>
    <row r="88" spans="1:8">
      <c r="A88" s="313">
        <v>45616</v>
      </c>
      <c r="B88" s="325" t="s">
        <v>4410</v>
      </c>
      <c r="C88" s="325"/>
      <c r="D88" s="326">
        <v>560000</v>
      </c>
      <c r="E88" s="326"/>
      <c r="F88" s="326"/>
      <c r="G88" s="326"/>
      <c r="H88" s="333" t="s">
        <v>4390</v>
      </c>
    </row>
    <row r="89" spans="1:8">
      <c r="A89" s="305"/>
      <c r="B89" s="325"/>
      <c r="C89" s="325"/>
      <c r="D89" s="326"/>
      <c r="E89" s="326"/>
      <c r="F89" s="326"/>
      <c r="G89" s="326"/>
      <c r="H89" s="333"/>
    </row>
    <row r="90" spans="1:8">
      <c r="A90" s="313">
        <v>45616</v>
      </c>
      <c r="B90" s="325" t="s">
        <v>4391</v>
      </c>
      <c r="C90" s="325"/>
      <c r="D90" s="326">
        <v>1810000</v>
      </c>
      <c r="E90" s="326"/>
      <c r="F90" s="326"/>
      <c r="G90" s="326"/>
      <c r="H90" s="359" t="s">
        <v>145</v>
      </c>
    </row>
    <row r="91" spans="1:8">
      <c r="A91" s="305"/>
      <c r="B91" s="325"/>
      <c r="C91" s="325"/>
      <c r="D91" s="326"/>
      <c r="E91" s="326"/>
      <c r="F91" s="326"/>
      <c r="G91" s="326"/>
      <c r="H91" s="359"/>
    </row>
    <row r="92" spans="1:8">
      <c r="A92" s="313">
        <v>45617</v>
      </c>
      <c r="B92" s="325" t="s">
        <v>4392</v>
      </c>
      <c r="C92" s="325"/>
      <c r="D92" s="326">
        <v>1030000</v>
      </c>
      <c r="E92" s="575" t="s">
        <v>4393</v>
      </c>
      <c r="F92" s="575"/>
      <c r="G92" s="575"/>
      <c r="H92" s="359" t="s">
        <v>145</v>
      </c>
    </row>
    <row r="93" spans="1:8">
      <c r="A93" s="305"/>
      <c r="B93" s="325"/>
      <c r="C93" s="325"/>
      <c r="D93" s="326"/>
      <c r="E93" s="575"/>
      <c r="F93" s="575"/>
      <c r="G93" s="575"/>
      <c r="H93" s="359"/>
    </row>
    <row r="94" spans="1:8">
      <c r="A94" s="313">
        <v>45617</v>
      </c>
      <c r="B94" s="325" t="s">
        <v>4395</v>
      </c>
      <c r="C94" s="325"/>
      <c r="D94" s="326">
        <v>130000</v>
      </c>
      <c r="E94" s="326" t="s">
        <v>4396</v>
      </c>
      <c r="F94" s="326"/>
      <c r="G94" s="326"/>
      <c r="H94" s="359" t="s">
        <v>4397</v>
      </c>
    </row>
    <row r="95" spans="1:8">
      <c r="A95" s="305"/>
      <c r="B95" s="325"/>
      <c r="C95" s="325"/>
      <c r="D95" s="326"/>
      <c r="E95" s="326"/>
      <c r="F95" s="326"/>
      <c r="G95" s="326"/>
      <c r="H95" s="359"/>
    </row>
    <row r="96" spans="1:8">
      <c r="A96" s="313">
        <v>45617</v>
      </c>
      <c r="B96" s="325" t="s">
        <v>4398</v>
      </c>
      <c r="C96" s="325"/>
      <c r="D96" s="326">
        <v>90000</v>
      </c>
      <c r="E96" s="326"/>
      <c r="F96" s="326"/>
      <c r="G96" s="326"/>
      <c r="H96" s="359" t="s">
        <v>8</v>
      </c>
    </row>
    <row r="97" spans="1:8">
      <c r="A97" s="305"/>
      <c r="B97" s="325"/>
      <c r="C97" s="325"/>
      <c r="D97" s="326"/>
      <c r="E97" s="326"/>
      <c r="F97" s="326"/>
      <c r="G97" s="326"/>
      <c r="H97" s="359"/>
    </row>
    <row r="98" spans="1:8">
      <c r="A98" s="313">
        <v>45618</v>
      </c>
      <c r="B98" s="325" t="s">
        <v>4399</v>
      </c>
      <c r="C98" s="325"/>
      <c r="D98" s="326">
        <v>1406000</v>
      </c>
      <c r="E98" s="575" t="s">
        <v>4400</v>
      </c>
      <c r="F98" s="575"/>
      <c r="G98" s="575"/>
      <c r="H98" s="359" t="s">
        <v>4407</v>
      </c>
    </row>
    <row r="99" spans="1:8">
      <c r="A99" s="305"/>
      <c r="B99" s="325"/>
      <c r="C99" s="325"/>
      <c r="D99" s="326"/>
      <c r="E99" s="575"/>
      <c r="F99" s="575"/>
      <c r="G99" s="575"/>
      <c r="H99" s="359"/>
    </row>
    <row r="100" spans="1:8" ht="17.25" customHeight="1">
      <c r="A100" s="313">
        <v>45618</v>
      </c>
      <c r="B100" s="325" t="s">
        <v>4401</v>
      </c>
      <c r="C100" s="325"/>
      <c r="D100" s="326">
        <v>700000</v>
      </c>
      <c r="E100" s="575" t="s">
        <v>4402</v>
      </c>
      <c r="F100" s="575"/>
      <c r="G100" s="575"/>
      <c r="H100" s="359" t="s">
        <v>4397</v>
      </c>
    </row>
    <row r="101" spans="1:8" ht="17.25" customHeight="1">
      <c r="A101" s="305"/>
      <c r="B101" s="325"/>
      <c r="C101" s="325"/>
      <c r="D101" s="326"/>
      <c r="E101" s="575"/>
      <c r="F101" s="575"/>
      <c r="G101" s="575"/>
      <c r="H101" s="359"/>
    </row>
    <row r="102" spans="1:8" ht="17.25" customHeight="1">
      <c r="A102" s="313">
        <v>45618</v>
      </c>
      <c r="B102" s="325" t="s">
        <v>4403</v>
      </c>
      <c r="C102" s="325"/>
      <c r="D102" s="326">
        <v>480000</v>
      </c>
      <c r="E102" s="326" t="s">
        <v>4404</v>
      </c>
      <c r="F102" s="326"/>
      <c r="G102" s="326"/>
      <c r="H102" s="359" t="s">
        <v>4405</v>
      </c>
    </row>
    <row r="103" spans="1:8" ht="17.25" customHeight="1">
      <c r="A103" s="305"/>
      <c r="B103" s="325"/>
      <c r="C103" s="325"/>
      <c r="D103" s="326"/>
      <c r="E103" s="326"/>
      <c r="F103" s="326"/>
      <c r="G103" s="326"/>
      <c r="H103" s="359"/>
    </row>
    <row r="104" spans="1:8">
      <c r="A104" s="313">
        <v>45618</v>
      </c>
      <c r="B104" s="325"/>
      <c r="C104" s="325"/>
      <c r="D104" s="326">
        <v>350000</v>
      </c>
      <c r="E104" s="326"/>
      <c r="F104" s="326"/>
      <c r="G104" s="326"/>
      <c r="H104" s="359" t="s">
        <v>4406</v>
      </c>
    </row>
    <row r="105" spans="1:8">
      <c r="A105" s="305"/>
      <c r="B105" s="325"/>
      <c r="C105" s="325"/>
      <c r="D105" s="326"/>
      <c r="E105" s="326"/>
      <c r="F105" s="326"/>
      <c r="G105" s="326"/>
      <c r="H105" s="359"/>
    </row>
    <row r="106" spans="1:8">
      <c r="A106" s="313"/>
      <c r="B106" s="670" t="s">
        <v>4449</v>
      </c>
      <c r="C106" s="868"/>
      <c r="D106" s="868"/>
      <c r="E106" s="868"/>
      <c r="F106" s="868"/>
      <c r="G106" s="868"/>
      <c r="H106" s="869"/>
    </row>
    <row r="107" spans="1:8" ht="62.25" customHeight="1">
      <c r="A107" s="305"/>
      <c r="B107" s="870"/>
      <c r="C107" s="871"/>
      <c r="D107" s="871"/>
      <c r="E107" s="871"/>
      <c r="F107" s="871"/>
      <c r="G107" s="871"/>
      <c r="H107" s="872"/>
    </row>
    <row r="108" spans="1:8" ht="17.25" customHeight="1">
      <c r="A108" s="313">
        <v>45621</v>
      </c>
      <c r="B108" s="325" t="s">
        <v>4414</v>
      </c>
      <c r="C108" s="325"/>
      <c r="D108" s="326">
        <v>430000</v>
      </c>
      <c r="E108" s="575" t="s">
        <v>4415</v>
      </c>
      <c r="F108" s="575"/>
      <c r="G108" s="575"/>
      <c r="H108" s="359" t="s">
        <v>145</v>
      </c>
    </row>
    <row r="109" spans="1:8" ht="17.25" customHeight="1">
      <c r="A109" s="305"/>
      <c r="B109" s="325"/>
      <c r="C109" s="325"/>
      <c r="D109" s="326"/>
      <c r="E109" s="575"/>
      <c r="F109" s="575"/>
      <c r="G109" s="575"/>
      <c r="H109" s="359"/>
    </row>
    <row r="110" spans="1:8">
      <c r="A110" s="313">
        <v>45621</v>
      </c>
      <c r="B110" s="325" t="s">
        <v>4413</v>
      </c>
      <c r="C110" s="325"/>
      <c r="D110" s="326">
        <v>155000</v>
      </c>
      <c r="E110" s="326" t="s">
        <v>4416</v>
      </c>
      <c r="F110" s="326"/>
      <c r="G110" s="326"/>
      <c r="H110" s="359" t="s">
        <v>4412</v>
      </c>
    </row>
    <row r="111" spans="1:8">
      <c r="A111" s="305"/>
      <c r="B111" s="325"/>
      <c r="C111" s="325"/>
      <c r="D111" s="326"/>
      <c r="E111" s="326"/>
      <c r="F111" s="326"/>
      <c r="G111" s="326"/>
      <c r="H111" s="359"/>
    </row>
    <row r="112" spans="1:8">
      <c r="A112" s="313">
        <v>45621</v>
      </c>
      <c r="B112" s="325" t="s">
        <v>4409</v>
      </c>
      <c r="C112" s="325"/>
      <c r="D112" s="326">
        <v>200000</v>
      </c>
      <c r="E112" s="575" t="s">
        <v>4417</v>
      </c>
      <c r="F112" s="575"/>
      <c r="G112" s="575"/>
      <c r="H112" s="359" t="s">
        <v>4412</v>
      </c>
    </row>
    <row r="113" spans="1:8">
      <c r="A113" s="305"/>
      <c r="B113" s="325"/>
      <c r="C113" s="325"/>
      <c r="D113" s="326"/>
      <c r="E113" s="575"/>
      <c r="F113" s="575"/>
      <c r="G113" s="575"/>
      <c r="H113" s="359"/>
    </row>
    <row r="114" spans="1:8" ht="17.25" customHeight="1">
      <c r="A114" s="313">
        <v>45622</v>
      </c>
      <c r="B114" s="325" t="s">
        <v>4418</v>
      </c>
      <c r="C114" s="325"/>
      <c r="D114" s="326">
        <v>1260000</v>
      </c>
      <c r="E114" s="575" t="s">
        <v>4417</v>
      </c>
      <c r="F114" s="575"/>
      <c r="G114" s="575"/>
      <c r="H114" s="359" t="s">
        <v>145</v>
      </c>
    </row>
    <row r="115" spans="1:8" ht="17.25" customHeight="1">
      <c r="A115" s="305"/>
      <c r="B115" s="325"/>
      <c r="C115" s="325"/>
      <c r="D115" s="326"/>
      <c r="E115" s="575"/>
      <c r="F115" s="575"/>
      <c r="G115" s="575"/>
      <c r="H115" s="359"/>
    </row>
    <row r="116" spans="1:8">
      <c r="A116" s="313">
        <v>45622</v>
      </c>
      <c r="B116" s="307" t="s">
        <v>4411</v>
      </c>
      <c r="C116" s="307"/>
      <c r="D116" s="309">
        <v>440000</v>
      </c>
      <c r="E116" s="309"/>
      <c r="F116" s="309"/>
      <c r="G116" s="309"/>
      <c r="H116" s="359" t="s">
        <v>3218</v>
      </c>
    </row>
    <row r="117" spans="1:8">
      <c r="A117" s="305"/>
      <c r="B117" s="307"/>
      <c r="C117" s="307"/>
      <c r="D117" s="309"/>
      <c r="E117" s="309"/>
      <c r="F117" s="309"/>
      <c r="G117" s="309"/>
      <c r="H117" s="359"/>
    </row>
    <row r="118" spans="1:8">
      <c r="A118" s="313">
        <v>45622</v>
      </c>
      <c r="B118" s="307" t="s">
        <v>4421</v>
      </c>
      <c r="C118" s="307"/>
      <c r="D118" s="309">
        <v>225500</v>
      </c>
      <c r="E118" s="309" t="s">
        <v>4422</v>
      </c>
      <c r="F118" s="309"/>
      <c r="G118" s="309"/>
      <c r="H118" s="762" t="s">
        <v>4423</v>
      </c>
    </row>
    <row r="119" spans="1:8">
      <c r="A119" s="305"/>
      <c r="B119" s="307"/>
      <c r="C119" s="307"/>
      <c r="D119" s="309"/>
      <c r="E119" s="309"/>
      <c r="F119" s="309"/>
      <c r="G119" s="309"/>
      <c r="H119" s="762"/>
    </row>
    <row r="120" spans="1:8">
      <c r="A120" s="313">
        <v>45622</v>
      </c>
      <c r="B120" s="307" t="s">
        <v>4420</v>
      </c>
      <c r="C120" s="307"/>
      <c r="D120" s="309">
        <v>120000</v>
      </c>
      <c r="E120" s="309"/>
      <c r="F120" s="309"/>
      <c r="G120" s="309"/>
      <c r="H120" s="311" t="s">
        <v>4419</v>
      </c>
    </row>
    <row r="121" spans="1:8">
      <c r="A121" s="305"/>
      <c r="B121" s="307"/>
      <c r="C121" s="307"/>
      <c r="D121" s="309"/>
      <c r="E121" s="309"/>
      <c r="F121" s="309"/>
      <c r="G121" s="309"/>
      <c r="H121" s="311"/>
    </row>
    <row r="122" spans="1:8">
      <c r="A122" s="313">
        <v>45623</v>
      </c>
      <c r="B122" s="307" t="s">
        <v>4442</v>
      </c>
      <c r="C122" s="307"/>
      <c r="D122" s="807">
        <v>2570000</v>
      </c>
      <c r="E122" s="575" t="s">
        <v>4438</v>
      </c>
      <c r="F122" s="575"/>
      <c r="G122" s="575"/>
      <c r="H122" s="762" t="s">
        <v>145</v>
      </c>
    </row>
    <row r="123" spans="1:8">
      <c r="A123" s="305"/>
      <c r="B123" s="307"/>
      <c r="C123" s="307"/>
      <c r="D123" s="796"/>
      <c r="E123" s="575"/>
      <c r="F123" s="575"/>
      <c r="G123" s="575"/>
      <c r="H123" s="762"/>
    </row>
    <row r="124" spans="1:8">
      <c r="A124" s="313">
        <v>45623</v>
      </c>
      <c r="B124" s="307" t="s">
        <v>4443</v>
      </c>
      <c r="C124" s="307"/>
      <c r="D124" s="309">
        <v>1140000</v>
      </c>
      <c r="E124" s="575" t="s">
        <v>4435</v>
      </c>
      <c r="F124" s="575"/>
      <c r="G124" s="575"/>
      <c r="H124" s="762" t="s">
        <v>4437</v>
      </c>
    </row>
    <row r="125" spans="1:8">
      <c r="A125" s="305"/>
      <c r="B125" s="307"/>
      <c r="C125" s="307"/>
      <c r="D125" s="309"/>
      <c r="E125" s="575"/>
      <c r="F125" s="575"/>
      <c r="G125" s="575"/>
      <c r="H125" s="762"/>
    </row>
    <row r="126" spans="1:8">
      <c r="A126" s="313">
        <v>45623</v>
      </c>
      <c r="B126" s="307" t="s">
        <v>4448</v>
      </c>
      <c r="C126" s="307"/>
      <c r="D126" s="309">
        <v>297000</v>
      </c>
      <c r="E126" s="575" t="s">
        <v>4436</v>
      </c>
      <c r="F126" s="575"/>
      <c r="G126" s="575"/>
      <c r="H126" s="762" t="s">
        <v>4451</v>
      </c>
    </row>
    <row r="127" spans="1:8">
      <c r="A127" s="305"/>
      <c r="B127" s="307"/>
      <c r="C127" s="307"/>
      <c r="D127" s="309"/>
      <c r="E127" s="575"/>
      <c r="F127" s="575"/>
      <c r="G127" s="575"/>
      <c r="H127" s="762"/>
    </row>
    <row r="128" spans="1:8">
      <c r="A128" s="313">
        <v>45623</v>
      </c>
      <c r="B128" s="307" t="s">
        <v>4445</v>
      </c>
      <c r="C128" s="307"/>
      <c r="D128" s="309">
        <v>140000</v>
      </c>
      <c r="E128" s="309" t="s">
        <v>4446</v>
      </c>
      <c r="F128" s="309"/>
      <c r="G128" s="309"/>
      <c r="H128" s="762" t="s">
        <v>4444</v>
      </c>
    </row>
    <row r="129" spans="1:8">
      <c r="A129" s="305"/>
      <c r="B129" s="307"/>
      <c r="C129" s="307"/>
      <c r="D129" s="309"/>
      <c r="E129" s="309"/>
      <c r="F129" s="309"/>
      <c r="G129" s="309"/>
      <c r="H129" s="762"/>
    </row>
    <row r="130" spans="1:8">
      <c r="A130" s="313">
        <v>45624</v>
      </c>
      <c r="B130" s="307" t="s">
        <v>4439</v>
      </c>
      <c r="C130" s="307"/>
      <c r="D130" s="309">
        <v>528000</v>
      </c>
      <c r="E130" s="309" t="s">
        <v>4447</v>
      </c>
      <c r="F130" s="309"/>
      <c r="G130" s="309"/>
      <c r="H130" s="762" t="s">
        <v>145</v>
      </c>
    </row>
    <row r="131" spans="1:8">
      <c r="A131" s="305"/>
      <c r="B131" s="307"/>
      <c r="C131" s="307"/>
      <c r="D131" s="309"/>
      <c r="E131" s="309"/>
      <c r="F131" s="309"/>
      <c r="G131" s="309"/>
      <c r="H131" s="762"/>
    </row>
    <row r="132" spans="1:8">
      <c r="A132" s="313">
        <v>45624</v>
      </c>
      <c r="B132" s="307" t="s">
        <v>4440</v>
      </c>
      <c r="C132" s="307"/>
      <c r="D132" s="309">
        <v>450000</v>
      </c>
      <c r="E132" s="309"/>
      <c r="F132" s="309"/>
      <c r="G132" s="309"/>
      <c r="H132" s="762" t="s">
        <v>4441</v>
      </c>
    </row>
    <row r="133" spans="1:8">
      <c r="A133" s="305"/>
      <c r="B133" s="307"/>
      <c r="C133" s="307"/>
      <c r="D133" s="309"/>
      <c r="E133" s="309"/>
      <c r="F133" s="309"/>
      <c r="G133" s="309"/>
      <c r="H133" s="762"/>
    </row>
    <row r="134" spans="1:8">
      <c r="A134" s="313"/>
      <c r="B134" s="780" t="s">
        <v>4450</v>
      </c>
      <c r="C134" s="781"/>
      <c r="D134" s="781"/>
      <c r="E134" s="781"/>
      <c r="F134" s="781"/>
      <c r="G134" s="781"/>
      <c r="H134" s="782"/>
    </row>
    <row r="135" spans="1:8" ht="84" customHeight="1">
      <c r="A135" s="305"/>
      <c r="B135" s="786"/>
      <c r="C135" s="787"/>
      <c r="D135" s="787"/>
      <c r="E135" s="787"/>
      <c r="F135" s="787"/>
      <c r="G135" s="787"/>
      <c r="H135" s="788"/>
    </row>
    <row r="136" spans="1:8">
      <c r="A136" s="305"/>
      <c r="B136" s="307"/>
      <c r="C136" s="307"/>
      <c r="D136" s="309"/>
      <c r="E136" s="309"/>
      <c r="F136" s="309"/>
      <c r="G136" s="309"/>
      <c r="H136" s="311"/>
    </row>
    <row r="137" spans="1:8">
      <c r="A137" s="305"/>
      <c r="B137" s="307"/>
      <c r="C137" s="307"/>
      <c r="D137" s="309"/>
      <c r="E137" s="309"/>
      <c r="F137" s="309"/>
      <c r="G137" s="309"/>
      <c r="H137" s="311"/>
    </row>
    <row r="138" spans="1:8">
      <c r="A138" s="305"/>
      <c r="B138" s="307"/>
      <c r="C138" s="307"/>
      <c r="D138" s="309"/>
      <c r="E138" s="309"/>
      <c r="F138" s="309"/>
      <c r="G138" s="309"/>
      <c r="H138" s="311"/>
    </row>
    <row r="139" spans="1:8">
      <c r="A139" s="305"/>
      <c r="B139" s="307"/>
      <c r="C139" s="307"/>
      <c r="D139" s="309"/>
      <c r="E139" s="309"/>
      <c r="F139" s="309"/>
      <c r="G139" s="309"/>
      <c r="H139" s="311"/>
    </row>
    <row r="140" spans="1:8">
      <c r="A140" s="305"/>
      <c r="B140" s="307"/>
      <c r="C140" s="307"/>
      <c r="D140" s="309"/>
      <c r="E140" s="309"/>
      <c r="F140" s="309"/>
      <c r="G140" s="309"/>
      <c r="H140" s="311"/>
    </row>
    <row r="141" spans="1:8">
      <c r="A141" s="305"/>
      <c r="B141" s="307"/>
      <c r="C141" s="307"/>
      <c r="D141" s="309"/>
      <c r="E141" s="309"/>
      <c r="F141" s="309"/>
      <c r="G141" s="309"/>
      <c r="H141" s="311"/>
    </row>
    <row r="142" spans="1:8">
      <c r="A142" s="305"/>
      <c r="B142" s="307"/>
      <c r="C142" s="307"/>
      <c r="D142" s="309"/>
      <c r="E142" s="309"/>
      <c r="F142" s="309"/>
      <c r="G142" s="309"/>
      <c r="H142" s="311"/>
    </row>
    <row r="143" spans="1:8">
      <c r="A143" s="305"/>
      <c r="B143" s="307"/>
      <c r="C143" s="307"/>
      <c r="D143" s="309"/>
      <c r="E143" s="309"/>
      <c r="F143" s="309"/>
      <c r="G143" s="309"/>
      <c r="H143" s="311"/>
    </row>
    <row r="144" spans="1:8">
      <c r="A144" s="305"/>
      <c r="B144" s="307"/>
      <c r="C144" s="307"/>
      <c r="D144" s="309"/>
      <c r="E144" s="309"/>
      <c r="F144" s="309"/>
      <c r="G144" s="309"/>
      <c r="H144" s="311"/>
    </row>
    <row r="145" spans="1:8">
      <c r="A145" s="305"/>
      <c r="B145" s="307"/>
      <c r="C145" s="307"/>
      <c r="D145" s="309"/>
      <c r="E145" s="309"/>
      <c r="F145" s="309"/>
      <c r="G145" s="309"/>
      <c r="H145" s="311"/>
    </row>
  </sheetData>
  <mergeCells count="412"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  <mergeCell ref="A3:H3"/>
    <mergeCell ref="A4:A5"/>
    <mergeCell ref="B4:B5"/>
    <mergeCell ref="C4:C5"/>
    <mergeCell ref="D4:D5"/>
    <mergeCell ref="E4:G5"/>
    <mergeCell ref="H4:H5"/>
    <mergeCell ref="M1:M2"/>
    <mergeCell ref="N1:N2"/>
    <mergeCell ref="A8:A9"/>
    <mergeCell ref="B8:B9"/>
    <mergeCell ref="C8:C9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E12:G12"/>
    <mergeCell ref="A10:A11"/>
    <mergeCell ref="B10:B11"/>
    <mergeCell ref="C10:C11"/>
    <mergeCell ref="D10:D11"/>
    <mergeCell ref="E10:G11"/>
    <mergeCell ref="A13:A14"/>
    <mergeCell ref="B13:H14"/>
    <mergeCell ref="A17:A18"/>
    <mergeCell ref="B17:B18"/>
    <mergeCell ref="C17:C18"/>
    <mergeCell ref="D17:D18"/>
    <mergeCell ref="E17:G18"/>
    <mergeCell ref="H17:H18"/>
    <mergeCell ref="A15:A16"/>
    <mergeCell ref="B15:B16"/>
    <mergeCell ref="C15:C16"/>
    <mergeCell ref="D15:D16"/>
    <mergeCell ref="E15:G16"/>
    <mergeCell ref="H15:H16"/>
    <mergeCell ref="H10:H11"/>
    <mergeCell ref="H21:H22"/>
    <mergeCell ref="A23:A24"/>
    <mergeCell ref="B23:B24"/>
    <mergeCell ref="C23:C24"/>
    <mergeCell ref="D23:D24"/>
    <mergeCell ref="E23:G24"/>
    <mergeCell ref="H23:H24"/>
    <mergeCell ref="E19:G19"/>
    <mergeCell ref="E20:G20"/>
    <mergeCell ref="A21:A22"/>
    <mergeCell ref="B21:B22"/>
    <mergeCell ref="C21:C22"/>
    <mergeCell ref="D21:D22"/>
    <mergeCell ref="E21:G22"/>
    <mergeCell ref="A27:A28"/>
    <mergeCell ref="B27:B28"/>
    <mergeCell ref="C27:C28"/>
    <mergeCell ref="D27:D28"/>
    <mergeCell ref="E27:G28"/>
    <mergeCell ref="H27:H28"/>
    <mergeCell ref="A25:A26"/>
    <mergeCell ref="B25:B26"/>
    <mergeCell ref="C25:C26"/>
    <mergeCell ref="D25:D26"/>
    <mergeCell ref="E25:G26"/>
    <mergeCell ref="H25:H26"/>
    <mergeCell ref="A31:A32"/>
    <mergeCell ref="B31:B32"/>
    <mergeCell ref="C31:C32"/>
    <mergeCell ref="D31:D32"/>
    <mergeCell ref="E31:G32"/>
    <mergeCell ref="H31:H32"/>
    <mergeCell ref="A29:A30"/>
    <mergeCell ref="B29:B30"/>
    <mergeCell ref="C29:C30"/>
    <mergeCell ref="D29:D30"/>
    <mergeCell ref="E29:G30"/>
    <mergeCell ref="H29:H30"/>
    <mergeCell ref="A35:A36"/>
    <mergeCell ref="B35:B36"/>
    <mergeCell ref="C35:C36"/>
    <mergeCell ref="D35:D36"/>
    <mergeCell ref="E35:G36"/>
    <mergeCell ref="H35:H36"/>
    <mergeCell ref="A33:A34"/>
    <mergeCell ref="B33:B34"/>
    <mergeCell ref="C33:C34"/>
    <mergeCell ref="D33:D34"/>
    <mergeCell ref="E33:G34"/>
    <mergeCell ref="H33:H34"/>
    <mergeCell ref="A39:A40"/>
    <mergeCell ref="B39:B40"/>
    <mergeCell ref="C39:C40"/>
    <mergeCell ref="D39:D40"/>
    <mergeCell ref="E39:G40"/>
    <mergeCell ref="H39:H40"/>
    <mergeCell ref="A37:A38"/>
    <mergeCell ref="B37:B38"/>
    <mergeCell ref="C37:C38"/>
    <mergeCell ref="D37:D38"/>
    <mergeCell ref="E37:G38"/>
    <mergeCell ref="H37:H38"/>
    <mergeCell ref="A43:A44"/>
    <mergeCell ref="B43:B44"/>
    <mergeCell ref="C43:C44"/>
    <mergeCell ref="D43:D44"/>
    <mergeCell ref="E43:G44"/>
    <mergeCell ref="H43:H44"/>
    <mergeCell ref="A41:A42"/>
    <mergeCell ref="B41:B42"/>
    <mergeCell ref="C41:C42"/>
    <mergeCell ref="D41:D42"/>
    <mergeCell ref="E41:G42"/>
    <mergeCell ref="H41:H42"/>
    <mergeCell ref="A49:A50"/>
    <mergeCell ref="B49:B50"/>
    <mergeCell ref="C49:C50"/>
    <mergeCell ref="D49:D50"/>
    <mergeCell ref="E49:G50"/>
    <mergeCell ref="H49:H50"/>
    <mergeCell ref="A47:A48"/>
    <mergeCell ref="B47:H48"/>
    <mergeCell ref="A45:A46"/>
    <mergeCell ref="B45:B46"/>
    <mergeCell ref="C45:C46"/>
    <mergeCell ref="D45:D46"/>
    <mergeCell ref="E45:G46"/>
    <mergeCell ref="H45:H46"/>
    <mergeCell ref="A53:A54"/>
    <mergeCell ref="B53:B54"/>
    <mergeCell ref="C53:C54"/>
    <mergeCell ref="D53:D54"/>
    <mergeCell ref="E53:G54"/>
    <mergeCell ref="H53:H54"/>
    <mergeCell ref="A51:A52"/>
    <mergeCell ref="B51:B52"/>
    <mergeCell ref="C51:C52"/>
    <mergeCell ref="D51:D52"/>
    <mergeCell ref="E51:G52"/>
    <mergeCell ref="H51:H52"/>
    <mergeCell ref="A57:A58"/>
    <mergeCell ref="B57:B58"/>
    <mergeCell ref="C57:C58"/>
    <mergeCell ref="D57:D58"/>
    <mergeCell ref="E57:G58"/>
    <mergeCell ref="H57:H58"/>
    <mergeCell ref="A55:A56"/>
    <mergeCell ref="B55:B56"/>
    <mergeCell ref="C55:C56"/>
    <mergeCell ref="D55:D56"/>
    <mergeCell ref="E55:G56"/>
    <mergeCell ref="H55:H56"/>
    <mergeCell ref="H60:H61"/>
    <mergeCell ref="A62:A63"/>
    <mergeCell ref="B62:B63"/>
    <mergeCell ref="C62:C63"/>
    <mergeCell ref="D62:D63"/>
    <mergeCell ref="E62:G63"/>
    <mergeCell ref="H62:H63"/>
    <mergeCell ref="E59:G59"/>
    <mergeCell ref="A60:A61"/>
    <mergeCell ref="B60:B61"/>
    <mergeCell ref="C60:C61"/>
    <mergeCell ref="D60:D61"/>
    <mergeCell ref="E60:G61"/>
    <mergeCell ref="A66:A67"/>
    <mergeCell ref="B66:B67"/>
    <mergeCell ref="C66:C67"/>
    <mergeCell ref="D66:D67"/>
    <mergeCell ref="E66:G67"/>
    <mergeCell ref="H66:H67"/>
    <mergeCell ref="A64:A65"/>
    <mergeCell ref="B64:B65"/>
    <mergeCell ref="C64:C65"/>
    <mergeCell ref="D64:D65"/>
    <mergeCell ref="E64:G65"/>
    <mergeCell ref="H64:H65"/>
    <mergeCell ref="A74:A75"/>
    <mergeCell ref="B74:B75"/>
    <mergeCell ref="C74:C75"/>
    <mergeCell ref="D74:D75"/>
    <mergeCell ref="E74:G75"/>
    <mergeCell ref="H74:H75"/>
    <mergeCell ref="A68:A69"/>
    <mergeCell ref="B68:B69"/>
    <mergeCell ref="C68:C69"/>
    <mergeCell ref="D68:D69"/>
    <mergeCell ref="E68:G69"/>
    <mergeCell ref="H68:H69"/>
    <mergeCell ref="A72:A73"/>
    <mergeCell ref="A70:A71"/>
    <mergeCell ref="B70:B71"/>
    <mergeCell ref="C70:C71"/>
    <mergeCell ref="D70:D71"/>
    <mergeCell ref="E70:G71"/>
    <mergeCell ref="H70:H71"/>
    <mergeCell ref="B72:H73"/>
    <mergeCell ref="A78:A79"/>
    <mergeCell ref="B78:B79"/>
    <mergeCell ref="C78:C79"/>
    <mergeCell ref="D78:D79"/>
    <mergeCell ref="E78:G79"/>
    <mergeCell ref="H78:H79"/>
    <mergeCell ref="A76:A77"/>
    <mergeCell ref="B76:B77"/>
    <mergeCell ref="C76:C77"/>
    <mergeCell ref="D76:D77"/>
    <mergeCell ref="E76:G77"/>
    <mergeCell ref="H76:H77"/>
    <mergeCell ref="A82:A83"/>
    <mergeCell ref="B82:B83"/>
    <mergeCell ref="C82:C83"/>
    <mergeCell ref="D82:D83"/>
    <mergeCell ref="E82:G83"/>
    <mergeCell ref="H82:H83"/>
    <mergeCell ref="A80:A81"/>
    <mergeCell ref="B80:B81"/>
    <mergeCell ref="C80:C81"/>
    <mergeCell ref="D80:D81"/>
    <mergeCell ref="E80:G81"/>
    <mergeCell ref="H80:H81"/>
    <mergeCell ref="A86:A87"/>
    <mergeCell ref="B86:B87"/>
    <mergeCell ref="C86:C87"/>
    <mergeCell ref="D86:D87"/>
    <mergeCell ref="E86:G87"/>
    <mergeCell ref="H86:H87"/>
    <mergeCell ref="A84:A85"/>
    <mergeCell ref="B84:B85"/>
    <mergeCell ref="C84:C85"/>
    <mergeCell ref="D84:D85"/>
    <mergeCell ref="E84:G85"/>
    <mergeCell ref="H84:H85"/>
    <mergeCell ref="A90:A91"/>
    <mergeCell ref="B90:B91"/>
    <mergeCell ref="C90:C91"/>
    <mergeCell ref="D90:D91"/>
    <mergeCell ref="E90:G91"/>
    <mergeCell ref="H90:H91"/>
    <mergeCell ref="A88:A89"/>
    <mergeCell ref="B88:B89"/>
    <mergeCell ref="C88:C89"/>
    <mergeCell ref="D88:D89"/>
    <mergeCell ref="E88:G89"/>
    <mergeCell ref="H88:H89"/>
    <mergeCell ref="A94:A95"/>
    <mergeCell ref="B94:B95"/>
    <mergeCell ref="C94:C95"/>
    <mergeCell ref="D94:D95"/>
    <mergeCell ref="E94:G95"/>
    <mergeCell ref="H94:H95"/>
    <mergeCell ref="A92:A93"/>
    <mergeCell ref="B92:B93"/>
    <mergeCell ref="C92:C93"/>
    <mergeCell ref="D92:D93"/>
    <mergeCell ref="E92:G93"/>
    <mergeCell ref="H92:H93"/>
    <mergeCell ref="A98:A99"/>
    <mergeCell ref="B98:B99"/>
    <mergeCell ref="C98:C99"/>
    <mergeCell ref="D98:D99"/>
    <mergeCell ref="E98:G99"/>
    <mergeCell ref="H98:H99"/>
    <mergeCell ref="A96:A97"/>
    <mergeCell ref="B96:B97"/>
    <mergeCell ref="C96:C97"/>
    <mergeCell ref="D96:D97"/>
    <mergeCell ref="E96:G97"/>
    <mergeCell ref="H96:H97"/>
    <mergeCell ref="A102:A103"/>
    <mergeCell ref="B102:B103"/>
    <mergeCell ref="C102:C103"/>
    <mergeCell ref="D102:D103"/>
    <mergeCell ref="E102:G103"/>
    <mergeCell ref="H102:H103"/>
    <mergeCell ref="A100:A101"/>
    <mergeCell ref="B100:B101"/>
    <mergeCell ref="C100:C101"/>
    <mergeCell ref="D100:D101"/>
    <mergeCell ref="E100:G101"/>
    <mergeCell ref="H100:H101"/>
    <mergeCell ref="A108:A109"/>
    <mergeCell ref="B108:B109"/>
    <mergeCell ref="C108:C109"/>
    <mergeCell ref="D108:D109"/>
    <mergeCell ref="E108:G109"/>
    <mergeCell ref="H108:H109"/>
    <mergeCell ref="A106:A107"/>
    <mergeCell ref="B106:H107"/>
    <mergeCell ref="A104:A105"/>
    <mergeCell ref="B104:B105"/>
    <mergeCell ref="C104:C105"/>
    <mergeCell ref="D104:D105"/>
    <mergeCell ref="E104:G105"/>
    <mergeCell ref="H104:H105"/>
    <mergeCell ref="A110:A111"/>
    <mergeCell ref="B110:B111"/>
    <mergeCell ref="C110:C111"/>
    <mergeCell ref="D110:D111"/>
    <mergeCell ref="E110:G111"/>
    <mergeCell ref="H110:H111"/>
    <mergeCell ref="A114:A115"/>
    <mergeCell ref="B114:B115"/>
    <mergeCell ref="C114:C115"/>
    <mergeCell ref="D114:D115"/>
    <mergeCell ref="E114:G115"/>
    <mergeCell ref="H114:H115"/>
    <mergeCell ref="A112:A113"/>
    <mergeCell ref="B112:B113"/>
    <mergeCell ref="C112:C113"/>
    <mergeCell ref="D112:D113"/>
    <mergeCell ref="E112:G113"/>
    <mergeCell ref="H112:H113"/>
    <mergeCell ref="A118:A119"/>
    <mergeCell ref="B118:B119"/>
    <mergeCell ref="C118:C119"/>
    <mergeCell ref="D118:D119"/>
    <mergeCell ref="E118:G119"/>
    <mergeCell ref="H118:H119"/>
    <mergeCell ref="A116:A117"/>
    <mergeCell ref="B116:B117"/>
    <mergeCell ref="C116:C117"/>
    <mergeCell ref="D116:D117"/>
    <mergeCell ref="E116:G117"/>
    <mergeCell ref="H116:H117"/>
    <mergeCell ref="A122:A123"/>
    <mergeCell ref="B122:B123"/>
    <mergeCell ref="C122:C123"/>
    <mergeCell ref="D122:D123"/>
    <mergeCell ref="E122:G123"/>
    <mergeCell ref="H122:H123"/>
    <mergeCell ref="A120:A121"/>
    <mergeCell ref="B120:B121"/>
    <mergeCell ref="C120:C121"/>
    <mergeCell ref="D120:D121"/>
    <mergeCell ref="E120:G121"/>
    <mergeCell ref="H120:H121"/>
    <mergeCell ref="A124:A125"/>
    <mergeCell ref="B124:B125"/>
    <mergeCell ref="C124:C125"/>
    <mergeCell ref="D124:D125"/>
    <mergeCell ref="E124:G125"/>
    <mergeCell ref="H124:H125"/>
    <mergeCell ref="A126:A127"/>
    <mergeCell ref="B126:B127"/>
    <mergeCell ref="C126:C127"/>
    <mergeCell ref="D126:D127"/>
    <mergeCell ref="E126:G127"/>
    <mergeCell ref="H126:H127"/>
    <mergeCell ref="A128:A129"/>
    <mergeCell ref="B128:B129"/>
    <mergeCell ref="C128:C129"/>
    <mergeCell ref="D128:D129"/>
    <mergeCell ref="E128:G129"/>
    <mergeCell ref="H128:H129"/>
    <mergeCell ref="A130:A131"/>
    <mergeCell ref="B130:B131"/>
    <mergeCell ref="C130:C131"/>
    <mergeCell ref="D130:D131"/>
    <mergeCell ref="E130:G131"/>
    <mergeCell ref="H130:H131"/>
    <mergeCell ref="A132:A133"/>
    <mergeCell ref="B132:B133"/>
    <mergeCell ref="C132:C133"/>
    <mergeCell ref="D132:D133"/>
    <mergeCell ref="E132:G133"/>
    <mergeCell ref="H132:H133"/>
    <mergeCell ref="A134:A135"/>
    <mergeCell ref="B134:H135"/>
    <mergeCell ref="A136:A137"/>
    <mergeCell ref="B136:B137"/>
    <mergeCell ref="C136:C137"/>
    <mergeCell ref="D136:D137"/>
    <mergeCell ref="E136:G137"/>
    <mergeCell ref="H136:H137"/>
    <mergeCell ref="A138:A139"/>
    <mergeCell ref="B138:B139"/>
    <mergeCell ref="C138:C139"/>
    <mergeCell ref="D138:D139"/>
    <mergeCell ref="E138:G139"/>
    <mergeCell ref="H138:H139"/>
    <mergeCell ref="A144:A145"/>
    <mergeCell ref="B144:B145"/>
    <mergeCell ref="C144:C145"/>
    <mergeCell ref="D144:D145"/>
    <mergeCell ref="E144:G145"/>
    <mergeCell ref="H144:H145"/>
    <mergeCell ref="A140:A141"/>
    <mergeCell ref="B140:B141"/>
    <mergeCell ref="C140:C141"/>
    <mergeCell ref="D140:D141"/>
    <mergeCell ref="E140:G141"/>
    <mergeCell ref="H140:H141"/>
    <mergeCell ref="A142:A143"/>
    <mergeCell ref="B142:B143"/>
    <mergeCell ref="C142:C143"/>
    <mergeCell ref="D142:D143"/>
    <mergeCell ref="E142:G143"/>
    <mergeCell ref="H142:H143"/>
  </mergeCells>
  <phoneticPr fontId="1" type="noConversion"/>
  <pageMargins left="0" right="0" top="0" bottom="0" header="0" footer="0"/>
  <pageSetup paperSize="9" scale="36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24"/>
  <sheetViews>
    <sheetView showGridLines="0" zoomScale="115" zoomScaleNormal="115" workbookViewId="0">
      <pane xSplit="8" ySplit="2" topLeftCell="I69" activePane="bottomRight" state="frozen"/>
      <selection pane="topRight" activeCell="I1" sqref="I1"/>
      <selection pane="bottomLeft" activeCell="A3" sqref="A3"/>
      <selection pane="bottomRight" activeCell="E93" sqref="E93:G94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0" max="10" width="13.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  <col min="18" max="18" width="9.5" bestFit="1" customWidth="1"/>
  </cols>
  <sheetData>
    <row r="1" spans="1:18" ht="35.25" customHeight="1" thickBot="1">
      <c r="A1" s="388" t="s">
        <v>4599</v>
      </c>
      <c r="B1" s="389"/>
      <c r="C1" s="402" t="s">
        <v>27</v>
      </c>
      <c r="D1" s="403"/>
      <c r="E1" s="21" t="s">
        <v>26</v>
      </c>
      <c r="F1" s="20">
        <f>H1/31</f>
        <v>552709.67741935479</v>
      </c>
      <c r="G1" s="21" t="s">
        <v>4</v>
      </c>
      <c r="H1" s="22">
        <f>SUM(D4:D129)</f>
        <v>17134000</v>
      </c>
      <c r="I1" s="392"/>
      <c r="J1" s="338"/>
      <c r="K1" s="394"/>
      <c r="L1" s="396"/>
      <c r="M1" s="377"/>
      <c r="N1" s="379"/>
      <c r="O1" s="381"/>
      <c r="P1" s="383"/>
      <c r="Q1" s="377"/>
      <c r="R1" s="376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385" t="s">
        <v>25</v>
      </c>
      <c r="F2" s="386"/>
      <c r="G2" s="387"/>
      <c r="H2" s="25" t="s">
        <v>5</v>
      </c>
      <c r="I2" s="393"/>
      <c r="J2" s="333"/>
      <c r="K2" s="395"/>
      <c r="L2" s="397"/>
      <c r="M2" s="378"/>
      <c r="N2" s="380"/>
      <c r="O2" s="382"/>
      <c r="P2" s="384"/>
      <c r="Q2" s="378"/>
      <c r="R2" s="376"/>
    </row>
    <row r="3" spans="1:18" ht="57.75" customHeight="1">
      <c r="A3" s="441" t="s">
        <v>4616</v>
      </c>
      <c r="B3" s="442"/>
      <c r="C3" s="442"/>
      <c r="D3" s="442"/>
      <c r="E3" s="442"/>
      <c r="F3" s="442"/>
      <c r="G3" s="442"/>
      <c r="H3" s="443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322">
        <v>45659</v>
      </c>
      <c r="B4" s="341" t="s">
        <v>4604</v>
      </c>
      <c r="C4" s="341"/>
      <c r="D4" s="326">
        <v>270000</v>
      </c>
      <c r="E4" s="327" t="s">
        <v>4600</v>
      </c>
      <c r="F4" s="328"/>
      <c r="G4" s="329"/>
      <c r="H4" s="398" t="s">
        <v>4628</v>
      </c>
      <c r="J4" s="43"/>
    </row>
    <row r="5" spans="1:18" ht="16.5" customHeight="1">
      <c r="A5" s="323"/>
      <c r="B5" s="342"/>
      <c r="C5" s="342"/>
      <c r="D5" s="326"/>
      <c r="E5" s="330"/>
      <c r="F5" s="331"/>
      <c r="G5" s="332"/>
      <c r="H5" s="399"/>
      <c r="J5" s="43"/>
    </row>
    <row r="6" spans="1:18" ht="16.5" customHeight="1">
      <c r="A6" s="322">
        <v>45659</v>
      </c>
      <c r="B6" s="341" t="s">
        <v>4603</v>
      </c>
      <c r="C6" s="341"/>
      <c r="D6" s="343">
        <v>360000</v>
      </c>
      <c r="E6" s="327" t="s">
        <v>4602</v>
      </c>
      <c r="F6" s="345"/>
      <c r="G6" s="346"/>
      <c r="H6" s="398" t="s">
        <v>4601</v>
      </c>
    </row>
    <row r="7" spans="1:18" ht="51" customHeight="1">
      <c r="A7" s="323"/>
      <c r="B7" s="342"/>
      <c r="C7" s="342"/>
      <c r="D7" s="344"/>
      <c r="E7" s="347"/>
      <c r="F7" s="348"/>
      <c r="G7" s="349"/>
      <c r="H7" s="399"/>
    </row>
    <row r="8" spans="1:18" ht="16.5" customHeight="1">
      <c r="A8" s="322">
        <v>45660</v>
      </c>
      <c r="B8" s="324" t="s">
        <v>4607</v>
      </c>
      <c r="C8" s="341"/>
      <c r="D8" s="326">
        <v>30000</v>
      </c>
      <c r="E8" s="327"/>
      <c r="F8" s="328"/>
      <c r="G8" s="329"/>
      <c r="H8" s="400" t="s">
        <v>4611</v>
      </c>
      <c r="J8" s="48"/>
    </row>
    <row r="9" spans="1:18" ht="16.5" customHeight="1">
      <c r="A9" s="323"/>
      <c r="B9" s="325"/>
      <c r="C9" s="342"/>
      <c r="D9" s="326"/>
      <c r="E9" s="330"/>
      <c r="F9" s="331"/>
      <c r="G9" s="332"/>
      <c r="H9" s="401"/>
    </row>
    <row r="10" spans="1:18" ht="16.5" customHeight="1">
      <c r="A10" s="322">
        <v>45660</v>
      </c>
      <c r="B10" s="324" t="s">
        <v>4612</v>
      </c>
      <c r="C10" s="341"/>
      <c r="D10" s="326">
        <v>440000</v>
      </c>
      <c r="E10" s="891" t="s">
        <v>4606</v>
      </c>
      <c r="F10" s="892"/>
      <c r="G10" s="893"/>
      <c r="H10" s="400" t="s">
        <v>2732</v>
      </c>
    </row>
    <row r="11" spans="1:18" ht="26.25" customHeight="1">
      <c r="A11" s="323"/>
      <c r="B11" s="325"/>
      <c r="C11" s="342"/>
      <c r="D11" s="326"/>
      <c r="E11" s="894"/>
      <c r="F11" s="895"/>
      <c r="G11" s="896"/>
      <c r="H11" s="401"/>
    </row>
    <row r="12" spans="1:18" ht="45" customHeight="1">
      <c r="A12" s="182">
        <v>45660</v>
      </c>
      <c r="B12" s="189" t="s">
        <v>4609</v>
      </c>
      <c r="C12" s="183"/>
      <c r="D12" s="184">
        <v>330000</v>
      </c>
      <c r="E12" s="650" t="s">
        <v>4610</v>
      </c>
      <c r="F12" s="876"/>
      <c r="G12" s="877"/>
      <c r="H12" s="98" t="s">
        <v>4614</v>
      </c>
    </row>
    <row r="13" spans="1:18">
      <c r="A13" s="322">
        <v>45660</v>
      </c>
      <c r="B13" s="324" t="s">
        <v>4613</v>
      </c>
      <c r="C13" s="325"/>
      <c r="D13" s="326">
        <v>680000</v>
      </c>
      <c r="E13" s="574" t="s">
        <v>4605</v>
      </c>
      <c r="F13" s="575"/>
      <c r="G13" s="575"/>
      <c r="H13" s="359" t="s">
        <v>2732</v>
      </c>
    </row>
    <row r="14" spans="1:18" ht="26.25" customHeight="1">
      <c r="A14" s="323"/>
      <c r="B14" s="325"/>
      <c r="C14" s="325"/>
      <c r="D14" s="326"/>
      <c r="E14" s="575"/>
      <c r="F14" s="575"/>
      <c r="G14" s="575"/>
      <c r="H14" s="359"/>
    </row>
    <row r="15" spans="1:18">
      <c r="A15" s="322">
        <v>45661</v>
      </c>
      <c r="B15" s="324" t="s">
        <v>4608</v>
      </c>
      <c r="C15" s="325"/>
      <c r="D15" s="326">
        <v>500000</v>
      </c>
      <c r="E15" s="337"/>
      <c r="F15" s="326"/>
      <c r="G15" s="326"/>
      <c r="H15" s="359" t="s">
        <v>4615</v>
      </c>
    </row>
    <row r="16" spans="1:18" ht="42.75" customHeight="1">
      <c r="A16" s="323"/>
      <c r="B16" s="325"/>
      <c r="C16" s="325"/>
      <c r="D16" s="326"/>
      <c r="E16" s="326"/>
      <c r="F16" s="326"/>
      <c r="G16" s="326"/>
      <c r="H16" s="359"/>
    </row>
    <row r="17" spans="1:8" ht="69.75" customHeight="1">
      <c r="A17" s="186"/>
      <c r="B17" s="888" t="s">
        <v>4644</v>
      </c>
      <c r="C17" s="889"/>
      <c r="D17" s="889"/>
      <c r="E17" s="889"/>
      <c r="F17" s="889"/>
      <c r="G17" s="889"/>
      <c r="H17" s="890"/>
    </row>
    <row r="18" spans="1:8">
      <c r="A18" s="335">
        <v>45663</v>
      </c>
      <c r="B18" s="324" t="s">
        <v>4617</v>
      </c>
      <c r="C18" s="325"/>
      <c r="D18" s="326">
        <v>341000</v>
      </c>
      <c r="E18" s="547"/>
      <c r="F18" s="548"/>
      <c r="G18" s="549"/>
      <c r="H18" s="359" t="s">
        <v>4618</v>
      </c>
    </row>
    <row r="19" spans="1:8" ht="57" customHeight="1">
      <c r="A19" s="336"/>
      <c r="B19" s="325"/>
      <c r="C19" s="325"/>
      <c r="D19" s="326"/>
      <c r="E19" s="550"/>
      <c r="F19" s="551"/>
      <c r="G19" s="552"/>
      <c r="H19" s="359"/>
    </row>
    <row r="20" spans="1:8">
      <c r="A20" s="322">
        <v>45664</v>
      </c>
      <c r="B20" s="325" t="s">
        <v>4625</v>
      </c>
      <c r="C20" s="325"/>
      <c r="D20" s="326">
        <v>1300000</v>
      </c>
      <c r="E20" s="574" t="s">
        <v>4619</v>
      </c>
      <c r="F20" s="575"/>
      <c r="G20" s="575"/>
      <c r="H20" s="359" t="s">
        <v>4620</v>
      </c>
    </row>
    <row r="21" spans="1:8" ht="30.75" customHeight="1">
      <c r="A21" s="323"/>
      <c r="B21" s="325"/>
      <c r="C21" s="325"/>
      <c r="D21" s="326"/>
      <c r="E21" s="575"/>
      <c r="F21" s="575"/>
      <c r="G21" s="575"/>
      <c r="H21" s="359"/>
    </row>
    <row r="22" spans="1:8">
      <c r="A22" s="322">
        <v>45664</v>
      </c>
      <c r="B22" s="341" t="s">
        <v>4627</v>
      </c>
      <c r="C22" s="353"/>
      <c r="D22" s="343">
        <v>520000</v>
      </c>
      <c r="E22" s="574" t="s">
        <v>4621</v>
      </c>
      <c r="F22" s="727"/>
      <c r="G22" s="727"/>
      <c r="H22" s="359" t="s">
        <v>4623</v>
      </c>
    </row>
    <row r="23" spans="1:8" s="185" customFormat="1">
      <c r="A23" s="323"/>
      <c r="B23" s="342"/>
      <c r="C23" s="352"/>
      <c r="D23" s="344"/>
      <c r="E23" s="727"/>
      <c r="F23" s="727"/>
      <c r="G23" s="727"/>
      <c r="H23" s="359"/>
    </row>
    <row r="24" spans="1:8">
      <c r="A24" s="322">
        <v>45664</v>
      </c>
      <c r="B24" s="324" t="s">
        <v>4626</v>
      </c>
      <c r="C24" s="325"/>
      <c r="D24" s="326">
        <v>630000</v>
      </c>
      <c r="E24" s="574" t="s">
        <v>4622</v>
      </c>
      <c r="F24" s="575"/>
      <c r="G24" s="575"/>
      <c r="H24" s="359" t="s">
        <v>4624</v>
      </c>
    </row>
    <row r="25" spans="1:8" s="185" customFormat="1">
      <c r="A25" s="323"/>
      <c r="B25" s="325"/>
      <c r="C25" s="325"/>
      <c r="D25" s="326"/>
      <c r="E25" s="575"/>
      <c r="F25" s="575"/>
      <c r="G25" s="575"/>
      <c r="H25" s="359"/>
    </row>
    <row r="26" spans="1:8">
      <c r="A26" s="322">
        <v>45665</v>
      </c>
      <c r="B26" s="324" t="s">
        <v>4629</v>
      </c>
      <c r="C26" s="325"/>
      <c r="D26" s="343">
        <v>297000</v>
      </c>
      <c r="E26" s="337" t="s">
        <v>135</v>
      </c>
      <c r="F26" s="326"/>
      <c r="G26" s="326"/>
      <c r="H26" s="359" t="s">
        <v>4618</v>
      </c>
    </row>
    <row r="27" spans="1:8" ht="28.5" customHeight="1">
      <c r="A27" s="323"/>
      <c r="B27" s="325"/>
      <c r="C27" s="325"/>
      <c r="D27" s="344"/>
      <c r="E27" s="326"/>
      <c r="F27" s="326"/>
      <c r="G27" s="326"/>
      <c r="H27" s="359"/>
    </row>
    <row r="28" spans="1:8" ht="16.5" customHeight="1">
      <c r="A28" s="336">
        <v>45665</v>
      </c>
      <c r="B28" s="324" t="s">
        <v>4630</v>
      </c>
      <c r="C28" s="325"/>
      <c r="D28" s="326">
        <v>170000</v>
      </c>
      <c r="E28" s="327" t="s">
        <v>4632</v>
      </c>
      <c r="F28" s="328"/>
      <c r="G28" s="329"/>
      <c r="H28" s="400" t="s">
        <v>4631</v>
      </c>
    </row>
    <row r="29" spans="1:8" ht="16.5" customHeight="1">
      <c r="A29" s="323"/>
      <c r="B29" s="325"/>
      <c r="C29" s="325"/>
      <c r="D29" s="326"/>
      <c r="E29" s="330"/>
      <c r="F29" s="331"/>
      <c r="G29" s="332"/>
      <c r="H29" s="401"/>
    </row>
    <row r="30" spans="1:8" ht="16.5" customHeight="1">
      <c r="A30" s="336">
        <v>45665</v>
      </c>
      <c r="B30" s="341" t="s">
        <v>4633</v>
      </c>
      <c r="C30" s="341"/>
      <c r="D30" s="343">
        <v>280000</v>
      </c>
      <c r="E30" s="562" t="s">
        <v>4634</v>
      </c>
      <c r="F30" s="582"/>
      <c r="G30" s="583"/>
      <c r="H30" s="400" t="s">
        <v>145</v>
      </c>
    </row>
    <row r="31" spans="1:8" ht="16.5" customHeight="1">
      <c r="A31" s="323"/>
      <c r="B31" s="342"/>
      <c r="C31" s="342"/>
      <c r="D31" s="344"/>
      <c r="E31" s="584"/>
      <c r="F31" s="585"/>
      <c r="G31" s="586"/>
      <c r="H31" s="401"/>
    </row>
    <row r="32" spans="1:8" ht="16.5" customHeight="1">
      <c r="A32" s="336">
        <v>45667</v>
      </c>
      <c r="B32" s="324" t="s">
        <v>4637</v>
      </c>
      <c r="C32" s="325"/>
      <c r="D32" s="326">
        <v>2453000</v>
      </c>
      <c r="E32" s="562" t="s">
        <v>4635</v>
      </c>
      <c r="F32" s="582"/>
      <c r="G32" s="583"/>
      <c r="H32" s="359" t="s">
        <v>4636</v>
      </c>
    </row>
    <row r="33" spans="1:11" ht="16.5" customHeight="1">
      <c r="A33" s="323"/>
      <c r="B33" s="325"/>
      <c r="C33" s="325"/>
      <c r="D33" s="326"/>
      <c r="E33" s="584"/>
      <c r="F33" s="585"/>
      <c r="G33" s="586"/>
      <c r="H33" s="359"/>
    </row>
    <row r="34" spans="1:11" ht="16.5" customHeight="1">
      <c r="A34" s="336">
        <v>45667</v>
      </c>
      <c r="B34" s="324" t="s">
        <v>4641</v>
      </c>
      <c r="C34" s="325"/>
      <c r="D34" s="326">
        <v>220000</v>
      </c>
      <c r="E34" s="327" t="s">
        <v>4639</v>
      </c>
      <c r="F34" s="328"/>
      <c r="G34" s="329"/>
      <c r="H34" s="325" t="s">
        <v>4638</v>
      </c>
    </row>
    <row r="35" spans="1:11" ht="16.5" customHeight="1">
      <c r="A35" s="323"/>
      <c r="B35" s="325"/>
      <c r="C35" s="325"/>
      <c r="D35" s="326"/>
      <c r="E35" s="330"/>
      <c r="F35" s="331"/>
      <c r="G35" s="332"/>
      <c r="H35" s="325"/>
    </row>
    <row r="36" spans="1:11" ht="16.5" customHeight="1">
      <c r="A36" s="336">
        <v>45668</v>
      </c>
      <c r="B36" s="324" t="s">
        <v>4642</v>
      </c>
      <c r="C36" s="326"/>
      <c r="D36" s="326">
        <v>1230000</v>
      </c>
      <c r="E36" s="562" t="s">
        <v>4640</v>
      </c>
      <c r="F36" s="582"/>
      <c r="G36" s="583"/>
      <c r="H36" s="359" t="s">
        <v>4643</v>
      </c>
    </row>
    <row r="37" spans="1:11" ht="23.25" customHeight="1">
      <c r="A37" s="323"/>
      <c r="B37" s="325"/>
      <c r="C37" s="326"/>
      <c r="D37" s="326"/>
      <c r="E37" s="584"/>
      <c r="F37" s="585"/>
      <c r="G37" s="586"/>
      <c r="H37" s="359"/>
    </row>
    <row r="38" spans="1:11" ht="16.5" customHeight="1">
      <c r="A38" s="322"/>
      <c r="B38" s="644" t="s">
        <v>4665</v>
      </c>
      <c r="C38" s="645"/>
      <c r="D38" s="645"/>
      <c r="E38" s="645"/>
      <c r="F38" s="645"/>
      <c r="G38" s="645"/>
      <c r="H38" s="646"/>
      <c r="I38" s="3"/>
      <c r="K38" s="23"/>
    </row>
    <row r="39" spans="1:11" ht="39" customHeight="1">
      <c r="A39" s="323"/>
      <c r="B39" s="647"/>
      <c r="C39" s="648"/>
      <c r="D39" s="648"/>
      <c r="E39" s="648"/>
      <c r="F39" s="648"/>
      <c r="G39" s="648"/>
      <c r="H39" s="649"/>
    </row>
    <row r="40" spans="1:11" ht="16.5" customHeight="1">
      <c r="A40" s="322">
        <v>45670</v>
      </c>
      <c r="B40" s="324" t="s">
        <v>4645</v>
      </c>
      <c r="C40" s="325"/>
      <c r="D40" s="326">
        <v>495000</v>
      </c>
      <c r="E40" s="327" t="s">
        <v>4646</v>
      </c>
      <c r="F40" s="328"/>
      <c r="G40" s="329"/>
      <c r="H40" s="359" t="s">
        <v>4648</v>
      </c>
    </row>
    <row r="41" spans="1:11" ht="16.5" customHeight="1">
      <c r="A41" s="323"/>
      <c r="B41" s="325"/>
      <c r="C41" s="325"/>
      <c r="D41" s="326"/>
      <c r="E41" s="330"/>
      <c r="F41" s="331"/>
      <c r="G41" s="332"/>
      <c r="H41" s="359"/>
    </row>
    <row r="42" spans="1:11">
      <c r="A42" s="322">
        <v>45670</v>
      </c>
      <c r="B42" s="324" t="s">
        <v>4647</v>
      </c>
      <c r="C42" s="325"/>
      <c r="D42" s="326">
        <v>484000</v>
      </c>
      <c r="E42" s="337" t="s">
        <v>4652</v>
      </c>
      <c r="F42" s="326"/>
      <c r="G42" s="326"/>
      <c r="H42" s="333" t="s">
        <v>4648</v>
      </c>
    </row>
    <row r="43" spans="1:11" ht="21.75" customHeight="1">
      <c r="A43" s="323"/>
      <c r="B43" s="325"/>
      <c r="C43" s="325"/>
      <c r="D43" s="326"/>
      <c r="E43" s="326"/>
      <c r="F43" s="326"/>
      <c r="G43" s="326"/>
      <c r="H43" s="333"/>
    </row>
    <row r="44" spans="1:11" ht="16.5" customHeight="1">
      <c r="A44" s="322">
        <v>45672</v>
      </c>
      <c r="B44" s="324" t="s">
        <v>4649</v>
      </c>
      <c r="C44" s="325"/>
      <c r="D44" s="326">
        <v>390000</v>
      </c>
      <c r="E44" s="575" t="s">
        <v>4651</v>
      </c>
      <c r="F44" s="575"/>
      <c r="G44" s="575"/>
      <c r="H44" s="333" t="s">
        <v>4650</v>
      </c>
    </row>
    <row r="45" spans="1:11" ht="16.5" customHeight="1">
      <c r="A45" s="323"/>
      <c r="B45" s="325"/>
      <c r="C45" s="325"/>
      <c r="D45" s="326"/>
      <c r="E45" s="575"/>
      <c r="F45" s="575"/>
      <c r="G45" s="575"/>
      <c r="H45" s="333"/>
    </row>
    <row r="46" spans="1:11" ht="16.5" customHeight="1">
      <c r="A46" s="322">
        <v>45672</v>
      </c>
      <c r="B46" s="324" t="s">
        <v>4653</v>
      </c>
      <c r="C46" s="325"/>
      <c r="D46" s="326">
        <v>120000</v>
      </c>
      <c r="E46" s="562" t="s">
        <v>4654</v>
      </c>
      <c r="F46" s="582"/>
      <c r="G46" s="583"/>
      <c r="H46" s="333" t="s">
        <v>4655</v>
      </c>
    </row>
    <row r="47" spans="1:11" ht="16.5" customHeight="1">
      <c r="A47" s="323"/>
      <c r="B47" s="325"/>
      <c r="C47" s="325"/>
      <c r="D47" s="326"/>
      <c r="E47" s="584"/>
      <c r="F47" s="585"/>
      <c r="G47" s="586"/>
      <c r="H47" s="333"/>
    </row>
    <row r="48" spans="1:11">
      <c r="A48" s="322">
        <v>45673</v>
      </c>
      <c r="B48" s="324" t="s">
        <v>4659</v>
      </c>
      <c r="C48" s="325"/>
      <c r="D48" s="326">
        <v>1100000</v>
      </c>
      <c r="E48" s="326" t="s">
        <v>4660</v>
      </c>
      <c r="F48" s="326"/>
      <c r="G48" s="326"/>
      <c r="H48" s="359" t="s">
        <v>4656</v>
      </c>
    </row>
    <row r="49" spans="1:8">
      <c r="A49" s="323"/>
      <c r="B49" s="325"/>
      <c r="C49" s="325"/>
      <c r="D49" s="326"/>
      <c r="E49" s="326"/>
      <c r="F49" s="326"/>
      <c r="G49" s="326"/>
      <c r="H49" s="359"/>
    </row>
    <row r="50" spans="1:8" ht="33.75" customHeight="1">
      <c r="A50" s="186">
        <v>45673</v>
      </c>
      <c r="B50" s="187" t="s">
        <v>4658</v>
      </c>
      <c r="C50" s="187"/>
      <c r="D50" s="188">
        <v>790000</v>
      </c>
      <c r="E50" s="627" t="s">
        <v>4661</v>
      </c>
      <c r="F50" s="628"/>
      <c r="G50" s="629"/>
      <c r="H50" s="190" t="s">
        <v>4657</v>
      </c>
    </row>
    <row r="51" spans="1:8" ht="16.5" customHeight="1">
      <c r="A51" s="322">
        <v>45673</v>
      </c>
      <c r="B51" s="324" t="s">
        <v>4662</v>
      </c>
      <c r="C51" s="325"/>
      <c r="D51" s="326">
        <v>44000</v>
      </c>
      <c r="E51" s="327" t="s">
        <v>4663</v>
      </c>
      <c r="F51" s="328"/>
      <c r="G51" s="329"/>
      <c r="H51" s="359" t="s">
        <v>4664</v>
      </c>
    </row>
    <row r="52" spans="1:8" ht="16.5" customHeight="1">
      <c r="A52" s="323"/>
      <c r="B52" s="325"/>
      <c r="C52" s="325"/>
      <c r="D52" s="326"/>
      <c r="E52" s="330"/>
      <c r="F52" s="331"/>
      <c r="G52" s="332"/>
      <c r="H52" s="359"/>
    </row>
    <row r="53" spans="1:8">
      <c r="A53" s="322"/>
      <c r="B53" s="884" t="s">
        <v>4676</v>
      </c>
      <c r="C53" s="671"/>
      <c r="D53" s="671"/>
      <c r="E53" s="671"/>
      <c r="F53" s="671"/>
      <c r="G53" s="671"/>
      <c r="H53" s="672"/>
    </row>
    <row r="54" spans="1:8" ht="48.75" customHeight="1">
      <c r="A54" s="323"/>
      <c r="B54" s="673"/>
      <c r="C54" s="674"/>
      <c r="D54" s="674"/>
      <c r="E54" s="674"/>
      <c r="F54" s="674"/>
      <c r="G54" s="674"/>
      <c r="H54" s="675"/>
    </row>
    <row r="55" spans="1:8">
      <c r="A55" s="886">
        <v>45677</v>
      </c>
      <c r="B55" s="325"/>
      <c r="C55" s="325"/>
      <c r="D55" s="326"/>
      <c r="E55" s="575" t="s">
        <v>4670</v>
      </c>
      <c r="F55" s="575"/>
      <c r="G55" s="575"/>
      <c r="H55" s="325"/>
    </row>
    <row r="56" spans="1:8">
      <c r="A56" s="887"/>
      <c r="B56" s="325"/>
      <c r="C56" s="325"/>
      <c r="D56" s="326"/>
      <c r="E56" s="575"/>
      <c r="F56" s="575"/>
      <c r="G56" s="575"/>
      <c r="H56" s="325"/>
    </row>
    <row r="57" spans="1:8">
      <c r="A57" s="886">
        <v>45677</v>
      </c>
      <c r="B57" s="325" t="s">
        <v>4668</v>
      </c>
      <c r="C57" s="325"/>
      <c r="D57" s="326">
        <v>300000</v>
      </c>
      <c r="E57" s="575" t="s">
        <v>4671</v>
      </c>
      <c r="F57" s="575"/>
      <c r="G57" s="575"/>
      <c r="H57" s="405" t="s">
        <v>4669</v>
      </c>
    </row>
    <row r="58" spans="1:8">
      <c r="A58" s="887"/>
      <c r="B58" s="325"/>
      <c r="C58" s="325"/>
      <c r="D58" s="326"/>
      <c r="E58" s="575"/>
      <c r="F58" s="575"/>
      <c r="G58" s="575"/>
      <c r="H58" s="405"/>
    </row>
    <row r="59" spans="1:8" ht="17.25" customHeight="1">
      <c r="A59" s="322">
        <v>45678</v>
      </c>
      <c r="B59" s="325" t="s">
        <v>4666</v>
      </c>
      <c r="C59" s="325"/>
      <c r="D59" s="326">
        <v>350000</v>
      </c>
      <c r="E59" s="574" t="s">
        <v>4667</v>
      </c>
      <c r="F59" s="575"/>
      <c r="G59" s="575"/>
      <c r="H59" s="359" t="s">
        <v>4678</v>
      </c>
    </row>
    <row r="60" spans="1:8" ht="24.75" customHeight="1">
      <c r="A60" s="323"/>
      <c r="B60" s="325"/>
      <c r="C60" s="325"/>
      <c r="D60" s="326"/>
      <c r="E60" s="575"/>
      <c r="F60" s="575"/>
      <c r="G60" s="575"/>
      <c r="H60" s="359"/>
    </row>
    <row r="61" spans="1:8">
      <c r="A61" s="322">
        <v>45678</v>
      </c>
      <c r="B61" s="325" t="s">
        <v>4681</v>
      </c>
      <c r="C61" s="325"/>
      <c r="D61" s="326">
        <v>350000</v>
      </c>
      <c r="E61" s="574" t="s">
        <v>4670</v>
      </c>
      <c r="F61" s="575"/>
      <c r="G61" s="575"/>
      <c r="H61" s="359" t="s">
        <v>2544</v>
      </c>
    </row>
    <row r="62" spans="1:8">
      <c r="A62" s="323"/>
      <c r="B62" s="325"/>
      <c r="C62" s="325"/>
      <c r="D62" s="326"/>
      <c r="E62" s="575"/>
      <c r="F62" s="575"/>
      <c r="G62" s="575"/>
      <c r="H62" s="359"/>
    </row>
    <row r="63" spans="1:8">
      <c r="A63" s="322">
        <v>45678</v>
      </c>
      <c r="B63" s="325" t="s">
        <v>4672</v>
      </c>
      <c r="C63" s="325"/>
      <c r="D63" s="326">
        <v>300000</v>
      </c>
      <c r="E63" s="575" t="s">
        <v>4675</v>
      </c>
      <c r="F63" s="575"/>
      <c r="G63" s="575"/>
      <c r="H63" s="359" t="s">
        <v>4678</v>
      </c>
    </row>
    <row r="64" spans="1:8">
      <c r="A64" s="323"/>
      <c r="B64" s="325"/>
      <c r="C64" s="325"/>
      <c r="D64" s="326"/>
      <c r="E64" s="575"/>
      <c r="F64" s="575"/>
      <c r="G64" s="575"/>
      <c r="H64" s="359"/>
    </row>
    <row r="65" spans="1:8">
      <c r="A65" s="322">
        <v>45678</v>
      </c>
      <c r="B65" s="325" t="s">
        <v>4673</v>
      </c>
      <c r="C65" s="325"/>
      <c r="D65" s="326">
        <v>660000</v>
      </c>
      <c r="E65" s="575" t="s">
        <v>4671</v>
      </c>
      <c r="F65" s="575"/>
      <c r="G65" s="575"/>
      <c r="H65" s="359" t="s">
        <v>4674</v>
      </c>
    </row>
    <row r="66" spans="1:8">
      <c r="A66" s="323"/>
      <c r="B66" s="325"/>
      <c r="C66" s="325"/>
      <c r="D66" s="326"/>
      <c r="E66" s="575"/>
      <c r="F66" s="575"/>
      <c r="G66" s="575"/>
      <c r="H66" s="359"/>
    </row>
    <row r="67" spans="1:8">
      <c r="A67" s="322"/>
      <c r="B67" s="325"/>
      <c r="C67" s="325"/>
      <c r="D67" s="326"/>
      <c r="E67" s="326"/>
      <c r="F67" s="326"/>
      <c r="G67" s="326"/>
      <c r="H67" s="359"/>
    </row>
    <row r="68" spans="1:8">
      <c r="A68" s="323"/>
      <c r="B68" s="325"/>
      <c r="C68" s="325"/>
      <c r="D68" s="326"/>
      <c r="E68" s="326"/>
      <c r="F68" s="326"/>
      <c r="G68" s="326"/>
      <c r="H68" s="359"/>
    </row>
    <row r="69" spans="1:8">
      <c r="A69" s="322">
        <v>45679</v>
      </c>
      <c r="B69" s="325" t="s">
        <v>4677</v>
      </c>
      <c r="C69" s="325"/>
      <c r="D69" s="326">
        <v>380000</v>
      </c>
      <c r="E69" s="326" t="s">
        <v>4685</v>
      </c>
      <c r="F69" s="326"/>
      <c r="G69" s="326"/>
      <c r="H69" s="359" t="s">
        <v>4678</v>
      </c>
    </row>
    <row r="70" spans="1:8">
      <c r="A70" s="323"/>
      <c r="B70" s="325"/>
      <c r="C70" s="325"/>
      <c r="D70" s="326"/>
      <c r="E70" s="326"/>
      <c r="F70" s="326"/>
      <c r="G70" s="326"/>
      <c r="H70" s="359"/>
    </row>
    <row r="71" spans="1:8">
      <c r="A71" s="322">
        <v>45679</v>
      </c>
      <c r="B71" s="325" t="s">
        <v>4680</v>
      </c>
      <c r="C71" s="325"/>
      <c r="D71" s="326">
        <v>300000</v>
      </c>
      <c r="E71" s="885" t="s">
        <v>4684</v>
      </c>
      <c r="F71" s="885"/>
      <c r="G71" s="885"/>
      <c r="H71" s="359" t="s">
        <v>145</v>
      </c>
    </row>
    <row r="72" spans="1:8">
      <c r="A72" s="323"/>
      <c r="B72" s="325"/>
      <c r="C72" s="325"/>
      <c r="D72" s="326"/>
      <c r="E72" s="885"/>
      <c r="F72" s="885"/>
      <c r="G72" s="885"/>
      <c r="H72" s="359"/>
    </row>
    <row r="73" spans="1:8">
      <c r="A73" s="322">
        <v>45679</v>
      </c>
      <c r="B73" s="325" t="s">
        <v>4682</v>
      </c>
      <c r="C73" s="325"/>
      <c r="D73" s="326">
        <v>380000</v>
      </c>
      <c r="E73" s="575" t="s">
        <v>4683</v>
      </c>
      <c r="F73" s="575"/>
      <c r="G73" s="575"/>
      <c r="H73" s="359" t="s">
        <v>4678</v>
      </c>
    </row>
    <row r="74" spans="1:8">
      <c r="A74" s="323"/>
      <c r="B74" s="325"/>
      <c r="C74" s="325"/>
      <c r="D74" s="326"/>
      <c r="E74" s="575"/>
      <c r="F74" s="575"/>
      <c r="G74" s="575"/>
      <c r="H74" s="359"/>
    </row>
    <row r="75" spans="1:8">
      <c r="A75" s="322">
        <v>45680</v>
      </c>
      <c r="B75" s="325" t="s">
        <v>4679</v>
      </c>
      <c r="C75" s="325"/>
      <c r="D75" s="326">
        <v>270000</v>
      </c>
      <c r="E75" s="326" t="s">
        <v>4686</v>
      </c>
      <c r="F75" s="326"/>
      <c r="G75" s="326"/>
      <c r="H75" s="359" t="s">
        <v>4690</v>
      </c>
    </row>
    <row r="76" spans="1:8">
      <c r="A76" s="323"/>
      <c r="B76" s="325"/>
      <c r="C76" s="325"/>
      <c r="D76" s="326"/>
      <c r="E76" s="326"/>
      <c r="F76" s="326"/>
      <c r="G76" s="326"/>
      <c r="H76" s="359"/>
    </row>
    <row r="77" spans="1:8">
      <c r="A77" s="322">
        <v>45680</v>
      </c>
      <c r="B77" s="325" t="s">
        <v>4691</v>
      </c>
      <c r="C77" s="325"/>
      <c r="D77" s="326">
        <v>320000</v>
      </c>
      <c r="E77" s="575" t="s">
        <v>4687</v>
      </c>
      <c r="F77" s="575"/>
      <c r="G77" s="575"/>
      <c r="H77" s="359" t="s">
        <v>2544</v>
      </c>
    </row>
    <row r="78" spans="1:8">
      <c r="A78" s="323"/>
      <c r="B78" s="325"/>
      <c r="C78" s="325"/>
      <c r="D78" s="326"/>
      <c r="E78" s="575"/>
      <c r="F78" s="575"/>
      <c r="G78" s="575"/>
      <c r="H78" s="359"/>
    </row>
    <row r="79" spans="1:8">
      <c r="A79" s="322">
        <v>45680</v>
      </c>
      <c r="B79" s="325" t="s">
        <v>4688</v>
      </c>
      <c r="C79" s="325"/>
      <c r="D79" s="326">
        <v>50000</v>
      </c>
      <c r="E79" s="326"/>
      <c r="F79" s="326"/>
      <c r="G79" s="326"/>
      <c r="H79" s="333" t="s">
        <v>4689</v>
      </c>
    </row>
    <row r="80" spans="1:8">
      <c r="A80" s="323"/>
      <c r="B80" s="325"/>
      <c r="C80" s="325"/>
      <c r="D80" s="326"/>
      <c r="E80" s="326"/>
      <c r="F80" s="326"/>
      <c r="G80" s="326"/>
      <c r="H80" s="333"/>
    </row>
    <row r="81" spans="1:8">
      <c r="A81" s="322"/>
      <c r="B81" s="884">
        <v>36</v>
      </c>
      <c r="C81" s="671"/>
      <c r="D81" s="671"/>
      <c r="E81" s="671"/>
      <c r="F81" s="671"/>
      <c r="G81" s="671"/>
      <c r="H81" s="672"/>
    </row>
    <row r="82" spans="1:8">
      <c r="A82" s="323"/>
      <c r="B82" s="673"/>
      <c r="C82" s="674"/>
      <c r="D82" s="674"/>
      <c r="E82" s="674"/>
      <c r="F82" s="674"/>
      <c r="G82" s="674"/>
      <c r="H82" s="675"/>
    </row>
    <row r="83" spans="1:8" ht="17.25" customHeight="1">
      <c r="A83" s="322"/>
      <c r="B83" s="325"/>
      <c r="C83" s="325"/>
      <c r="D83" s="326"/>
      <c r="E83" s="326"/>
      <c r="F83" s="326"/>
      <c r="G83" s="326"/>
      <c r="H83" s="359"/>
    </row>
    <row r="84" spans="1:8" ht="17.25" customHeight="1">
      <c r="A84" s="323"/>
      <c r="B84" s="325"/>
      <c r="C84" s="325"/>
      <c r="D84" s="326"/>
      <c r="E84" s="326"/>
      <c r="F84" s="326"/>
      <c r="G84" s="326"/>
      <c r="H84" s="359"/>
    </row>
    <row r="85" spans="1:8" ht="17.25" customHeight="1">
      <c r="A85" s="322"/>
      <c r="B85" s="325"/>
      <c r="C85" s="325"/>
      <c r="D85" s="326"/>
      <c r="E85" s="326"/>
      <c r="F85" s="326"/>
      <c r="G85" s="326"/>
      <c r="H85" s="359"/>
    </row>
    <row r="86" spans="1:8" ht="17.25" customHeight="1">
      <c r="A86" s="323"/>
      <c r="B86" s="325"/>
      <c r="C86" s="325"/>
      <c r="D86" s="326"/>
      <c r="E86" s="326"/>
      <c r="F86" s="326"/>
      <c r="G86" s="326"/>
      <c r="H86" s="359"/>
    </row>
    <row r="87" spans="1:8">
      <c r="A87" s="322"/>
      <c r="B87" s="325"/>
      <c r="C87" s="325"/>
      <c r="D87" s="326"/>
      <c r="E87" s="326"/>
      <c r="F87" s="326"/>
      <c r="G87" s="326"/>
      <c r="H87" s="359"/>
    </row>
    <row r="88" spans="1:8">
      <c r="A88" s="323"/>
      <c r="B88" s="325"/>
      <c r="C88" s="325"/>
      <c r="D88" s="326"/>
      <c r="E88" s="326"/>
      <c r="F88" s="326"/>
      <c r="G88" s="326"/>
      <c r="H88" s="359"/>
    </row>
    <row r="89" spans="1:8" ht="17.25" customHeight="1">
      <c r="A89" s="322"/>
      <c r="B89" s="325"/>
      <c r="C89" s="325"/>
      <c r="D89" s="326"/>
      <c r="E89" s="326"/>
      <c r="F89" s="326"/>
      <c r="G89" s="326"/>
      <c r="H89" s="359"/>
    </row>
    <row r="90" spans="1:8" ht="17.25" customHeight="1">
      <c r="A90" s="323"/>
      <c r="B90" s="325"/>
      <c r="C90" s="325"/>
      <c r="D90" s="326"/>
      <c r="E90" s="326"/>
      <c r="F90" s="326"/>
      <c r="G90" s="326"/>
      <c r="H90" s="359"/>
    </row>
    <row r="91" spans="1:8">
      <c r="A91" s="322"/>
      <c r="B91" s="325"/>
      <c r="C91" s="325"/>
      <c r="D91" s="326"/>
      <c r="E91" s="326"/>
      <c r="F91" s="326"/>
      <c r="G91" s="326"/>
      <c r="H91" s="359"/>
    </row>
    <row r="92" spans="1:8">
      <c r="A92" s="323"/>
      <c r="B92" s="325"/>
      <c r="C92" s="325"/>
      <c r="D92" s="326"/>
      <c r="E92" s="326"/>
      <c r="F92" s="326"/>
      <c r="G92" s="326"/>
      <c r="H92" s="359"/>
    </row>
    <row r="93" spans="1:8">
      <c r="A93" s="313"/>
      <c r="B93" s="325"/>
      <c r="C93" s="325"/>
      <c r="D93" s="326"/>
      <c r="E93" s="326"/>
      <c r="F93" s="326"/>
      <c r="G93" s="326"/>
      <c r="H93" s="359"/>
    </row>
    <row r="94" spans="1:8">
      <c r="A94" s="305"/>
      <c r="B94" s="325"/>
      <c r="C94" s="325"/>
      <c r="D94" s="326"/>
      <c r="E94" s="326"/>
      <c r="F94" s="326"/>
      <c r="G94" s="326"/>
      <c r="H94" s="359"/>
    </row>
    <row r="95" spans="1:8" ht="17.25" customHeight="1">
      <c r="A95" s="313"/>
      <c r="B95" s="884"/>
      <c r="C95" s="671"/>
      <c r="D95" s="671"/>
      <c r="E95" s="671"/>
      <c r="F95" s="671"/>
      <c r="G95" s="671"/>
      <c r="H95" s="672"/>
    </row>
    <row r="96" spans="1:8" ht="43.5" customHeight="1">
      <c r="A96" s="305"/>
      <c r="B96" s="673"/>
      <c r="C96" s="674"/>
      <c r="D96" s="674"/>
      <c r="E96" s="674"/>
      <c r="F96" s="674"/>
      <c r="G96" s="674"/>
      <c r="H96" s="675"/>
    </row>
    <row r="97" spans="1:8">
      <c r="A97" s="313"/>
      <c r="B97" s="325"/>
      <c r="C97" s="325"/>
      <c r="D97" s="326"/>
      <c r="E97" s="326"/>
      <c r="F97" s="326"/>
      <c r="G97" s="326"/>
      <c r="H97" s="359"/>
    </row>
    <row r="98" spans="1:8">
      <c r="A98" s="305"/>
      <c r="B98" s="325"/>
      <c r="C98" s="325"/>
      <c r="D98" s="326"/>
      <c r="E98" s="326"/>
      <c r="F98" s="326"/>
      <c r="G98" s="326"/>
      <c r="H98" s="359"/>
    </row>
    <row r="99" spans="1:8">
      <c r="A99" s="313"/>
      <c r="B99" s="325"/>
      <c r="C99" s="325"/>
      <c r="D99" s="326"/>
      <c r="E99" s="326"/>
      <c r="F99" s="326"/>
      <c r="G99" s="326"/>
      <c r="H99" s="359"/>
    </row>
    <row r="100" spans="1:8">
      <c r="A100" s="305"/>
      <c r="B100" s="325"/>
      <c r="C100" s="325"/>
      <c r="D100" s="326"/>
      <c r="E100" s="326"/>
      <c r="F100" s="326"/>
      <c r="G100" s="326"/>
      <c r="H100" s="359"/>
    </row>
    <row r="101" spans="1:8">
      <c r="A101" s="313"/>
      <c r="B101" s="325"/>
      <c r="C101" s="325"/>
      <c r="D101" s="326"/>
      <c r="E101" s="326"/>
      <c r="F101" s="326"/>
      <c r="G101" s="326"/>
      <c r="H101" s="359"/>
    </row>
    <row r="102" spans="1:8">
      <c r="A102" s="305"/>
      <c r="B102" s="325"/>
      <c r="C102" s="325"/>
      <c r="D102" s="326"/>
      <c r="E102" s="326"/>
      <c r="F102" s="326"/>
      <c r="G102" s="326"/>
      <c r="H102" s="359"/>
    </row>
    <row r="103" spans="1:8">
      <c r="A103" s="313"/>
      <c r="B103" s="325"/>
      <c r="C103" s="325"/>
      <c r="D103" s="343"/>
      <c r="E103" s="326"/>
      <c r="F103" s="326"/>
      <c r="G103" s="326"/>
      <c r="H103" s="359"/>
    </row>
    <row r="104" spans="1:8">
      <c r="A104" s="305"/>
      <c r="B104" s="325"/>
      <c r="C104" s="325"/>
      <c r="D104" s="344"/>
      <c r="E104" s="326"/>
      <c r="F104" s="326"/>
      <c r="G104" s="326"/>
      <c r="H104" s="359"/>
    </row>
    <row r="105" spans="1:8">
      <c r="A105" s="313"/>
      <c r="B105" s="325"/>
      <c r="C105" s="325"/>
      <c r="D105" s="326"/>
      <c r="E105" s="326"/>
      <c r="F105" s="326"/>
      <c r="G105" s="326"/>
      <c r="H105" s="359"/>
    </row>
    <row r="106" spans="1:8">
      <c r="A106" s="305"/>
      <c r="B106" s="325"/>
      <c r="C106" s="325"/>
      <c r="D106" s="326"/>
      <c r="E106" s="326"/>
      <c r="F106" s="326"/>
      <c r="G106" s="326"/>
      <c r="H106" s="359"/>
    </row>
    <row r="107" spans="1:8">
      <c r="A107" s="313"/>
      <c r="B107" s="325"/>
      <c r="C107" s="325"/>
      <c r="D107" s="326"/>
      <c r="E107" s="326"/>
      <c r="F107" s="326"/>
      <c r="G107" s="326"/>
      <c r="H107" s="359"/>
    </row>
    <row r="108" spans="1:8">
      <c r="A108" s="305"/>
      <c r="B108" s="325"/>
      <c r="C108" s="325"/>
      <c r="D108" s="326"/>
      <c r="E108" s="326"/>
      <c r="F108" s="326"/>
      <c r="G108" s="326"/>
      <c r="H108" s="359"/>
    </row>
    <row r="109" spans="1:8">
      <c r="A109" s="313"/>
      <c r="B109" s="884"/>
      <c r="C109" s="671"/>
      <c r="D109" s="671"/>
      <c r="E109" s="671"/>
      <c r="F109" s="671"/>
      <c r="G109" s="671"/>
      <c r="H109" s="672"/>
    </row>
    <row r="110" spans="1:8" ht="59.25" customHeight="1">
      <c r="A110" s="305"/>
      <c r="B110" s="673"/>
      <c r="C110" s="674"/>
      <c r="D110" s="674"/>
      <c r="E110" s="674"/>
      <c r="F110" s="674"/>
      <c r="G110" s="674"/>
      <c r="H110" s="675"/>
    </row>
    <row r="111" spans="1:8">
      <c r="A111" s="313"/>
      <c r="B111" s="325"/>
      <c r="C111" s="325"/>
      <c r="D111" s="326"/>
      <c r="E111" s="326"/>
      <c r="F111" s="326"/>
      <c r="G111" s="326"/>
      <c r="H111" s="359"/>
    </row>
    <row r="112" spans="1:8">
      <c r="A112" s="305"/>
      <c r="B112" s="325"/>
      <c r="C112" s="325"/>
      <c r="D112" s="326"/>
      <c r="E112" s="326"/>
      <c r="F112" s="326"/>
      <c r="G112" s="326"/>
      <c r="H112" s="359"/>
    </row>
    <row r="113" spans="1:8">
      <c r="A113" s="313"/>
      <c r="B113" s="325"/>
      <c r="C113" s="325"/>
      <c r="D113" s="326"/>
      <c r="E113" s="326"/>
      <c r="F113" s="326"/>
      <c r="G113" s="326"/>
      <c r="H113" s="359"/>
    </row>
    <row r="114" spans="1:8">
      <c r="A114" s="305"/>
      <c r="B114" s="325"/>
      <c r="C114" s="325"/>
      <c r="D114" s="326"/>
      <c r="E114" s="326"/>
      <c r="F114" s="326"/>
      <c r="G114" s="326"/>
      <c r="H114" s="359"/>
    </row>
    <row r="115" spans="1:8">
      <c r="A115" s="305"/>
      <c r="B115" s="325"/>
      <c r="C115" s="325"/>
      <c r="D115" s="326"/>
      <c r="E115" s="326"/>
      <c r="F115" s="326"/>
      <c r="G115" s="326"/>
      <c r="H115" s="333"/>
    </row>
    <row r="116" spans="1:8">
      <c r="A116" s="305"/>
      <c r="B116" s="325"/>
      <c r="C116" s="325"/>
      <c r="D116" s="326"/>
      <c r="E116" s="326"/>
      <c r="F116" s="326"/>
      <c r="G116" s="326"/>
      <c r="H116" s="333"/>
    </row>
    <row r="117" spans="1:8">
      <c r="A117" s="313"/>
      <c r="B117" s="325"/>
      <c r="C117" s="325"/>
      <c r="D117" s="326"/>
      <c r="E117" s="326"/>
      <c r="F117" s="326"/>
      <c r="G117" s="326"/>
      <c r="H117" s="333"/>
    </row>
    <row r="118" spans="1:8">
      <c r="A118" s="305"/>
      <c r="B118" s="325"/>
      <c r="C118" s="325"/>
      <c r="D118" s="326"/>
      <c r="E118" s="326"/>
      <c r="F118" s="326"/>
      <c r="G118" s="326"/>
      <c r="H118" s="333"/>
    </row>
    <row r="119" spans="1:8">
      <c r="A119" s="305"/>
      <c r="B119" s="325"/>
      <c r="C119" s="325"/>
      <c r="D119" s="326"/>
      <c r="E119" s="326"/>
      <c r="F119" s="326"/>
      <c r="G119" s="326"/>
      <c r="H119" s="333"/>
    </row>
    <row r="120" spans="1:8">
      <c r="A120" s="305"/>
      <c r="B120" s="325"/>
      <c r="C120" s="325"/>
      <c r="D120" s="326"/>
      <c r="E120" s="326"/>
      <c r="F120" s="326"/>
      <c r="G120" s="326"/>
      <c r="H120" s="333"/>
    </row>
    <row r="121" spans="1:8">
      <c r="A121" s="305"/>
      <c r="B121" s="325"/>
      <c r="C121" s="325"/>
      <c r="D121" s="326"/>
      <c r="E121" s="326"/>
      <c r="F121" s="326"/>
      <c r="G121" s="326"/>
      <c r="H121" s="333"/>
    </row>
    <row r="122" spans="1:8">
      <c r="A122" s="305"/>
      <c r="B122" s="325"/>
      <c r="C122" s="325"/>
      <c r="D122" s="326"/>
      <c r="E122" s="326"/>
      <c r="F122" s="326"/>
      <c r="G122" s="326"/>
      <c r="H122" s="333"/>
    </row>
    <row r="123" spans="1:8">
      <c r="A123" s="305"/>
      <c r="B123" s="325"/>
      <c r="C123" s="325"/>
      <c r="D123" s="326"/>
      <c r="E123" s="326"/>
      <c r="F123" s="326"/>
      <c r="G123" s="326"/>
      <c r="H123" s="333"/>
    </row>
    <row r="124" spans="1:8">
      <c r="A124" s="305"/>
      <c r="B124" s="325"/>
      <c r="C124" s="325"/>
      <c r="D124" s="326"/>
      <c r="E124" s="326"/>
      <c r="F124" s="326"/>
      <c r="G124" s="326"/>
      <c r="H124" s="333"/>
    </row>
  </sheetData>
  <mergeCells count="351"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  <mergeCell ref="A6:A7"/>
    <mergeCell ref="B6:B7"/>
    <mergeCell ref="C6:C7"/>
    <mergeCell ref="D6:D7"/>
    <mergeCell ref="E6:G7"/>
    <mergeCell ref="H6:H7"/>
    <mergeCell ref="A3:H3"/>
    <mergeCell ref="A4:A5"/>
    <mergeCell ref="B4:B5"/>
    <mergeCell ref="C4:C5"/>
    <mergeCell ref="D4:D5"/>
    <mergeCell ref="E4:G5"/>
    <mergeCell ref="H4:H5"/>
    <mergeCell ref="A10:A11"/>
    <mergeCell ref="B10:B11"/>
    <mergeCell ref="C10:C11"/>
    <mergeCell ref="D10:D11"/>
    <mergeCell ref="E10:G11"/>
    <mergeCell ref="H10:H11"/>
    <mergeCell ref="A8:A9"/>
    <mergeCell ref="B8:B9"/>
    <mergeCell ref="C8:C9"/>
    <mergeCell ref="D8:D9"/>
    <mergeCell ref="E8:G9"/>
    <mergeCell ref="H8:H9"/>
    <mergeCell ref="B17:H17"/>
    <mergeCell ref="H13:H14"/>
    <mergeCell ref="A15:A16"/>
    <mergeCell ref="B15:B16"/>
    <mergeCell ref="C15:C16"/>
    <mergeCell ref="D15:D16"/>
    <mergeCell ref="E15:G16"/>
    <mergeCell ref="H15:H16"/>
    <mergeCell ref="E12:G12"/>
    <mergeCell ref="A13:A14"/>
    <mergeCell ref="B13:B14"/>
    <mergeCell ref="C13:C14"/>
    <mergeCell ref="D13:D14"/>
    <mergeCell ref="E13:G14"/>
    <mergeCell ref="H18:H19"/>
    <mergeCell ref="A20:A21"/>
    <mergeCell ref="B20:B21"/>
    <mergeCell ref="C20:C21"/>
    <mergeCell ref="D20:D21"/>
    <mergeCell ref="E20:G21"/>
    <mergeCell ref="H20:H21"/>
    <mergeCell ref="A18:A19"/>
    <mergeCell ref="B18:B19"/>
    <mergeCell ref="C18:C19"/>
    <mergeCell ref="D18:D19"/>
    <mergeCell ref="E18:G19"/>
    <mergeCell ref="A24:A25"/>
    <mergeCell ref="B24:B25"/>
    <mergeCell ref="C24:C25"/>
    <mergeCell ref="D24:D25"/>
    <mergeCell ref="E24:G25"/>
    <mergeCell ref="H24:H25"/>
    <mergeCell ref="A22:A23"/>
    <mergeCell ref="B22:B23"/>
    <mergeCell ref="C22:C23"/>
    <mergeCell ref="D22:D23"/>
    <mergeCell ref="E22:G23"/>
    <mergeCell ref="H22:H23"/>
    <mergeCell ref="A28:A29"/>
    <mergeCell ref="B28:B29"/>
    <mergeCell ref="C28:C29"/>
    <mergeCell ref="D28:D29"/>
    <mergeCell ref="E28:G29"/>
    <mergeCell ref="H28:H29"/>
    <mergeCell ref="A26:A27"/>
    <mergeCell ref="B26:B27"/>
    <mergeCell ref="C26:C27"/>
    <mergeCell ref="D26:D27"/>
    <mergeCell ref="E26:G27"/>
    <mergeCell ref="H26:H27"/>
    <mergeCell ref="E40:G41"/>
    <mergeCell ref="H40:H41"/>
    <mergeCell ref="A30:A31"/>
    <mergeCell ref="B30:B31"/>
    <mergeCell ref="C30:C31"/>
    <mergeCell ref="D30:D31"/>
    <mergeCell ref="E30:G31"/>
    <mergeCell ref="H30:H31"/>
    <mergeCell ref="A34:A35"/>
    <mergeCell ref="B34:B35"/>
    <mergeCell ref="C34:C35"/>
    <mergeCell ref="D34:D35"/>
    <mergeCell ref="E34:G35"/>
    <mergeCell ref="H34:H35"/>
    <mergeCell ref="A32:A33"/>
    <mergeCell ref="B32:B33"/>
    <mergeCell ref="C32:C33"/>
    <mergeCell ref="D32:D33"/>
    <mergeCell ref="E32:G33"/>
    <mergeCell ref="H32:H33"/>
    <mergeCell ref="A44:A45"/>
    <mergeCell ref="B44:B45"/>
    <mergeCell ref="C44:C45"/>
    <mergeCell ref="D44:D45"/>
    <mergeCell ref="E44:G45"/>
    <mergeCell ref="H44:H45"/>
    <mergeCell ref="A38:A39"/>
    <mergeCell ref="A36:A37"/>
    <mergeCell ref="B36:B37"/>
    <mergeCell ref="C36:C37"/>
    <mergeCell ref="D36:D37"/>
    <mergeCell ref="E36:G37"/>
    <mergeCell ref="H36:H37"/>
    <mergeCell ref="B38:H39"/>
    <mergeCell ref="A42:A43"/>
    <mergeCell ref="B42:B43"/>
    <mergeCell ref="C42:C43"/>
    <mergeCell ref="D42:D43"/>
    <mergeCell ref="E42:G43"/>
    <mergeCell ref="H42:H43"/>
    <mergeCell ref="A40:A41"/>
    <mergeCell ref="B40:B41"/>
    <mergeCell ref="C40:C41"/>
    <mergeCell ref="D40:D41"/>
    <mergeCell ref="A48:A49"/>
    <mergeCell ref="B48:B49"/>
    <mergeCell ref="C48:C49"/>
    <mergeCell ref="D48:D49"/>
    <mergeCell ref="E48:G49"/>
    <mergeCell ref="H48:H49"/>
    <mergeCell ref="A46:A47"/>
    <mergeCell ref="B46:B47"/>
    <mergeCell ref="C46:C47"/>
    <mergeCell ref="D46:D47"/>
    <mergeCell ref="E46:G47"/>
    <mergeCell ref="H46:H47"/>
    <mergeCell ref="H51:H52"/>
    <mergeCell ref="A53:A54"/>
    <mergeCell ref="B53:H54"/>
    <mergeCell ref="E50:G50"/>
    <mergeCell ref="A51:A52"/>
    <mergeCell ref="B51:B52"/>
    <mergeCell ref="C51:C52"/>
    <mergeCell ref="D51:D52"/>
    <mergeCell ref="E51:G52"/>
    <mergeCell ref="A57:A58"/>
    <mergeCell ref="B57:B58"/>
    <mergeCell ref="C57:C58"/>
    <mergeCell ref="D57:D58"/>
    <mergeCell ref="E57:G58"/>
    <mergeCell ref="H57:H58"/>
    <mergeCell ref="A55:A56"/>
    <mergeCell ref="B55:B56"/>
    <mergeCell ref="C55:C56"/>
    <mergeCell ref="D55:D56"/>
    <mergeCell ref="E55:G56"/>
    <mergeCell ref="H55:H56"/>
    <mergeCell ref="A61:A62"/>
    <mergeCell ref="B61:B62"/>
    <mergeCell ref="C61:C62"/>
    <mergeCell ref="D61:D62"/>
    <mergeCell ref="E61:G62"/>
    <mergeCell ref="H61:H62"/>
    <mergeCell ref="A59:A60"/>
    <mergeCell ref="B59:B60"/>
    <mergeCell ref="C59:C60"/>
    <mergeCell ref="D59:D60"/>
    <mergeCell ref="E59:G60"/>
    <mergeCell ref="H59:H60"/>
    <mergeCell ref="A65:A66"/>
    <mergeCell ref="B65:B66"/>
    <mergeCell ref="C65:C66"/>
    <mergeCell ref="D65:D66"/>
    <mergeCell ref="E65:G66"/>
    <mergeCell ref="H65:H66"/>
    <mergeCell ref="A63:A64"/>
    <mergeCell ref="B63:B64"/>
    <mergeCell ref="C63:C64"/>
    <mergeCell ref="D63:D64"/>
    <mergeCell ref="E63:G64"/>
    <mergeCell ref="H63:H64"/>
    <mergeCell ref="A69:A70"/>
    <mergeCell ref="B69:B70"/>
    <mergeCell ref="C69:C70"/>
    <mergeCell ref="D69:D70"/>
    <mergeCell ref="E69:G70"/>
    <mergeCell ref="H69:H70"/>
    <mergeCell ref="A67:A68"/>
    <mergeCell ref="B67:B68"/>
    <mergeCell ref="C67:C68"/>
    <mergeCell ref="D67:D68"/>
    <mergeCell ref="E67:G68"/>
    <mergeCell ref="H67:H68"/>
    <mergeCell ref="A73:A74"/>
    <mergeCell ref="B73:B74"/>
    <mergeCell ref="C73:C74"/>
    <mergeCell ref="D73:D74"/>
    <mergeCell ref="E73:G74"/>
    <mergeCell ref="H73:H74"/>
    <mergeCell ref="A71:A72"/>
    <mergeCell ref="B71:B72"/>
    <mergeCell ref="C71:C72"/>
    <mergeCell ref="D71:D72"/>
    <mergeCell ref="E71:G72"/>
    <mergeCell ref="H71:H72"/>
    <mergeCell ref="A77:A78"/>
    <mergeCell ref="B77:B78"/>
    <mergeCell ref="C77:C78"/>
    <mergeCell ref="D77:D78"/>
    <mergeCell ref="E77:G78"/>
    <mergeCell ref="H77:H78"/>
    <mergeCell ref="A75:A76"/>
    <mergeCell ref="B75:B76"/>
    <mergeCell ref="C75:C76"/>
    <mergeCell ref="D75:D76"/>
    <mergeCell ref="E75:G76"/>
    <mergeCell ref="H75:H76"/>
    <mergeCell ref="A83:A84"/>
    <mergeCell ref="B83:B84"/>
    <mergeCell ref="C83:C84"/>
    <mergeCell ref="D83:D84"/>
    <mergeCell ref="E83:G84"/>
    <mergeCell ref="H83:H84"/>
    <mergeCell ref="A81:A82"/>
    <mergeCell ref="B81:H82"/>
    <mergeCell ref="A79:A80"/>
    <mergeCell ref="B79:B80"/>
    <mergeCell ref="C79:C80"/>
    <mergeCell ref="D79:D80"/>
    <mergeCell ref="E79:G80"/>
    <mergeCell ref="H79:H80"/>
    <mergeCell ref="A87:A88"/>
    <mergeCell ref="B87:B88"/>
    <mergeCell ref="C87:C88"/>
    <mergeCell ref="D87:D88"/>
    <mergeCell ref="E87:G88"/>
    <mergeCell ref="H87:H88"/>
    <mergeCell ref="A85:A86"/>
    <mergeCell ref="B85:B86"/>
    <mergeCell ref="C85:C86"/>
    <mergeCell ref="D85:D86"/>
    <mergeCell ref="E85:G86"/>
    <mergeCell ref="H85:H86"/>
    <mergeCell ref="A91:A92"/>
    <mergeCell ref="B91:B92"/>
    <mergeCell ref="C91:C92"/>
    <mergeCell ref="D91:D92"/>
    <mergeCell ref="E91:G92"/>
    <mergeCell ref="H91:H92"/>
    <mergeCell ref="A89:A90"/>
    <mergeCell ref="B89:B90"/>
    <mergeCell ref="C89:C90"/>
    <mergeCell ref="D89:D90"/>
    <mergeCell ref="E89:G90"/>
    <mergeCell ref="H89:H90"/>
    <mergeCell ref="A95:A96"/>
    <mergeCell ref="B95:H96"/>
    <mergeCell ref="A97:A98"/>
    <mergeCell ref="B97:B98"/>
    <mergeCell ref="C97:C98"/>
    <mergeCell ref="D97:D98"/>
    <mergeCell ref="E97:G98"/>
    <mergeCell ref="H97:H98"/>
    <mergeCell ref="A93:A94"/>
    <mergeCell ref="B93:B94"/>
    <mergeCell ref="C93:C94"/>
    <mergeCell ref="D93:D94"/>
    <mergeCell ref="E93:G94"/>
    <mergeCell ref="H93:H94"/>
    <mergeCell ref="A101:A102"/>
    <mergeCell ref="B101:B102"/>
    <mergeCell ref="C101:C102"/>
    <mergeCell ref="D101:D102"/>
    <mergeCell ref="E101:G102"/>
    <mergeCell ref="H101:H102"/>
    <mergeCell ref="A99:A100"/>
    <mergeCell ref="B99:B100"/>
    <mergeCell ref="C99:C100"/>
    <mergeCell ref="D99:D100"/>
    <mergeCell ref="E99:G100"/>
    <mergeCell ref="H99:H100"/>
    <mergeCell ref="A105:A106"/>
    <mergeCell ref="B105:B106"/>
    <mergeCell ref="C105:C106"/>
    <mergeCell ref="D105:D106"/>
    <mergeCell ref="E105:G106"/>
    <mergeCell ref="H105:H106"/>
    <mergeCell ref="A103:A104"/>
    <mergeCell ref="B103:B104"/>
    <mergeCell ref="C103:C104"/>
    <mergeCell ref="D103:D104"/>
    <mergeCell ref="E103:G104"/>
    <mergeCell ref="H103:H104"/>
    <mergeCell ref="A109:A110"/>
    <mergeCell ref="B109:H110"/>
    <mergeCell ref="A111:A112"/>
    <mergeCell ref="B111:B112"/>
    <mergeCell ref="C111:C112"/>
    <mergeCell ref="D111:D112"/>
    <mergeCell ref="E111:G112"/>
    <mergeCell ref="H111:H112"/>
    <mergeCell ref="A107:A108"/>
    <mergeCell ref="B107:B108"/>
    <mergeCell ref="C107:C108"/>
    <mergeCell ref="D107:D108"/>
    <mergeCell ref="E107:G108"/>
    <mergeCell ref="H107:H108"/>
    <mergeCell ref="A115:A116"/>
    <mergeCell ref="B115:B116"/>
    <mergeCell ref="C115:C116"/>
    <mergeCell ref="D115:D116"/>
    <mergeCell ref="E115:G116"/>
    <mergeCell ref="H115:H116"/>
    <mergeCell ref="A113:A114"/>
    <mergeCell ref="B113:B114"/>
    <mergeCell ref="C113:C114"/>
    <mergeCell ref="D113:D114"/>
    <mergeCell ref="E113:G114"/>
    <mergeCell ref="H113:H114"/>
    <mergeCell ref="A119:A120"/>
    <mergeCell ref="B119:B120"/>
    <mergeCell ref="C119:C120"/>
    <mergeCell ref="D119:D120"/>
    <mergeCell ref="E119:G120"/>
    <mergeCell ref="H119:H120"/>
    <mergeCell ref="A117:A118"/>
    <mergeCell ref="B117:B118"/>
    <mergeCell ref="C117:C118"/>
    <mergeCell ref="D117:D118"/>
    <mergeCell ref="E117:G118"/>
    <mergeCell ref="H117:H118"/>
    <mergeCell ref="A123:A124"/>
    <mergeCell ref="B123:B124"/>
    <mergeCell ref="C123:C124"/>
    <mergeCell ref="D123:D124"/>
    <mergeCell ref="E123:G124"/>
    <mergeCell ref="H123:H124"/>
    <mergeCell ref="A121:A122"/>
    <mergeCell ref="B121:B122"/>
    <mergeCell ref="C121:C122"/>
    <mergeCell ref="D121:D122"/>
    <mergeCell ref="E121:G122"/>
    <mergeCell ref="H121:H122"/>
  </mergeCells>
  <phoneticPr fontId="1" type="noConversion"/>
  <pageMargins left="0" right="0" top="0" bottom="0" header="0" footer="0"/>
  <pageSetup paperSize="9" scale="36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31"/>
  <sheetViews>
    <sheetView showGridLines="0" zoomScale="115" zoomScaleNormal="115" workbookViewId="0">
      <pane xSplit="8" ySplit="2" topLeftCell="I108" activePane="bottomRight" state="frozen"/>
      <selection pane="topRight" activeCell="I1" sqref="I1"/>
      <selection pane="bottomLeft" activeCell="A3" sqref="A3"/>
      <selection pane="bottomRight" activeCell="L113" sqref="L113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0" max="10" width="13.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  <col min="18" max="18" width="9.5" bestFit="1" customWidth="1"/>
  </cols>
  <sheetData>
    <row r="1" spans="1:18" ht="35.25" customHeight="1" thickBot="1">
      <c r="A1" s="388" t="s">
        <v>4475</v>
      </c>
      <c r="B1" s="389"/>
      <c r="C1" s="402" t="s">
        <v>27</v>
      </c>
      <c r="D1" s="403"/>
      <c r="E1" s="21" t="s">
        <v>26</v>
      </c>
      <c r="F1" s="20">
        <f>H1/31</f>
        <v>1083225.8064516129</v>
      </c>
      <c r="G1" s="21" t="s">
        <v>4</v>
      </c>
      <c r="H1" s="22">
        <f>SUM(D4:D136)</f>
        <v>33580000</v>
      </c>
      <c r="I1" s="392"/>
      <c r="J1" s="338"/>
      <c r="K1" s="394"/>
      <c r="L1" s="396"/>
      <c r="M1" s="377"/>
      <c r="N1" s="379"/>
      <c r="O1" s="381"/>
      <c r="P1" s="383"/>
      <c r="Q1" s="377"/>
      <c r="R1" s="376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385" t="s">
        <v>25</v>
      </c>
      <c r="F2" s="386"/>
      <c r="G2" s="387"/>
      <c r="H2" s="25" t="s">
        <v>5</v>
      </c>
      <c r="I2" s="393"/>
      <c r="J2" s="333"/>
      <c r="K2" s="395"/>
      <c r="L2" s="397"/>
      <c r="M2" s="378"/>
      <c r="N2" s="380"/>
      <c r="O2" s="382"/>
      <c r="P2" s="384"/>
      <c r="Q2" s="378"/>
      <c r="R2" s="376"/>
    </row>
    <row r="3" spans="1:18" ht="57.75" customHeight="1">
      <c r="A3" s="441" t="s">
        <v>4496</v>
      </c>
      <c r="B3" s="442"/>
      <c r="C3" s="442"/>
      <c r="D3" s="442"/>
      <c r="E3" s="442"/>
      <c r="F3" s="442"/>
      <c r="G3" s="442"/>
      <c r="H3" s="443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322">
        <v>45628</v>
      </c>
      <c r="B4" s="439" t="s">
        <v>4463</v>
      </c>
      <c r="C4" s="341"/>
      <c r="D4" s="326">
        <v>600000</v>
      </c>
      <c r="E4" s="562" t="s">
        <v>4464</v>
      </c>
      <c r="F4" s="582"/>
      <c r="G4" s="583"/>
      <c r="H4" s="398" t="s">
        <v>4465</v>
      </c>
      <c r="J4" s="43"/>
    </row>
    <row r="5" spans="1:18" ht="16.5" customHeight="1">
      <c r="A5" s="323"/>
      <c r="B5" s="440"/>
      <c r="C5" s="342"/>
      <c r="D5" s="326"/>
      <c r="E5" s="584"/>
      <c r="F5" s="585"/>
      <c r="G5" s="586"/>
      <c r="H5" s="399"/>
      <c r="J5" s="43"/>
    </row>
    <row r="6" spans="1:18" ht="16.5" customHeight="1">
      <c r="A6" s="322">
        <v>45628</v>
      </c>
      <c r="B6" s="439" t="s">
        <v>4468</v>
      </c>
      <c r="C6" s="341"/>
      <c r="D6" s="343">
        <v>70000</v>
      </c>
      <c r="E6" s="327"/>
      <c r="F6" s="345"/>
      <c r="G6" s="346"/>
      <c r="H6" s="398" t="s">
        <v>4466</v>
      </c>
    </row>
    <row r="7" spans="1:18" ht="51" customHeight="1">
      <c r="A7" s="323"/>
      <c r="B7" s="440"/>
      <c r="C7" s="342"/>
      <c r="D7" s="344"/>
      <c r="E7" s="347"/>
      <c r="F7" s="348"/>
      <c r="G7" s="349"/>
      <c r="H7" s="399"/>
    </row>
    <row r="8" spans="1:18" ht="16.5" customHeight="1">
      <c r="A8" s="322">
        <v>45628</v>
      </c>
      <c r="B8" s="444" t="s">
        <v>4467</v>
      </c>
      <c r="C8" s="341"/>
      <c r="D8" s="326">
        <v>70000</v>
      </c>
      <c r="E8" s="327"/>
      <c r="F8" s="328"/>
      <c r="G8" s="329"/>
      <c r="H8" s="400" t="s">
        <v>243</v>
      </c>
      <c r="J8" s="48"/>
    </row>
    <row r="9" spans="1:18" ht="16.5" customHeight="1">
      <c r="A9" s="323"/>
      <c r="B9" s="445"/>
      <c r="C9" s="342"/>
      <c r="D9" s="326"/>
      <c r="E9" s="330"/>
      <c r="F9" s="331"/>
      <c r="G9" s="332"/>
      <c r="H9" s="401"/>
    </row>
    <row r="10" spans="1:18" ht="16.5" customHeight="1">
      <c r="A10" s="322">
        <v>45629</v>
      </c>
      <c r="B10" s="496" t="s">
        <v>4469</v>
      </c>
      <c r="C10" s="341"/>
      <c r="D10" s="326">
        <v>315000</v>
      </c>
      <c r="E10" s="891" t="s">
        <v>4470</v>
      </c>
      <c r="F10" s="892"/>
      <c r="G10" s="893"/>
      <c r="H10" s="400" t="s">
        <v>4471</v>
      </c>
    </row>
    <row r="11" spans="1:18" ht="26.25" customHeight="1">
      <c r="A11" s="323"/>
      <c r="B11" s="497"/>
      <c r="C11" s="342"/>
      <c r="D11" s="326"/>
      <c r="E11" s="894"/>
      <c r="F11" s="895"/>
      <c r="G11" s="896"/>
      <c r="H11" s="401"/>
    </row>
    <row r="12" spans="1:18" ht="45" customHeight="1">
      <c r="A12" s="172">
        <v>45629</v>
      </c>
      <c r="B12" s="179" t="s">
        <v>4472</v>
      </c>
      <c r="C12" s="176"/>
      <c r="D12" s="177">
        <v>1060000</v>
      </c>
      <c r="E12" s="808" t="s">
        <v>4474</v>
      </c>
      <c r="F12" s="904"/>
      <c r="G12" s="905"/>
      <c r="H12" s="98" t="s">
        <v>4473</v>
      </c>
    </row>
    <row r="13" spans="1:18">
      <c r="A13" s="322">
        <v>45630</v>
      </c>
      <c r="B13" s="324" t="s">
        <v>4494</v>
      </c>
      <c r="C13" s="325"/>
      <c r="D13" s="326">
        <v>4000000</v>
      </c>
      <c r="E13" s="574" t="s">
        <v>4488</v>
      </c>
      <c r="F13" s="575"/>
      <c r="G13" s="575"/>
      <c r="H13" s="359" t="s">
        <v>2732</v>
      </c>
    </row>
    <row r="14" spans="1:18" ht="26.25" customHeight="1">
      <c r="A14" s="323"/>
      <c r="B14" s="325"/>
      <c r="C14" s="325"/>
      <c r="D14" s="326"/>
      <c r="E14" s="575"/>
      <c r="F14" s="575"/>
      <c r="G14" s="575"/>
      <c r="H14" s="359"/>
    </row>
    <row r="15" spans="1:18">
      <c r="A15" s="322">
        <v>45630</v>
      </c>
      <c r="B15" s="324" t="s">
        <v>4495</v>
      </c>
      <c r="C15" s="325"/>
      <c r="D15" s="326">
        <v>1100000</v>
      </c>
      <c r="E15" s="337"/>
      <c r="F15" s="326"/>
      <c r="G15" s="326"/>
      <c r="H15" s="359" t="s">
        <v>4480</v>
      </c>
    </row>
    <row r="16" spans="1:18" ht="42.75" customHeight="1">
      <c r="A16" s="323"/>
      <c r="B16" s="325"/>
      <c r="C16" s="325"/>
      <c r="D16" s="326"/>
      <c r="E16" s="326"/>
      <c r="F16" s="326"/>
      <c r="G16" s="326"/>
      <c r="H16" s="359"/>
    </row>
    <row r="17" spans="1:8" ht="42.75" customHeight="1">
      <c r="A17" s="172">
        <v>45631</v>
      </c>
      <c r="B17" s="173" t="s">
        <v>4476</v>
      </c>
      <c r="C17" s="174"/>
      <c r="D17" s="175">
        <v>2606000</v>
      </c>
      <c r="E17" s="627" t="s">
        <v>4477</v>
      </c>
      <c r="F17" s="628"/>
      <c r="G17" s="629"/>
      <c r="H17" s="181" t="s">
        <v>4554</v>
      </c>
    </row>
    <row r="18" spans="1:8" ht="42.75" customHeight="1">
      <c r="A18" s="172">
        <v>45631</v>
      </c>
      <c r="B18" s="174" t="s">
        <v>4478</v>
      </c>
      <c r="C18" s="174"/>
      <c r="D18" s="175">
        <v>617000</v>
      </c>
      <c r="E18" s="808" t="s">
        <v>4487</v>
      </c>
      <c r="F18" s="722"/>
      <c r="G18" s="723"/>
      <c r="H18" s="178" t="s">
        <v>4479</v>
      </c>
    </row>
    <row r="19" spans="1:8">
      <c r="A19" s="335">
        <v>45631</v>
      </c>
      <c r="B19" s="324" t="s">
        <v>4481</v>
      </c>
      <c r="C19" s="325"/>
      <c r="D19" s="326">
        <v>250000</v>
      </c>
      <c r="E19" s="547">
        <v>516</v>
      </c>
      <c r="F19" s="548"/>
      <c r="G19" s="549"/>
      <c r="H19" s="359" t="s">
        <v>4482</v>
      </c>
    </row>
    <row r="20" spans="1:8" ht="57" customHeight="1">
      <c r="A20" s="336"/>
      <c r="B20" s="325"/>
      <c r="C20" s="325"/>
      <c r="D20" s="326"/>
      <c r="E20" s="550"/>
      <c r="F20" s="551"/>
      <c r="G20" s="552"/>
      <c r="H20" s="359"/>
    </row>
    <row r="21" spans="1:8">
      <c r="A21" s="322">
        <v>45632</v>
      </c>
      <c r="B21" s="325" t="s">
        <v>4485</v>
      </c>
      <c r="C21" s="325"/>
      <c r="D21" s="326">
        <v>990000</v>
      </c>
      <c r="E21" s="337" t="s">
        <v>4486</v>
      </c>
      <c r="F21" s="326"/>
      <c r="G21" s="326"/>
      <c r="H21" s="359" t="s">
        <v>4483</v>
      </c>
    </row>
    <row r="22" spans="1:8" ht="30.75" customHeight="1">
      <c r="A22" s="323"/>
      <c r="B22" s="325"/>
      <c r="C22" s="325"/>
      <c r="D22" s="326"/>
      <c r="E22" s="326"/>
      <c r="F22" s="326"/>
      <c r="G22" s="326"/>
      <c r="H22" s="359"/>
    </row>
    <row r="23" spans="1:8">
      <c r="A23" s="322">
        <v>45632</v>
      </c>
      <c r="B23" s="341" t="s">
        <v>4484</v>
      </c>
      <c r="C23" s="353"/>
      <c r="D23" s="343">
        <v>758000</v>
      </c>
      <c r="E23" s="337"/>
      <c r="F23" s="731"/>
      <c r="G23" s="731"/>
      <c r="H23" s="359" t="s">
        <v>4525</v>
      </c>
    </row>
    <row r="24" spans="1:8" s="180" customFormat="1">
      <c r="A24" s="323"/>
      <c r="B24" s="342"/>
      <c r="C24" s="352"/>
      <c r="D24" s="344"/>
      <c r="E24" s="731"/>
      <c r="F24" s="731"/>
      <c r="G24" s="731"/>
      <c r="H24" s="359"/>
    </row>
    <row r="25" spans="1:8">
      <c r="A25" s="322">
        <v>45632</v>
      </c>
      <c r="B25" s="324" t="s">
        <v>4490</v>
      </c>
      <c r="C25" s="325"/>
      <c r="D25" s="326">
        <v>410000</v>
      </c>
      <c r="E25" s="574" t="s">
        <v>4489</v>
      </c>
      <c r="F25" s="575"/>
      <c r="G25" s="575"/>
      <c r="H25" s="333" t="s">
        <v>4493</v>
      </c>
    </row>
    <row r="26" spans="1:8" s="180" customFormat="1">
      <c r="A26" s="323"/>
      <c r="B26" s="325"/>
      <c r="C26" s="325"/>
      <c r="D26" s="326"/>
      <c r="E26" s="575"/>
      <c r="F26" s="575"/>
      <c r="G26" s="575"/>
      <c r="H26" s="333"/>
    </row>
    <row r="27" spans="1:8">
      <c r="A27" s="322">
        <v>45632</v>
      </c>
      <c r="B27" s="324" t="s">
        <v>4491</v>
      </c>
      <c r="C27" s="325"/>
      <c r="D27" s="343">
        <v>230000</v>
      </c>
      <c r="E27" s="337" t="s">
        <v>4492</v>
      </c>
      <c r="F27" s="326"/>
      <c r="G27" s="326"/>
      <c r="H27" s="359" t="s">
        <v>145</v>
      </c>
    </row>
    <row r="28" spans="1:8" ht="28.5" customHeight="1">
      <c r="A28" s="323"/>
      <c r="B28" s="325"/>
      <c r="C28" s="325"/>
      <c r="D28" s="344"/>
      <c r="E28" s="326"/>
      <c r="F28" s="326"/>
      <c r="G28" s="326"/>
      <c r="H28" s="359"/>
    </row>
    <row r="29" spans="1:8" ht="16.5" customHeight="1">
      <c r="A29" s="322"/>
      <c r="B29" s="568" t="s">
        <v>4547</v>
      </c>
      <c r="C29" s="569"/>
      <c r="D29" s="569"/>
      <c r="E29" s="569"/>
      <c r="F29" s="569"/>
      <c r="G29" s="569"/>
      <c r="H29" s="570"/>
    </row>
    <row r="30" spans="1:8" ht="45" customHeight="1">
      <c r="A30" s="323"/>
      <c r="B30" s="571"/>
      <c r="C30" s="572"/>
      <c r="D30" s="572"/>
      <c r="E30" s="572"/>
      <c r="F30" s="572"/>
      <c r="G30" s="572"/>
      <c r="H30" s="573"/>
    </row>
    <row r="31" spans="1:8" ht="16.5" customHeight="1">
      <c r="A31" s="336">
        <v>45635</v>
      </c>
      <c r="B31" s="324" t="s">
        <v>4497</v>
      </c>
      <c r="C31" s="325" t="s">
        <v>4498</v>
      </c>
      <c r="D31" s="326">
        <v>1080000</v>
      </c>
      <c r="E31" s="562" t="s">
        <v>4488</v>
      </c>
      <c r="F31" s="582"/>
      <c r="G31" s="583"/>
      <c r="H31" s="400" t="s">
        <v>4500</v>
      </c>
    </row>
    <row r="32" spans="1:8" ht="16.5" customHeight="1">
      <c r="A32" s="323"/>
      <c r="B32" s="325"/>
      <c r="C32" s="325"/>
      <c r="D32" s="326"/>
      <c r="E32" s="584"/>
      <c r="F32" s="585"/>
      <c r="G32" s="586"/>
      <c r="H32" s="401"/>
    </row>
    <row r="33" spans="1:11" ht="16.5" customHeight="1">
      <c r="A33" s="336">
        <v>45635</v>
      </c>
      <c r="B33" s="341" t="s">
        <v>4533</v>
      </c>
      <c r="C33" s="341"/>
      <c r="D33" s="343">
        <v>370000</v>
      </c>
      <c r="E33" s="562" t="s">
        <v>4505</v>
      </c>
      <c r="F33" s="582"/>
      <c r="G33" s="583"/>
      <c r="H33" s="325" t="s">
        <v>151</v>
      </c>
    </row>
    <row r="34" spans="1:11" ht="16.5" customHeight="1">
      <c r="A34" s="323"/>
      <c r="B34" s="342"/>
      <c r="C34" s="342"/>
      <c r="D34" s="344"/>
      <c r="E34" s="584"/>
      <c r="F34" s="585"/>
      <c r="G34" s="586"/>
      <c r="H34" s="325"/>
    </row>
    <row r="35" spans="1:11" ht="16.5" customHeight="1">
      <c r="A35" s="335">
        <v>45636</v>
      </c>
      <c r="B35" s="341" t="s">
        <v>4501</v>
      </c>
      <c r="C35" s="353"/>
      <c r="D35" s="343">
        <v>50000</v>
      </c>
      <c r="E35" s="327"/>
      <c r="F35" s="328"/>
      <c r="G35" s="329"/>
      <c r="H35" s="325" t="s">
        <v>4499</v>
      </c>
    </row>
    <row r="36" spans="1:11" ht="17.25" customHeight="1">
      <c r="A36" s="336"/>
      <c r="B36" s="342"/>
      <c r="C36" s="352"/>
      <c r="D36" s="344"/>
      <c r="E36" s="330"/>
      <c r="F36" s="331"/>
      <c r="G36" s="332"/>
      <c r="H36" s="325"/>
    </row>
    <row r="37" spans="1:11" ht="16.5" customHeight="1">
      <c r="A37" s="336">
        <v>45637</v>
      </c>
      <c r="B37" s="324" t="s">
        <v>4502</v>
      </c>
      <c r="C37" s="325"/>
      <c r="D37" s="326">
        <v>680000</v>
      </c>
      <c r="E37" s="562" t="s">
        <v>4503</v>
      </c>
      <c r="F37" s="582"/>
      <c r="G37" s="583"/>
      <c r="H37" s="359" t="s">
        <v>145</v>
      </c>
    </row>
    <row r="38" spans="1:11" ht="16.5" customHeight="1">
      <c r="A38" s="323"/>
      <c r="B38" s="325"/>
      <c r="C38" s="325"/>
      <c r="D38" s="326"/>
      <c r="E38" s="584"/>
      <c r="F38" s="585"/>
      <c r="G38" s="586"/>
      <c r="H38" s="359"/>
    </row>
    <row r="39" spans="1:11" ht="16.5" customHeight="1">
      <c r="A39" s="336">
        <v>45637</v>
      </c>
      <c r="B39" s="324" t="s">
        <v>4511</v>
      </c>
      <c r="C39" s="325"/>
      <c r="D39" s="326">
        <v>640000</v>
      </c>
      <c r="E39" s="562" t="s">
        <v>4504</v>
      </c>
      <c r="F39" s="582"/>
      <c r="G39" s="583"/>
      <c r="H39" s="325" t="s">
        <v>2530</v>
      </c>
    </row>
    <row r="40" spans="1:11" ht="16.5" customHeight="1">
      <c r="A40" s="323"/>
      <c r="B40" s="325"/>
      <c r="C40" s="325"/>
      <c r="D40" s="326"/>
      <c r="E40" s="584"/>
      <c r="F40" s="585"/>
      <c r="G40" s="586"/>
      <c r="H40" s="325"/>
    </row>
    <row r="41" spans="1:11" ht="16.5" customHeight="1">
      <c r="A41" s="336">
        <v>45637</v>
      </c>
      <c r="B41" s="324" t="s">
        <v>4509</v>
      </c>
      <c r="C41" s="326"/>
      <c r="D41" s="326">
        <v>120000</v>
      </c>
      <c r="E41" s="327" t="s">
        <v>4508</v>
      </c>
      <c r="F41" s="328"/>
      <c r="G41" s="329"/>
      <c r="H41" s="359" t="s">
        <v>4510</v>
      </c>
    </row>
    <row r="42" spans="1:11" ht="23.25" customHeight="1">
      <c r="A42" s="323"/>
      <c r="B42" s="325"/>
      <c r="C42" s="326"/>
      <c r="D42" s="326"/>
      <c r="E42" s="330"/>
      <c r="F42" s="331"/>
      <c r="G42" s="332"/>
      <c r="H42" s="359"/>
    </row>
    <row r="43" spans="1:11" ht="16.5" customHeight="1">
      <c r="A43" s="322">
        <v>45637</v>
      </c>
      <c r="B43" s="324" t="s">
        <v>4506</v>
      </c>
      <c r="C43" s="325"/>
      <c r="D43" s="326">
        <v>240000</v>
      </c>
      <c r="E43" s="337"/>
      <c r="F43" s="326"/>
      <c r="G43" s="326"/>
      <c r="H43" s="359" t="s">
        <v>4507</v>
      </c>
      <c r="I43" s="3"/>
      <c r="K43" s="23"/>
    </row>
    <row r="44" spans="1:11" ht="24.75" customHeight="1">
      <c r="A44" s="323"/>
      <c r="B44" s="325"/>
      <c r="C44" s="325"/>
      <c r="D44" s="326"/>
      <c r="E44" s="326"/>
      <c r="F44" s="326"/>
      <c r="G44" s="326"/>
      <c r="H44" s="359"/>
    </row>
    <row r="45" spans="1:11" ht="16.5" customHeight="1">
      <c r="A45" s="322">
        <v>45638</v>
      </c>
      <c r="B45" s="324" t="s">
        <v>4515</v>
      </c>
      <c r="C45" s="325"/>
      <c r="D45" s="326">
        <v>209000</v>
      </c>
      <c r="E45" s="327"/>
      <c r="F45" s="328"/>
      <c r="G45" s="329"/>
      <c r="H45" s="359" t="s">
        <v>4524</v>
      </c>
    </row>
    <row r="46" spans="1:11" ht="16.5" customHeight="1">
      <c r="A46" s="323"/>
      <c r="B46" s="325"/>
      <c r="C46" s="325"/>
      <c r="D46" s="326"/>
      <c r="E46" s="330"/>
      <c r="F46" s="331"/>
      <c r="G46" s="332"/>
      <c r="H46" s="359"/>
    </row>
    <row r="47" spans="1:11">
      <c r="A47" s="322">
        <v>45638</v>
      </c>
      <c r="B47" s="324" t="s">
        <v>4514</v>
      </c>
      <c r="C47" s="325"/>
      <c r="D47" s="326">
        <v>790000</v>
      </c>
      <c r="E47" s="574" t="s">
        <v>4528</v>
      </c>
      <c r="F47" s="575"/>
      <c r="G47" s="575"/>
      <c r="H47" s="359" t="s">
        <v>4523</v>
      </c>
    </row>
    <row r="48" spans="1:11" ht="21.75" customHeight="1">
      <c r="A48" s="323"/>
      <c r="B48" s="325"/>
      <c r="C48" s="325"/>
      <c r="D48" s="326"/>
      <c r="E48" s="575"/>
      <c r="F48" s="575"/>
      <c r="G48" s="575"/>
      <c r="H48" s="359"/>
    </row>
    <row r="49" spans="1:8" ht="16.5" customHeight="1">
      <c r="A49" s="322">
        <v>45638</v>
      </c>
      <c r="B49" s="324" t="s">
        <v>4513</v>
      </c>
      <c r="C49" s="325"/>
      <c r="D49" s="326">
        <v>190000</v>
      </c>
      <c r="E49" s="326"/>
      <c r="F49" s="326"/>
      <c r="G49" s="326"/>
      <c r="H49" s="359" t="s">
        <v>1967</v>
      </c>
    </row>
    <row r="50" spans="1:8" ht="16.5" customHeight="1">
      <c r="A50" s="323"/>
      <c r="B50" s="325"/>
      <c r="C50" s="325"/>
      <c r="D50" s="326"/>
      <c r="E50" s="326"/>
      <c r="F50" s="326"/>
      <c r="G50" s="326"/>
      <c r="H50" s="359"/>
    </row>
    <row r="51" spans="1:8" ht="16.5" customHeight="1">
      <c r="A51" s="322">
        <v>45638</v>
      </c>
      <c r="B51" s="324" t="s">
        <v>4512</v>
      </c>
      <c r="C51" s="325"/>
      <c r="D51" s="326">
        <v>255000</v>
      </c>
      <c r="E51" s="327" t="s">
        <v>4522</v>
      </c>
      <c r="F51" s="328"/>
      <c r="G51" s="329"/>
      <c r="H51" s="359" t="s">
        <v>4532</v>
      </c>
    </row>
    <row r="52" spans="1:8" ht="16.5" customHeight="1">
      <c r="A52" s="323"/>
      <c r="B52" s="325"/>
      <c r="C52" s="325"/>
      <c r="D52" s="326"/>
      <c r="E52" s="330"/>
      <c r="F52" s="331"/>
      <c r="G52" s="332"/>
      <c r="H52" s="359"/>
    </row>
    <row r="53" spans="1:8">
      <c r="A53" s="313">
        <v>45638</v>
      </c>
      <c r="B53" s="324" t="s">
        <v>4516</v>
      </c>
      <c r="C53" s="325"/>
      <c r="D53" s="326">
        <v>363000</v>
      </c>
      <c r="E53" s="326" t="s">
        <v>4521</v>
      </c>
      <c r="F53" s="326"/>
      <c r="G53" s="326"/>
      <c r="H53" s="359" t="s">
        <v>4517</v>
      </c>
    </row>
    <row r="54" spans="1:8">
      <c r="A54" s="305"/>
      <c r="B54" s="325"/>
      <c r="C54" s="325"/>
      <c r="D54" s="326"/>
      <c r="E54" s="326"/>
      <c r="F54" s="326"/>
      <c r="G54" s="326"/>
      <c r="H54" s="359"/>
    </row>
    <row r="55" spans="1:8" ht="33.75" customHeight="1">
      <c r="A55" s="171">
        <v>45638</v>
      </c>
      <c r="B55" s="174" t="s">
        <v>4519</v>
      </c>
      <c r="C55" s="174"/>
      <c r="D55" s="175">
        <v>40000</v>
      </c>
      <c r="E55" s="627" t="s">
        <v>4520</v>
      </c>
      <c r="F55" s="628"/>
      <c r="G55" s="629"/>
      <c r="H55" s="178" t="s">
        <v>4518</v>
      </c>
    </row>
    <row r="56" spans="1:8" ht="16.5" customHeight="1">
      <c r="A56" s="313">
        <v>45639</v>
      </c>
      <c r="B56" s="324" t="s">
        <v>4526</v>
      </c>
      <c r="C56" s="325"/>
      <c r="D56" s="326">
        <v>800000</v>
      </c>
      <c r="E56" s="562" t="s">
        <v>4527</v>
      </c>
      <c r="F56" s="582"/>
      <c r="G56" s="583"/>
      <c r="H56" s="359" t="s">
        <v>4531</v>
      </c>
    </row>
    <row r="57" spans="1:8" ht="16.5" customHeight="1">
      <c r="A57" s="305"/>
      <c r="B57" s="325"/>
      <c r="C57" s="325"/>
      <c r="D57" s="326"/>
      <c r="E57" s="584"/>
      <c r="F57" s="585"/>
      <c r="G57" s="586"/>
      <c r="H57" s="359"/>
    </row>
    <row r="58" spans="1:8">
      <c r="A58" s="313">
        <v>45639</v>
      </c>
      <c r="B58" s="325" t="s">
        <v>4529</v>
      </c>
      <c r="C58" s="325"/>
      <c r="D58" s="326">
        <v>924000</v>
      </c>
      <c r="E58" s="575" t="s">
        <v>4530</v>
      </c>
      <c r="F58" s="575"/>
      <c r="G58" s="575"/>
      <c r="H58" s="359" t="s">
        <v>4559</v>
      </c>
    </row>
    <row r="59" spans="1:8">
      <c r="A59" s="305"/>
      <c r="B59" s="353"/>
      <c r="C59" s="353"/>
      <c r="D59" s="343"/>
      <c r="E59" s="834"/>
      <c r="F59" s="834"/>
      <c r="G59" s="834"/>
      <c r="H59" s="359"/>
    </row>
    <row r="60" spans="1:8">
      <c r="A60" s="797">
        <v>45640</v>
      </c>
      <c r="B60" s="325" t="s">
        <v>4534</v>
      </c>
      <c r="C60" s="325"/>
      <c r="D60" s="326">
        <v>15000</v>
      </c>
      <c r="E60" s="326"/>
      <c r="F60" s="326"/>
      <c r="G60" s="326"/>
      <c r="H60" s="325" t="s">
        <v>146</v>
      </c>
    </row>
    <row r="61" spans="1:8">
      <c r="A61" s="798"/>
      <c r="B61" s="325"/>
      <c r="C61" s="325"/>
      <c r="D61" s="326"/>
      <c r="E61" s="326"/>
      <c r="F61" s="326"/>
      <c r="G61" s="326"/>
      <c r="H61" s="325"/>
    </row>
    <row r="62" spans="1:8">
      <c r="A62" s="797">
        <v>45640</v>
      </c>
      <c r="B62" s="325" t="s">
        <v>4535</v>
      </c>
      <c r="C62" s="325"/>
      <c r="D62" s="326">
        <v>120000</v>
      </c>
      <c r="E62" s="326"/>
      <c r="F62" s="326"/>
      <c r="G62" s="326"/>
      <c r="H62" s="405" t="s">
        <v>4539</v>
      </c>
    </row>
    <row r="63" spans="1:8">
      <c r="A63" s="798"/>
      <c r="B63" s="325"/>
      <c r="C63" s="325"/>
      <c r="D63" s="326"/>
      <c r="E63" s="326"/>
      <c r="F63" s="326"/>
      <c r="G63" s="326"/>
      <c r="H63" s="405"/>
    </row>
    <row r="64" spans="1:8" ht="17.25" customHeight="1">
      <c r="A64" s="313">
        <v>45640</v>
      </c>
      <c r="B64" s="325" t="s">
        <v>4536</v>
      </c>
      <c r="C64" s="325"/>
      <c r="D64" s="326">
        <v>77000</v>
      </c>
      <c r="E64" s="337" t="s">
        <v>4537</v>
      </c>
      <c r="F64" s="326"/>
      <c r="G64" s="326"/>
      <c r="H64" s="325" t="s">
        <v>4538</v>
      </c>
    </row>
    <row r="65" spans="1:8" ht="24.75" customHeight="1">
      <c r="A65" s="305"/>
      <c r="B65" s="325"/>
      <c r="C65" s="325"/>
      <c r="D65" s="326"/>
      <c r="E65" s="326"/>
      <c r="F65" s="326"/>
      <c r="G65" s="326"/>
      <c r="H65" s="325"/>
    </row>
    <row r="66" spans="1:8" ht="17.25" customHeight="1">
      <c r="A66" s="313"/>
      <c r="B66" s="898" t="s">
        <v>4576</v>
      </c>
      <c r="C66" s="899"/>
      <c r="D66" s="899"/>
      <c r="E66" s="899"/>
      <c r="F66" s="899"/>
      <c r="G66" s="899"/>
      <c r="H66" s="900"/>
    </row>
    <row r="67" spans="1:8" ht="43.5" customHeight="1">
      <c r="A67" s="305"/>
      <c r="B67" s="901"/>
      <c r="C67" s="902"/>
      <c r="D67" s="902"/>
      <c r="E67" s="902"/>
      <c r="F67" s="902"/>
      <c r="G67" s="902"/>
      <c r="H67" s="903"/>
    </row>
    <row r="68" spans="1:8">
      <c r="A68" s="313">
        <v>45642</v>
      </c>
      <c r="B68" s="325" t="s">
        <v>4541</v>
      </c>
      <c r="C68" s="325"/>
      <c r="D68" s="326">
        <v>720000</v>
      </c>
      <c r="E68" s="574" t="s">
        <v>4542</v>
      </c>
      <c r="F68" s="575"/>
      <c r="G68" s="575"/>
      <c r="H68" s="359" t="s">
        <v>145</v>
      </c>
    </row>
    <row r="69" spans="1:8">
      <c r="A69" s="305"/>
      <c r="B69" s="325"/>
      <c r="C69" s="325"/>
      <c r="D69" s="326"/>
      <c r="E69" s="575"/>
      <c r="F69" s="575"/>
      <c r="G69" s="575"/>
      <c r="H69" s="359"/>
    </row>
    <row r="70" spans="1:8">
      <c r="A70" s="313">
        <v>45642</v>
      </c>
      <c r="B70" s="325" t="s">
        <v>4545</v>
      </c>
      <c r="C70" s="325"/>
      <c r="D70" s="326">
        <v>180000</v>
      </c>
      <c r="E70" s="326" t="s">
        <v>4551</v>
      </c>
      <c r="F70" s="326"/>
      <c r="G70" s="326"/>
      <c r="H70" s="359" t="s">
        <v>4540</v>
      </c>
    </row>
    <row r="71" spans="1:8">
      <c r="A71" s="305"/>
      <c r="B71" s="325"/>
      <c r="C71" s="325"/>
      <c r="D71" s="326"/>
      <c r="E71" s="326"/>
      <c r="F71" s="326"/>
      <c r="G71" s="326"/>
      <c r="H71" s="359"/>
    </row>
    <row r="72" spans="1:8">
      <c r="A72" s="313">
        <v>45642</v>
      </c>
      <c r="B72" s="325" t="s">
        <v>4544</v>
      </c>
      <c r="C72" s="325"/>
      <c r="D72" s="326">
        <v>180000</v>
      </c>
      <c r="E72" s="575" t="s">
        <v>4543</v>
      </c>
      <c r="F72" s="575"/>
      <c r="G72" s="575"/>
      <c r="H72" s="359" t="s">
        <v>145</v>
      </c>
    </row>
    <row r="73" spans="1:8">
      <c r="A73" s="305"/>
      <c r="B73" s="325"/>
      <c r="C73" s="325"/>
      <c r="D73" s="326"/>
      <c r="E73" s="575"/>
      <c r="F73" s="575"/>
      <c r="G73" s="575"/>
      <c r="H73" s="359"/>
    </row>
    <row r="74" spans="1:8">
      <c r="A74" s="313">
        <v>45642</v>
      </c>
      <c r="B74" s="325" t="s">
        <v>4546</v>
      </c>
      <c r="C74" s="325"/>
      <c r="D74" s="326">
        <v>370000</v>
      </c>
      <c r="E74" s="326" t="s">
        <v>4550</v>
      </c>
      <c r="F74" s="326"/>
      <c r="G74" s="326"/>
      <c r="H74" s="359" t="s">
        <v>1972</v>
      </c>
    </row>
    <row r="75" spans="1:8">
      <c r="A75" s="305"/>
      <c r="B75" s="325"/>
      <c r="C75" s="325"/>
      <c r="D75" s="326"/>
      <c r="E75" s="326"/>
      <c r="F75" s="326"/>
      <c r="G75" s="326"/>
      <c r="H75" s="359"/>
    </row>
    <row r="76" spans="1:8">
      <c r="A76" s="313">
        <v>45643</v>
      </c>
      <c r="B76" s="325" t="s">
        <v>4548</v>
      </c>
      <c r="C76" s="325"/>
      <c r="D76" s="326">
        <v>1800000</v>
      </c>
      <c r="E76" s="326" t="s">
        <v>4549</v>
      </c>
      <c r="F76" s="326"/>
      <c r="G76" s="326"/>
      <c r="H76" s="359" t="s">
        <v>1524</v>
      </c>
    </row>
    <row r="77" spans="1:8">
      <c r="A77" s="305"/>
      <c r="B77" s="325"/>
      <c r="C77" s="325"/>
      <c r="D77" s="326"/>
      <c r="E77" s="326"/>
      <c r="F77" s="326"/>
      <c r="G77" s="326"/>
      <c r="H77" s="359"/>
    </row>
    <row r="78" spans="1:8">
      <c r="A78" s="313">
        <v>45643</v>
      </c>
      <c r="B78" s="325" t="s">
        <v>4552</v>
      </c>
      <c r="C78" s="325"/>
      <c r="D78" s="326">
        <v>275000</v>
      </c>
      <c r="E78" s="897">
        <v>516</v>
      </c>
      <c r="F78" s="897"/>
      <c r="G78" s="897"/>
      <c r="H78" s="359" t="s">
        <v>4553</v>
      </c>
    </row>
    <row r="79" spans="1:8">
      <c r="A79" s="305"/>
      <c r="B79" s="325"/>
      <c r="C79" s="325"/>
      <c r="D79" s="326"/>
      <c r="E79" s="897"/>
      <c r="F79" s="897"/>
      <c r="G79" s="897"/>
      <c r="H79" s="359"/>
    </row>
    <row r="80" spans="1:8">
      <c r="A80" s="313">
        <v>45644</v>
      </c>
      <c r="B80" s="325" t="s">
        <v>4556</v>
      </c>
      <c r="C80" s="325"/>
      <c r="D80" s="326">
        <v>640000</v>
      </c>
      <c r="E80" s="575" t="s">
        <v>4557</v>
      </c>
      <c r="F80" s="575"/>
      <c r="G80" s="575"/>
      <c r="H80" s="359" t="s">
        <v>145</v>
      </c>
    </row>
    <row r="81" spans="1:8">
      <c r="A81" s="305"/>
      <c r="B81" s="325"/>
      <c r="C81" s="325"/>
      <c r="D81" s="326"/>
      <c r="E81" s="575"/>
      <c r="F81" s="575"/>
      <c r="G81" s="575"/>
      <c r="H81" s="359"/>
    </row>
    <row r="82" spans="1:8">
      <c r="A82" s="313">
        <v>45644</v>
      </c>
      <c r="B82" s="325" t="s">
        <v>4555</v>
      </c>
      <c r="C82" s="325"/>
      <c r="D82" s="326">
        <v>330000</v>
      </c>
      <c r="E82" s="575" t="s">
        <v>4558</v>
      </c>
      <c r="F82" s="575"/>
      <c r="G82" s="575"/>
      <c r="H82" s="359" t="s">
        <v>1972</v>
      </c>
    </row>
    <row r="83" spans="1:8">
      <c r="A83" s="305"/>
      <c r="B83" s="325"/>
      <c r="C83" s="325"/>
      <c r="D83" s="326"/>
      <c r="E83" s="575"/>
      <c r="F83" s="575"/>
      <c r="G83" s="575"/>
      <c r="H83" s="359"/>
    </row>
    <row r="84" spans="1:8">
      <c r="A84" s="313">
        <v>45645</v>
      </c>
      <c r="B84" s="325" t="s">
        <v>4563</v>
      </c>
      <c r="C84" s="325"/>
      <c r="D84" s="326">
        <v>560000</v>
      </c>
      <c r="E84" s="575" t="s">
        <v>4564</v>
      </c>
      <c r="F84" s="575"/>
      <c r="G84" s="575"/>
      <c r="H84" s="359" t="s">
        <v>1972</v>
      </c>
    </row>
    <row r="85" spans="1:8">
      <c r="A85" s="305"/>
      <c r="B85" s="325"/>
      <c r="C85" s="325"/>
      <c r="D85" s="326"/>
      <c r="E85" s="575"/>
      <c r="F85" s="575"/>
      <c r="G85" s="575"/>
      <c r="H85" s="359"/>
    </row>
    <row r="86" spans="1:8">
      <c r="A86" s="313">
        <v>45645</v>
      </c>
      <c r="B86" s="325" t="s">
        <v>4562</v>
      </c>
      <c r="C86" s="325"/>
      <c r="D86" s="326">
        <v>290000</v>
      </c>
      <c r="E86" s="575" t="s">
        <v>4565</v>
      </c>
      <c r="F86" s="575"/>
      <c r="G86" s="575"/>
      <c r="H86" s="359" t="s">
        <v>1972</v>
      </c>
    </row>
    <row r="87" spans="1:8">
      <c r="A87" s="305"/>
      <c r="B87" s="325"/>
      <c r="C87" s="325"/>
      <c r="D87" s="326"/>
      <c r="E87" s="575"/>
      <c r="F87" s="575"/>
      <c r="G87" s="575"/>
      <c r="H87" s="359"/>
    </row>
    <row r="88" spans="1:8">
      <c r="A88" s="313">
        <v>45645</v>
      </c>
      <c r="B88" s="325" t="s">
        <v>4561</v>
      </c>
      <c r="C88" s="325"/>
      <c r="D88" s="326">
        <v>720000</v>
      </c>
      <c r="E88" s="326" t="s">
        <v>4566</v>
      </c>
      <c r="F88" s="326"/>
      <c r="G88" s="326"/>
      <c r="H88" s="359" t="s">
        <v>1972</v>
      </c>
    </row>
    <row r="89" spans="1:8">
      <c r="A89" s="305"/>
      <c r="B89" s="325"/>
      <c r="C89" s="325"/>
      <c r="D89" s="326"/>
      <c r="E89" s="326"/>
      <c r="F89" s="326"/>
      <c r="G89" s="326"/>
      <c r="H89" s="359"/>
    </row>
    <row r="90" spans="1:8" ht="17.25" customHeight="1">
      <c r="A90" s="313">
        <v>45645</v>
      </c>
      <c r="B90" s="325" t="s">
        <v>4560</v>
      </c>
      <c r="C90" s="325"/>
      <c r="D90" s="326">
        <v>800000</v>
      </c>
      <c r="E90" s="575" t="s">
        <v>4564</v>
      </c>
      <c r="F90" s="575"/>
      <c r="G90" s="575"/>
      <c r="H90" s="359" t="s">
        <v>1972</v>
      </c>
    </row>
    <row r="91" spans="1:8" ht="17.25" customHeight="1">
      <c r="A91" s="305"/>
      <c r="B91" s="325"/>
      <c r="C91" s="325"/>
      <c r="D91" s="326"/>
      <c r="E91" s="575"/>
      <c r="F91" s="575"/>
      <c r="G91" s="575"/>
      <c r="H91" s="359"/>
    </row>
    <row r="92" spans="1:8" ht="17.25" customHeight="1">
      <c r="A92" s="313">
        <v>45646</v>
      </c>
      <c r="B92" s="325" t="s">
        <v>4567</v>
      </c>
      <c r="C92" s="325"/>
      <c r="D92" s="326">
        <v>150000</v>
      </c>
      <c r="E92" s="326"/>
      <c r="F92" s="326"/>
      <c r="G92" s="326"/>
      <c r="H92" s="359" t="s">
        <v>1972</v>
      </c>
    </row>
    <row r="93" spans="1:8" ht="17.25" customHeight="1">
      <c r="A93" s="305"/>
      <c r="B93" s="325"/>
      <c r="C93" s="325"/>
      <c r="D93" s="326"/>
      <c r="E93" s="326"/>
      <c r="F93" s="326"/>
      <c r="G93" s="326"/>
      <c r="H93" s="359"/>
    </row>
    <row r="94" spans="1:8">
      <c r="A94" s="313">
        <v>45646</v>
      </c>
      <c r="B94" s="325" t="s">
        <v>4572</v>
      </c>
      <c r="C94" s="325"/>
      <c r="D94" s="326">
        <v>470000</v>
      </c>
      <c r="E94" s="326" t="s">
        <v>4573</v>
      </c>
      <c r="F94" s="326"/>
      <c r="G94" s="326"/>
      <c r="H94" s="359" t="s">
        <v>4574</v>
      </c>
    </row>
    <row r="95" spans="1:8">
      <c r="A95" s="305"/>
      <c r="B95" s="325"/>
      <c r="C95" s="325"/>
      <c r="D95" s="326"/>
      <c r="E95" s="326"/>
      <c r="F95" s="326"/>
      <c r="G95" s="326"/>
      <c r="H95" s="359"/>
    </row>
    <row r="96" spans="1:8" ht="17.25" customHeight="1">
      <c r="A96" s="313">
        <v>45646</v>
      </c>
      <c r="B96" s="325" t="s">
        <v>4568</v>
      </c>
      <c r="C96" s="325"/>
      <c r="D96" s="326">
        <v>760000</v>
      </c>
      <c r="E96" s="575" t="s">
        <v>4571</v>
      </c>
      <c r="F96" s="575"/>
      <c r="G96" s="575"/>
      <c r="H96" s="359" t="s">
        <v>1972</v>
      </c>
    </row>
    <row r="97" spans="1:8" ht="17.25" customHeight="1">
      <c r="A97" s="305"/>
      <c r="B97" s="325"/>
      <c r="C97" s="325"/>
      <c r="D97" s="326"/>
      <c r="E97" s="575"/>
      <c r="F97" s="575"/>
      <c r="G97" s="575"/>
      <c r="H97" s="359"/>
    </row>
    <row r="98" spans="1:8">
      <c r="A98" s="313">
        <v>45646</v>
      </c>
      <c r="B98" s="325" t="s">
        <v>4569</v>
      </c>
      <c r="C98" s="325"/>
      <c r="D98" s="326">
        <v>430000</v>
      </c>
      <c r="E98" s="575" t="s">
        <v>4570</v>
      </c>
      <c r="F98" s="575"/>
      <c r="G98" s="575"/>
      <c r="H98" s="359" t="s">
        <v>4575</v>
      </c>
    </row>
    <row r="99" spans="1:8">
      <c r="A99" s="305"/>
      <c r="B99" s="325"/>
      <c r="C99" s="325"/>
      <c r="D99" s="326"/>
      <c r="E99" s="575"/>
      <c r="F99" s="575"/>
      <c r="G99" s="575"/>
      <c r="H99" s="359"/>
    </row>
    <row r="100" spans="1:8">
      <c r="A100" s="313">
        <v>45646</v>
      </c>
      <c r="B100" s="325" t="s">
        <v>4568</v>
      </c>
      <c r="C100" s="325"/>
      <c r="D100" s="326">
        <v>135000</v>
      </c>
      <c r="E100" s="326"/>
      <c r="F100" s="326"/>
      <c r="G100" s="326"/>
      <c r="H100" s="359" t="s">
        <v>1972</v>
      </c>
    </row>
    <row r="101" spans="1:8">
      <c r="A101" s="305"/>
      <c r="B101" s="325"/>
      <c r="C101" s="325"/>
      <c r="D101" s="326"/>
      <c r="E101" s="326"/>
      <c r="F101" s="326"/>
      <c r="G101" s="326"/>
      <c r="H101" s="359"/>
    </row>
    <row r="102" spans="1:8" ht="17.25" customHeight="1">
      <c r="A102" s="313"/>
      <c r="B102" s="884" t="s">
        <v>4588</v>
      </c>
      <c r="C102" s="671"/>
      <c r="D102" s="671"/>
      <c r="E102" s="671"/>
      <c r="F102" s="671"/>
      <c r="G102" s="671"/>
      <c r="H102" s="672"/>
    </row>
    <row r="103" spans="1:8" ht="43.5" customHeight="1">
      <c r="A103" s="305"/>
      <c r="B103" s="673"/>
      <c r="C103" s="674"/>
      <c r="D103" s="674"/>
      <c r="E103" s="674"/>
      <c r="F103" s="674"/>
      <c r="G103" s="674"/>
      <c r="H103" s="675"/>
    </row>
    <row r="104" spans="1:8">
      <c r="A104" s="313">
        <v>45649</v>
      </c>
      <c r="B104" s="325" t="s">
        <v>4577</v>
      </c>
      <c r="C104" s="325"/>
      <c r="D104" s="326">
        <v>390000</v>
      </c>
      <c r="E104" s="575" t="s">
        <v>4578</v>
      </c>
      <c r="F104" s="575"/>
      <c r="G104" s="575"/>
      <c r="H104" s="359" t="s">
        <v>4579</v>
      </c>
    </row>
    <row r="105" spans="1:8">
      <c r="A105" s="305"/>
      <c r="B105" s="325"/>
      <c r="C105" s="325"/>
      <c r="D105" s="326"/>
      <c r="E105" s="575"/>
      <c r="F105" s="575"/>
      <c r="G105" s="575"/>
      <c r="H105" s="359"/>
    </row>
    <row r="106" spans="1:8">
      <c r="A106" s="313">
        <v>45650</v>
      </c>
      <c r="B106" s="325" t="s">
        <v>4580</v>
      </c>
      <c r="C106" s="325"/>
      <c r="D106" s="326">
        <v>770000</v>
      </c>
      <c r="E106" s="575" t="s">
        <v>4581</v>
      </c>
      <c r="F106" s="575"/>
      <c r="G106" s="575"/>
      <c r="H106" s="359" t="s">
        <v>145</v>
      </c>
    </row>
    <row r="107" spans="1:8">
      <c r="A107" s="305"/>
      <c r="B107" s="325"/>
      <c r="C107" s="325"/>
      <c r="D107" s="326"/>
      <c r="E107" s="575"/>
      <c r="F107" s="575"/>
      <c r="G107" s="575"/>
      <c r="H107" s="359"/>
    </row>
    <row r="108" spans="1:8">
      <c r="A108" s="313">
        <v>45652</v>
      </c>
      <c r="B108" s="325" t="s">
        <v>4582</v>
      </c>
      <c r="C108" s="325"/>
      <c r="D108" s="326">
        <v>620000</v>
      </c>
      <c r="E108" s="575" t="s">
        <v>4578</v>
      </c>
      <c r="F108" s="575"/>
      <c r="G108" s="575"/>
      <c r="H108" s="359" t="s">
        <v>4583</v>
      </c>
    </row>
    <row r="109" spans="1:8">
      <c r="A109" s="305"/>
      <c r="B109" s="325"/>
      <c r="C109" s="325"/>
      <c r="D109" s="326"/>
      <c r="E109" s="575"/>
      <c r="F109" s="575"/>
      <c r="G109" s="575"/>
      <c r="H109" s="359"/>
    </row>
    <row r="110" spans="1:8">
      <c r="A110" s="313">
        <v>45652</v>
      </c>
      <c r="B110" s="325" t="s">
        <v>4586</v>
      </c>
      <c r="C110" s="325"/>
      <c r="D110" s="343">
        <v>121000</v>
      </c>
      <c r="E110" s="326"/>
      <c r="F110" s="326"/>
      <c r="G110" s="326"/>
      <c r="H110" s="359" t="s">
        <v>4587</v>
      </c>
    </row>
    <row r="111" spans="1:8">
      <c r="A111" s="305"/>
      <c r="B111" s="325"/>
      <c r="C111" s="325"/>
      <c r="D111" s="344"/>
      <c r="E111" s="326"/>
      <c r="F111" s="326"/>
      <c r="G111" s="326"/>
      <c r="H111" s="359"/>
    </row>
    <row r="112" spans="1:8">
      <c r="A112" s="313">
        <v>45652</v>
      </c>
      <c r="B112" s="325" t="s">
        <v>4585</v>
      </c>
      <c r="C112" s="325"/>
      <c r="D112" s="326">
        <v>110000</v>
      </c>
      <c r="E112" s="326"/>
      <c r="F112" s="326"/>
      <c r="G112" s="326"/>
      <c r="H112" s="359" t="s">
        <v>145</v>
      </c>
    </row>
    <row r="113" spans="1:8">
      <c r="A113" s="305"/>
      <c r="B113" s="325"/>
      <c r="C113" s="325"/>
      <c r="D113" s="326"/>
      <c r="E113" s="326"/>
      <c r="F113" s="326"/>
      <c r="G113" s="326"/>
      <c r="H113" s="359"/>
    </row>
    <row r="114" spans="1:8">
      <c r="A114" s="313">
        <v>45652</v>
      </c>
      <c r="B114" s="325" t="s">
        <v>4584</v>
      </c>
      <c r="C114" s="325"/>
      <c r="D114" s="326">
        <v>120000</v>
      </c>
      <c r="E114" s="326"/>
      <c r="F114" s="326"/>
      <c r="G114" s="326"/>
      <c r="H114" s="359" t="s">
        <v>4579</v>
      </c>
    </row>
    <row r="115" spans="1:8">
      <c r="A115" s="305"/>
      <c r="B115" s="325"/>
      <c r="C115" s="325"/>
      <c r="D115" s="326"/>
      <c r="E115" s="326"/>
      <c r="F115" s="326"/>
      <c r="G115" s="326"/>
      <c r="H115" s="359"/>
    </row>
    <row r="116" spans="1:8">
      <c r="A116" s="313"/>
      <c r="B116" s="884" t="s">
        <v>4589</v>
      </c>
      <c r="C116" s="671"/>
      <c r="D116" s="671"/>
      <c r="E116" s="671"/>
      <c r="F116" s="671"/>
      <c r="G116" s="671"/>
      <c r="H116" s="672"/>
    </row>
    <row r="117" spans="1:8" ht="59.25" customHeight="1">
      <c r="A117" s="305"/>
      <c r="B117" s="673"/>
      <c r="C117" s="674"/>
      <c r="D117" s="674"/>
      <c r="E117" s="674"/>
      <c r="F117" s="674"/>
      <c r="G117" s="674"/>
      <c r="H117" s="675"/>
    </row>
    <row r="118" spans="1:8">
      <c r="A118" s="313">
        <v>45656</v>
      </c>
      <c r="B118" s="307" t="s">
        <v>4591</v>
      </c>
      <c r="C118" s="307"/>
      <c r="D118" s="309">
        <v>1000000</v>
      </c>
      <c r="E118" s="309" t="s">
        <v>4590</v>
      </c>
      <c r="F118" s="309"/>
      <c r="G118" s="309"/>
      <c r="H118" s="762" t="s">
        <v>4592</v>
      </c>
    </row>
    <row r="119" spans="1:8">
      <c r="A119" s="305"/>
      <c r="B119" s="307"/>
      <c r="C119" s="307"/>
      <c r="D119" s="309"/>
      <c r="E119" s="309"/>
      <c r="F119" s="309"/>
      <c r="G119" s="309"/>
      <c r="H119" s="762"/>
    </row>
    <row r="120" spans="1:8">
      <c r="A120" s="313">
        <v>45656</v>
      </c>
      <c r="B120" s="307" t="s">
        <v>4593</v>
      </c>
      <c r="C120" s="307"/>
      <c r="D120" s="309">
        <v>1220000</v>
      </c>
      <c r="E120" s="575" t="s">
        <v>4594</v>
      </c>
      <c r="F120" s="575"/>
      <c r="G120" s="575"/>
      <c r="H120" s="762" t="s">
        <v>4595</v>
      </c>
    </row>
    <row r="121" spans="1:8">
      <c r="A121" s="305"/>
      <c r="B121" s="307"/>
      <c r="C121" s="307"/>
      <c r="D121" s="309"/>
      <c r="E121" s="575"/>
      <c r="F121" s="575"/>
      <c r="G121" s="575"/>
      <c r="H121" s="762"/>
    </row>
    <row r="122" spans="1:8">
      <c r="A122" s="305"/>
      <c r="B122" s="307"/>
      <c r="C122" s="307"/>
      <c r="D122" s="309">
        <v>270000</v>
      </c>
      <c r="E122" s="309"/>
      <c r="F122" s="309"/>
      <c r="G122" s="309"/>
      <c r="H122" s="311" t="s">
        <v>4596</v>
      </c>
    </row>
    <row r="123" spans="1:8">
      <c r="A123" s="305"/>
      <c r="B123" s="307"/>
      <c r="C123" s="307"/>
      <c r="D123" s="309"/>
      <c r="E123" s="309"/>
      <c r="F123" s="309"/>
      <c r="G123" s="309"/>
      <c r="H123" s="311"/>
    </row>
    <row r="124" spans="1:8">
      <c r="A124" s="305"/>
      <c r="B124" s="307"/>
      <c r="C124" s="307"/>
      <c r="D124" s="309">
        <v>110000</v>
      </c>
      <c r="E124" s="309"/>
      <c r="F124" s="309"/>
      <c r="G124" s="309"/>
      <c r="H124" s="311" t="s">
        <v>4597</v>
      </c>
    </row>
    <row r="125" spans="1:8">
      <c r="A125" s="305"/>
      <c r="B125" s="307"/>
      <c r="C125" s="307"/>
      <c r="D125" s="309"/>
      <c r="E125" s="309"/>
      <c r="F125" s="309"/>
      <c r="G125" s="309"/>
      <c r="H125" s="311"/>
    </row>
    <row r="126" spans="1:8">
      <c r="A126" s="305"/>
      <c r="B126" s="307"/>
      <c r="C126" s="307"/>
      <c r="D126" s="309"/>
      <c r="E126" s="309"/>
      <c r="F126" s="309"/>
      <c r="G126" s="309"/>
      <c r="H126" s="311"/>
    </row>
    <row r="127" spans="1:8">
      <c r="A127" s="305"/>
      <c r="B127" s="307"/>
      <c r="C127" s="307"/>
      <c r="D127" s="309"/>
      <c r="E127" s="309"/>
      <c r="F127" s="309"/>
      <c r="G127" s="309"/>
      <c r="H127" s="311"/>
    </row>
    <row r="128" spans="1:8">
      <c r="A128" s="305"/>
      <c r="B128" s="307"/>
      <c r="C128" s="307"/>
      <c r="D128" s="309"/>
      <c r="E128" s="309"/>
      <c r="F128" s="309"/>
      <c r="G128" s="309"/>
      <c r="H128" s="311"/>
    </row>
    <row r="129" spans="1:8">
      <c r="A129" s="305"/>
      <c r="B129" s="307"/>
      <c r="C129" s="307"/>
      <c r="D129" s="309"/>
      <c r="E129" s="309"/>
      <c r="F129" s="309"/>
      <c r="G129" s="309"/>
      <c r="H129" s="311"/>
    </row>
    <row r="130" spans="1:8">
      <c r="A130" s="305"/>
      <c r="B130" s="307"/>
      <c r="C130" s="307"/>
      <c r="D130" s="309"/>
      <c r="E130" s="309"/>
      <c r="F130" s="309"/>
      <c r="G130" s="309"/>
      <c r="H130" s="311"/>
    </row>
    <row r="131" spans="1:8">
      <c r="A131" s="305"/>
      <c r="B131" s="307"/>
      <c r="C131" s="307"/>
      <c r="D131" s="309"/>
      <c r="E131" s="309"/>
      <c r="F131" s="309"/>
      <c r="G131" s="309"/>
      <c r="H131" s="311"/>
    </row>
  </sheetData>
  <mergeCells count="374"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  <mergeCell ref="A6:A7"/>
    <mergeCell ref="B6:B7"/>
    <mergeCell ref="C6:C7"/>
    <mergeCell ref="D6:D7"/>
    <mergeCell ref="E6:G7"/>
    <mergeCell ref="H6:H7"/>
    <mergeCell ref="A3:H3"/>
    <mergeCell ref="A4:A5"/>
    <mergeCell ref="B4:B5"/>
    <mergeCell ref="C4:C5"/>
    <mergeCell ref="D4:D5"/>
    <mergeCell ref="E4:G5"/>
    <mergeCell ref="H4:H5"/>
    <mergeCell ref="A10:A11"/>
    <mergeCell ref="B10:B11"/>
    <mergeCell ref="C10:C11"/>
    <mergeCell ref="D10:D11"/>
    <mergeCell ref="E10:G11"/>
    <mergeCell ref="H10:H11"/>
    <mergeCell ref="A8:A9"/>
    <mergeCell ref="B8:B9"/>
    <mergeCell ref="C8:C9"/>
    <mergeCell ref="D8:D9"/>
    <mergeCell ref="E8:G9"/>
    <mergeCell ref="H8:H9"/>
    <mergeCell ref="A15:A16"/>
    <mergeCell ref="B15:B16"/>
    <mergeCell ref="C15:C16"/>
    <mergeCell ref="D15:D16"/>
    <mergeCell ref="E15:G16"/>
    <mergeCell ref="H15:H16"/>
    <mergeCell ref="E12:G12"/>
    <mergeCell ref="A13:A14"/>
    <mergeCell ref="B13:B14"/>
    <mergeCell ref="C13:C14"/>
    <mergeCell ref="D13:D14"/>
    <mergeCell ref="E13:G14"/>
    <mergeCell ref="H13:H14"/>
    <mergeCell ref="H19:H20"/>
    <mergeCell ref="A21:A22"/>
    <mergeCell ref="B21:B22"/>
    <mergeCell ref="C21:C22"/>
    <mergeCell ref="D21:D22"/>
    <mergeCell ref="E21:G22"/>
    <mergeCell ref="H21:H22"/>
    <mergeCell ref="E17:G17"/>
    <mergeCell ref="E18:G18"/>
    <mergeCell ref="A19:A20"/>
    <mergeCell ref="B19:B20"/>
    <mergeCell ref="C19:C20"/>
    <mergeCell ref="D19:D20"/>
    <mergeCell ref="E19:G20"/>
    <mergeCell ref="A25:A26"/>
    <mergeCell ref="B25:B26"/>
    <mergeCell ref="C25:C26"/>
    <mergeCell ref="D25:D26"/>
    <mergeCell ref="E25:G26"/>
    <mergeCell ref="H25:H26"/>
    <mergeCell ref="A23:A24"/>
    <mergeCell ref="B23:B24"/>
    <mergeCell ref="C23:C24"/>
    <mergeCell ref="D23:D24"/>
    <mergeCell ref="E23:G24"/>
    <mergeCell ref="H23:H24"/>
    <mergeCell ref="A31:A32"/>
    <mergeCell ref="B31:B32"/>
    <mergeCell ref="C31:C32"/>
    <mergeCell ref="D31:D32"/>
    <mergeCell ref="E31:G32"/>
    <mergeCell ref="H31:H32"/>
    <mergeCell ref="A29:A30"/>
    <mergeCell ref="A27:A28"/>
    <mergeCell ref="B27:B28"/>
    <mergeCell ref="C27:C28"/>
    <mergeCell ref="D27:D28"/>
    <mergeCell ref="E27:G28"/>
    <mergeCell ref="H27:H28"/>
    <mergeCell ref="B29:H30"/>
    <mergeCell ref="A35:A36"/>
    <mergeCell ref="B35:B36"/>
    <mergeCell ref="C35:C36"/>
    <mergeCell ref="D35:D36"/>
    <mergeCell ref="E35:G36"/>
    <mergeCell ref="H35:H36"/>
    <mergeCell ref="A33:A34"/>
    <mergeCell ref="B33:B34"/>
    <mergeCell ref="C33:C34"/>
    <mergeCell ref="D33:D34"/>
    <mergeCell ref="E33:G34"/>
    <mergeCell ref="H33:H34"/>
    <mergeCell ref="A39:A40"/>
    <mergeCell ref="B39:B40"/>
    <mergeCell ref="C39:C40"/>
    <mergeCell ref="D39:D40"/>
    <mergeCell ref="E39:G40"/>
    <mergeCell ref="H39:H40"/>
    <mergeCell ref="A37:A38"/>
    <mergeCell ref="B37:B38"/>
    <mergeCell ref="C37:C38"/>
    <mergeCell ref="D37:D38"/>
    <mergeCell ref="E37:G38"/>
    <mergeCell ref="H37:H38"/>
    <mergeCell ref="A43:A44"/>
    <mergeCell ref="B43:B44"/>
    <mergeCell ref="C43:C44"/>
    <mergeCell ref="D43:D44"/>
    <mergeCell ref="E43:G44"/>
    <mergeCell ref="H43:H44"/>
    <mergeCell ref="A41:A42"/>
    <mergeCell ref="B41:B42"/>
    <mergeCell ref="C41:C42"/>
    <mergeCell ref="D41:D42"/>
    <mergeCell ref="E41:G42"/>
    <mergeCell ref="H41:H42"/>
    <mergeCell ref="A47:A48"/>
    <mergeCell ref="B47:B48"/>
    <mergeCell ref="C47:C48"/>
    <mergeCell ref="D47:D48"/>
    <mergeCell ref="E47:G48"/>
    <mergeCell ref="H47:H48"/>
    <mergeCell ref="A45:A46"/>
    <mergeCell ref="B45:B46"/>
    <mergeCell ref="C45:C46"/>
    <mergeCell ref="D45:D46"/>
    <mergeCell ref="E45:G46"/>
    <mergeCell ref="H45:H46"/>
    <mergeCell ref="H53:H54"/>
    <mergeCell ref="A51:A52"/>
    <mergeCell ref="B51:B52"/>
    <mergeCell ref="C51:C52"/>
    <mergeCell ref="D51:D52"/>
    <mergeCell ref="E51:G52"/>
    <mergeCell ref="H51:H52"/>
    <mergeCell ref="A49:A50"/>
    <mergeCell ref="B49:B50"/>
    <mergeCell ref="C49:C50"/>
    <mergeCell ref="D49:D50"/>
    <mergeCell ref="E49:G50"/>
    <mergeCell ref="H49:H50"/>
    <mergeCell ref="E55:G55"/>
    <mergeCell ref="A56:A57"/>
    <mergeCell ref="B56:B57"/>
    <mergeCell ref="C56:C57"/>
    <mergeCell ref="D56:D57"/>
    <mergeCell ref="E56:G57"/>
    <mergeCell ref="A53:A54"/>
    <mergeCell ref="B53:B54"/>
    <mergeCell ref="C53:C54"/>
    <mergeCell ref="D53:D54"/>
    <mergeCell ref="E53:G54"/>
    <mergeCell ref="A60:A61"/>
    <mergeCell ref="B60:B61"/>
    <mergeCell ref="C60:C61"/>
    <mergeCell ref="D60:D61"/>
    <mergeCell ref="E60:G61"/>
    <mergeCell ref="H60:H61"/>
    <mergeCell ref="H56:H57"/>
    <mergeCell ref="A58:A59"/>
    <mergeCell ref="B58:B59"/>
    <mergeCell ref="C58:C59"/>
    <mergeCell ref="D58:D59"/>
    <mergeCell ref="E58:G59"/>
    <mergeCell ref="H58:H59"/>
    <mergeCell ref="A66:A67"/>
    <mergeCell ref="A62:A63"/>
    <mergeCell ref="B62:B63"/>
    <mergeCell ref="C62:C63"/>
    <mergeCell ref="D62:D63"/>
    <mergeCell ref="E62:G63"/>
    <mergeCell ref="H62:H63"/>
    <mergeCell ref="A64:A65"/>
    <mergeCell ref="B64:B65"/>
    <mergeCell ref="C64:C65"/>
    <mergeCell ref="D64:D65"/>
    <mergeCell ref="E64:G65"/>
    <mergeCell ref="H64:H65"/>
    <mergeCell ref="B66:H67"/>
    <mergeCell ref="A70:A71"/>
    <mergeCell ref="B70:B71"/>
    <mergeCell ref="C70:C71"/>
    <mergeCell ref="D70:D71"/>
    <mergeCell ref="E70:G71"/>
    <mergeCell ref="H70:H71"/>
    <mergeCell ref="A68:A69"/>
    <mergeCell ref="B68:B69"/>
    <mergeCell ref="C68:C69"/>
    <mergeCell ref="D68:D69"/>
    <mergeCell ref="E68:G69"/>
    <mergeCell ref="H68:H69"/>
    <mergeCell ref="A74:A75"/>
    <mergeCell ref="B74:B75"/>
    <mergeCell ref="C74:C75"/>
    <mergeCell ref="D74:D75"/>
    <mergeCell ref="E74:G75"/>
    <mergeCell ref="H74:H75"/>
    <mergeCell ref="A72:A73"/>
    <mergeCell ref="B72:B73"/>
    <mergeCell ref="C72:C73"/>
    <mergeCell ref="D72:D73"/>
    <mergeCell ref="E72:G73"/>
    <mergeCell ref="H72:H73"/>
    <mergeCell ref="A78:A79"/>
    <mergeCell ref="B78:B79"/>
    <mergeCell ref="C78:C79"/>
    <mergeCell ref="D78:D79"/>
    <mergeCell ref="E78:G79"/>
    <mergeCell ref="H78:H79"/>
    <mergeCell ref="A76:A77"/>
    <mergeCell ref="B76:B77"/>
    <mergeCell ref="C76:C77"/>
    <mergeCell ref="D76:D77"/>
    <mergeCell ref="E76:G77"/>
    <mergeCell ref="H76:H77"/>
    <mergeCell ref="A82:A83"/>
    <mergeCell ref="B82:B83"/>
    <mergeCell ref="C82:C83"/>
    <mergeCell ref="D82:D83"/>
    <mergeCell ref="E82:G83"/>
    <mergeCell ref="H82:H83"/>
    <mergeCell ref="A80:A81"/>
    <mergeCell ref="B80:B81"/>
    <mergeCell ref="C80:C81"/>
    <mergeCell ref="D80:D81"/>
    <mergeCell ref="E80:G81"/>
    <mergeCell ref="H80:H81"/>
    <mergeCell ref="A86:A87"/>
    <mergeCell ref="B86:B87"/>
    <mergeCell ref="C86:C87"/>
    <mergeCell ref="D86:D87"/>
    <mergeCell ref="E86:G87"/>
    <mergeCell ref="H86:H87"/>
    <mergeCell ref="A84:A85"/>
    <mergeCell ref="B84:B85"/>
    <mergeCell ref="C84:C85"/>
    <mergeCell ref="D84:D85"/>
    <mergeCell ref="E84:G85"/>
    <mergeCell ref="H84:H85"/>
    <mergeCell ref="A90:A91"/>
    <mergeCell ref="B90:B91"/>
    <mergeCell ref="C90:C91"/>
    <mergeCell ref="D90:D91"/>
    <mergeCell ref="E90:G91"/>
    <mergeCell ref="H90:H91"/>
    <mergeCell ref="A88:A89"/>
    <mergeCell ref="B88:B89"/>
    <mergeCell ref="C88:C89"/>
    <mergeCell ref="D88:D89"/>
    <mergeCell ref="E88:G89"/>
    <mergeCell ref="H88:H89"/>
    <mergeCell ref="A94:A95"/>
    <mergeCell ref="B94:B95"/>
    <mergeCell ref="C94:C95"/>
    <mergeCell ref="D94:D95"/>
    <mergeCell ref="E94:G95"/>
    <mergeCell ref="H94:H95"/>
    <mergeCell ref="A92:A93"/>
    <mergeCell ref="B92:B93"/>
    <mergeCell ref="C92:C93"/>
    <mergeCell ref="D92:D93"/>
    <mergeCell ref="E92:G93"/>
    <mergeCell ref="H92:H93"/>
    <mergeCell ref="A98:A99"/>
    <mergeCell ref="B98:B99"/>
    <mergeCell ref="C98:C99"/>
    <mergeCell ref="D98:D99"/>
    <mergeCell ref="E98:G99"/>
    <mergeCell ref="H98:H99"/>
    <mergeCell ref="A96:A97"/>
    <mergeCell ref="B96:B97"/>
    <mergeCell ref="C96:C97"/>
    <mergeCell ref="D96:D97"/>
    <mergeCell ref="E96:G97"/>
    <mergeCell ref="H96:H97"/>
    <mergeCell ref="A102:A103"/>
    <mergeCell ref="A100:A101"/>
    <mergeCell ref="B100:B101"/>
    <mergeCell ref="C100:C101"/>
    <mergeCell ref="D100:D101"/>
    <mergeCell ref="E100:G101"/>
    <mergeCell ref="H100:H101"/>
    <mergeCell ref="B102:H103"/>
    <mergeCell ref="A106:A107"/>
    <mergeCell ref="B106:B107"/>
    <mergeCell ref="C106:C107"/>
    <mergeCell ref="D106:D107"/>
    <mergeCell ref="E106:G107"/>
    <mergeCell ref="H106:H107"/>
    <mergeCell ref="A104:A105"/>
    <mergeCell ref="B104:B105"/>
    <mergeCell ref="C104:C105"/>
    <mergeCell ref="D104:D105"/>
    <mergeCell ref="E104:G105"/>
    <mergeCell ref="H104:H105"/>
    <mergeCell ref="A110:A111"/>
    <mergeCell ref="B110:B111"/>
    <mergeCell ref="C110:C111"/>
    <mergeCell ref="D110:D111"/>
    <mergeCell ref="E110:G111"/>
    <mergeCell ref="H110:H111"/>
    <mergeCell ref="A108:A109"/>
    <mergeCell ref="B108:B109"/>
    <mergeCell ref="C108:C109"/>
    <mergeCell ref="D108:D109"/>
    <mergeCell ref="E108:G109"/>
    <mergeCell ref="H108:H109"/>
    <mergeCell ref="A114:A115"/>
    <mergeCell ref="B114:B115"/>
    <mergeCell ref="C114:C115"/>
    <mergeCell ref="D114:D115"/>
    <mergeCell ref="E114:G115"/>
    <mergeCell ref="H114:H115"/>
    <mergeCell ref="A112:A113"/>
    <mergeCell ref="B112:B113"/>
    <mergeCell ref="C112:C113"/>
    <mergeCell ref="D112:D113"/>
    <mergeCell ref="E112:G113"/>
    <mergeCell ref="H112:H113"/>
    <mergeCell ref="A118:A119"/>
    <mergeCell ref="B118:B119"/>
    <mergeCell ref="C118:C119"/>
    <mergeCell ref="D118:D119"/>
    <mergeCell ref="E118:G119"/>
    <mergeCell ref="H118:H119"/>
    <mergeCell ref="A116:A117"/>
    <mergeCell ref="B116:H117"/>
    <mergeCell ref="A122:A123"/>
    <mergeCell ref="B122:B123"/>
    <mergeCell ref="C122:C123"/>
    <mergeCell ref="D122:D123"/>
    <mergeCell ref="E122:G123"/>
    <mergeCell ref="H122:H123"/>
    <mergeCell ref="A120:A121"/>
    <mergeCell ref="B120:B121"/>
    <mergeCell ref="C120:C121"/>
    <mergeCell ref="D120:D121"/>
    <mergeCell ref="E120:G121"/>
    <mergeCell ref="H120:H121"/>
    <mergeCell ref="A130:A131"/>
    <mergeCell ref="B130:B131"/>
    <mergeCell ref="C130:C131"/>
    <mergeCell ref="D130:D131"/>
    <mergeCell ref="E130:G131"/>
    <mergeCell ref="H130:H131"/>
    <mergeCell ref="A128:A129"/>
    <mergeCell ref="B128:B129"/>
    <mergeCell ref="C128:C129"/>
    <mergeCell ref="D128:D129"/>
    <mergeCell ref="E128:G129"/>
    <mergeCell ref="H128:H129"/>
    <mergeCell ref="A126:A127"/>
    <mergeCell ref="B126:B127"/>
    <mergeCell ref="C126:C127"/>
    <mergeCell ref="D126:D127"/>
    <mergeCell ref="E126:G127"/>
    <mergeCell ref="H126:H127"/>
    <mergeCell ref="A124:A125"/>
    <mergeCell ref="B124:B125"/>
    <mergeCell ref="C124:C125"/>
    <mergeCell ref="D124:D125"/>
    <mergeCell ref="E124:G125"/>
    <mergeCell ref="H124:H125"/>
  </mergeCells>
  <phoneticPr fontId="1" type="noConversion"/>
  <pageMargins left="0" right="0" top="0" bottom="0" header="0" footer="0"/>
  <pageSetup paperSize="9" scale="36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15"/>
  <sheetViews>
    <sheetView showGridLines="0" zoomScale="115" zoomScaleNormal="115" workbookViewId="0">
      <pane xSplit="8" ySplit="2" topLeftCell="I75" activePane="bottomRight" state="frozen"/>
      <selection pane="topRight" activeCell="I1" sqref="I1"/>
      <selection pane="bottomLeft" activeCell="A3" sqref="A3"/>
      <selection pane="bottomRight" activeCell="E78" sqref="E78:G79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0" max="10" width="13.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  <col min="18" max="18" width="9.5" bestFit="1" customWidth="1"/>
  </cols>
  <sheetData>
    <row r="1" spans="1:18" ht="35.25" customHeight="1" thickBot="1">
      <c r="A1" s="388" t="s">
        <v>5259</v>
      </c>
      <c r="B1" s="389"/>
      <c r="C1" s="402" t="s">
        <v>27</v>
      </c>
      <c r="D1" s="403"/>
      <c r="E1" s="21" t="s">
        <v>26</v>
      </c>
      <c r="F1" s="20">
        <f>H1/31</f>
        <v>925080.6451612903</v>
      </c>
      <c r="G1" s="21" t="s">
        <v>4</v>
      </c>
      <c r="H1" s="22">
        <f>SUM(D4:D120)</f>
        <v>28677500</v>
      </c>
      <c r="I1" s="392"/>
      <c r="J1" s="338"/>
      <c r="K1" s="394"/>
      <c r="L1" s="396"/>
      <c r="M1" s="377"/>
      <c r="N1" s="379"/>
      <c r="O1" s="381"/>
      <c r="P1" s="383"/>
      <c r="Q1" s="377"/>
      <c r="R1" s="376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385" t="s">
        <v>25</v>
      </c>
      <c r="F2" s="386"/>
      <c r="G2" s="387"/>
      <c r="H2" s="25" t="s">
        <v>5</v>
      </c>
      <c r="I2" s="393"/>
      <c r="J2" s="333"/>
      <c r="K2" s="395"/>
      <c r="L2" s="397"/>
      <c r="M2" s="378"/>
      <c r="N2" s="380"/>
      <c r="O2" s="382"/>
      <c r="P2" s="384"/>
      <c r="Q2" s="378"/>
      <c r="R2" s="376"/>
    </row>
    <row r="3" spans="1:18" ht="57.75" customHeight="1">
      <c r="A3" s="441" t="s">
        <v>4769</v>
      </c>
      <c r="B3" s="442"/>
      <c r="C3" s="442"/>
      <c r="D3" s="442"/>
      <c r="E3" s="442"/>
      <c r="F3" s="442"/>
      <c r="G3" s="442"/>
      <c r="H3" s="443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322">
        <v>45690</v>
      </c>
      <c r="B4" s="341" t="s">
        <v>4692</v>
      </c>
      <c r="C4" s="341"/>
      <c r="D4" s="326">
        <v>220000</v>
      </c>
      <c r="E4" s="327" t="s">
        <v>4694</v>
      </c>
      <c r="F4" s="328"/>
      <c r="G4" s="329"/>
      <c r="H4" s="398" t="s">
        <v>4693</v>
      </c>
      <c r="J4" s="43"/>
    </row>
    <row r="5" spans="1:18" ht="16.5" customHeight="1">
      <c r="A5" s="323"/>
      <c r="B5" s="342"/>
      <c r="C5" s="342"/>
      <c r="D5" s="326"/>
      <c r="E5" s="330"/>
      <c r="F5" s="331"/>
      <c r="G5" s="332"/>
      <c r="H5" s="399"/>
      <c r="J5" s="43"/>
    </row>
    <row r="6" spans="1:18" ht="16.5" customHeight="1">
      <c r="A6" s="322">
        <v>45693</v>
      </c>
      <c r="B6" s="341" t="s">
        <v>4695</v>
      </c>
      <c r="C6" s="341"/>
      <c r="D6" s="343">
        <v>640000</v>
      </c>
      <c r="E6" s="327" t="s">
        <v>4696</v>
      </c>
      <c r="F6" s="345"/>
      <c r="G6" s="346"/>
      <c r="H6" s="398" t="s">
        <v>4697</v>
      </c>
    </row>
    <row r="7" spans="1:18" ht="51" customHeight="1">
      <c r="A7" s="323"/>
      <c r="B7" s="342"/>
      <c r="C7" s="342"/>
      <c r="D7" s="344"/>
      <c r="E7" s="347"/>
      <c r="F7" s="348"/>
      <c r="G7" s="349"/>
      <c r="H7" s="399"/>
    </row>
    <row r="8" spans="1:18" ht="16.5" customHeight="1">
      <c r="A8" s="322">
        <v>45693</v>
      </c>
      <c r="B8" s="324" t="s">
        <v>4701</v>
      </c>
      <c r="C8" s="341"/>
      <c r="D8" s="326">
        <v>1570000</v>
      </c>
      <c r="E8" s="562" t="s">
        <v>4698</v>
      </c>
      <c r="F8" s="582"/>
      <c r="G8" s="583"/>
      <c r="H8" s="350" t="s">
        <v>4708</v>
      </c>
      <c r="J8" s="48"/>
    </row>
    <row r="9" spans="1:18" ht="16.5" customHeight="1">
      <c r="A9" s="323"/>
      <c r="B9" s="325"/>
      <c r="C9" s="342"/>
      <c r="D9" s="326"/>
      <c r="E9" s="584"/>
      <c r="F9" s="585"/>
      <c r="G9" s="586"/>
      <c r="H9" s="351"/>
    </row>
    <row r="10" spans="1:18" ht="16.5" customHeight="1">
      <c r="A10" s="322">
        <v>45693</v>
      </c>
      <c r="B10" s="324" t="s">
        <v>4700</v>
      </c>
      <c r="C10" s="341"/>
      <c r="D10" s="326">
        <v>165000</v>
      </c>
      <c r="E10" s="906" t="s">
        <v>4699</v>
      </c>
      <c r="F10" s="907"/>
      <c r="G10" s="908"/>
      <c r="H10" s="400" t="s">
        <v>4697</v>
      </c>
    </row>
    <row r="11" spans="1:18" ht="26.25" customHeight="1">
      <c r="A11" s="323"/>
      <c r="B11" s="325"/>
      <c r="C11" s="342"/>
      <c r="D11" s="326"/>
      <c r="E11" s="909"/>
      <c r="F11" s="910"/>
      <c r="G11" s="911"/>
      <c r="H11" s="401"/>
    </row>
    <row r="12" spans="1:18" ht="45" customHeight="1">
      <c r="A12" s="191">
        <v>45694</v>
      </c>
      <c r="B12" s="192" t="s">
        <v>4702</v>
      </c>
      <c r="C12" s="192" t="s">
        <v>4705</v>
      </c>
      <c r="D12" s="193">
        <v>695000</v>
      </c>
      <c r="E12" s="721" t="s">
        <v>4703</v>
      </c>
      <c r="F12" s="904"/>
      <c r="G12" s="905"/>
      <c r="H12" s="98" t="s">
        <v>4704</v>
      </c>
    </row>
    <row r="13" spans="1:18">
      <c r="A13" s="322">
        <v>45694</v>
      </c>
      <c r="B13" s="324" t="s">
        <v>4706</v>
      </c>
      <c r="C13" s="325"/>
      <c r="D13" s="326">
        <v>1544400</v>
      </c>
      <c r="E13" s="337" t="s">
        <v>4716</v>
      </c>
      <c r="F13" s="326"/>
      <c r="G13" s="326"/>
      <c r="H13" s="359" t="s">
        <v>4707</v>
      </c>
    </row>
    <row r="14" spans="1:18" ht="26.25" customHeight="1">
      <c r="A14" s="323"/>
      <c r="B14" s="325"/>
      <c r="C14" s="325"/>
      <c r="D14" s="326"/>
      <c r="E14" s="326"/>
      <c r="F14" s="326"/>
      <c r="G14" s="326"/>
      <c r="H14" s="359"/>
    </row>
    <row r="15" spans="1:18">
      <c r="A15" s="322">
        <v>45694</v>
      </c>
      <c r="B15" s="324" t="s">
        <v>4709</v>
      </c>
      <c r="C15" s="325"/>
      <c r="D15" s="326">
        <v>200000</v>
      </c>
      <c r="E15" s="337" t="s">
        <v>4710</v>
      </c>
      <c r="F15" s="326"/>
      <c r="G15" s="326"/>
      <c r="H15" s="359" t="s">
        <v>4711</v>
      </c>
    </row>
    <row r="16" spans="1:18" ht="42.75" customHeight="1">
      <c r="A16" s="323"/>
      <c r="B16" s="325"/>
      <c r="C16" s="325"/>
      <c r="D16" s="326"/>
      <c r="E16" s="326"/>
      <c r="F16" s="326"/>
      <c r="G16" s="326"/>
      <c r="H16" s="359"/>
    </row>
    <row r="17" spans="1:8">
      <c r="A17" s="322">
        <v>45695</v>
      </c>
      <c r="B17" s="325" t="s">
        <v>4714</v>
      </c>
      <c r="C17" s="325"/>
      <c r="D17" s="326">
        <v>550000</v>
      </c>
      <c r="E17" s="337" t="s">
        <v>4715</v>
      </c>
      <c r="F17" s="326"/>
      <c r="G17" s="326"/>
      <c r="H17" s="359" t="s">
        <v>4712</v>
      </c>
    </row>
    <row r="18" spans="1:8" ht="30.75" customHeight="1">
      <c r="A18" s="323"/>
      <c r="B18" s="325"/>
      <c r="C18" s="325"/>
      <c r="D18" s="326"/>
      <c r="E18" s="326"/>
      <c r="F18" s="326"/>
      <c r="G18" s="326"/>
      <c r="H18" s="359"/>
    </row>
    <row r="19" spans="1:8">
      <c r="A19" s="322">
        <v>45695</v>
      </c>
      <c r="B19" s="341" t="s">
        <v>4718</v>
      </c>
      <c r="C19" s="353"/>
      <c r="D19" s="343">
        <v>400000</v>
      </c>
      <c r="E19" s="574" t="s">
        <v>4717</v>
      </c>
      <c r="F19" s="727"/>
      <c r="G19" s="727"/>
      <c r="H19" s="359" t="s">
        <v>4713</v>
      </c>
    </row>
    <row r="20" spans="1:8" s="197" customFormat="1">
      <c r="A20" s="323"/>
      <c r="B20" s="342"/>
      <c r="C20" s="352"/>
      <c r="D20" s="344"/>
      <c r="E20" s="727"/>
      <c r="F20" s="727"/>
      <c r="G20" s="727"/>
      <c r="H20" s="359"/>
    </row>
    <row r="21" spans="1:8">
      <c r="A21" s="322"/>
      <c r="B21" s="739" t="s">
        <v>4750</v>
      </c>
      <c r="C21" s="740"/>
      <c r="D21" s="740"/>
      <c r="E21" s="740"/>
      <c r="F21" s="740"/>
      <c r="G21" s="740"/>
      <c r="H21" s="741"/>
    </row>
    <row r="22" spans="1:8" s="197" customFormat="1" ht="27.75" customHeight="1">
      <c r="A22" s="323"/>
      <c r="B22" s="742"/>
      <c r="C22" s="743"/>
      <c r="D22" s="743"/>
      <c r="E22" s="743"/>
      <c r="F22" s="743"/>
      <c r="G22" s="743"/>
      <c r="H22" s="744"/>
    </row>
    <row r="23" spans="1:8">
      <c r="A23" s="322">
        <v>45698</v>
      </c>
      <c r="B23" s="324" t="s">
        <v>4721</v>
      </c>
      <c r="C23" s="325"/>
      <c r="D23" s="343">
        <v>270000</v>
      </c>
      <c r="E23" s="574" t="s">
        <v>4719</v>
      </c>
      <c r="F23" s="575"/>
      <c r="G23" s="575"/>
      <c r="H23" s="333" t="s">
        <v>4720</v>
      </c>
    </row>
    <row r="24" spans="1:8" ht="28.5" customHeight="1">
      <c r="A24" s="323"/>
      <c r="B24" s="325"/>
      <c r="C24" s="325"/>
      <c r="D24" s="344"/>
      <c r="E24" s="575"/>
      <c r="F24" s="575"/>
      <c r="G24" s="575"/>
      <c r="H24" s="333"/>
    </row>
    <row r="25" spans="1:8" ht="16.5" customHeight="1">
      <c r="A25" s="336">
        <v>45699</v>
      </c>
      <c r="B25" s="324" t="s">
        <v>4722</v>
      </c>
      <c r="C25" s="325"/>
      <c r="D25" s="326">
        <v>1590000</v>
      </c>
      <c r="E25" s="562" t="s">
        <v>4723</v>
      </c>
      <c r="F25" s="582"/>
      <c r="G25" s="583"/>
      <c r="H25" s="350" t="s">
        <v>4720</v>
      </c>
    </row>
    <row r="26" spans="1:8" ht="16.5" customHeight="1">
      <c r="A26" s="323"/>
      <c r="B26" s="325"/>
      <c r="C26" s="325"/>
      <c r="D26" s="326"/>
      <c r="E26" s="584"/>
      <c r="F26" s="585"/>
      <c r="G26" s="586"/>
      <c r="H26" s="351"/>
    </row>
    <row r="27" spans="1:8" ht="16.5" customHeight="1">
      <c r="A27" s="336">
        <v>45699</v>
      </c>
      <c r="B27" s="341" t="s">
        <v>4724</v>
      </c>
      <c r="C27" s="341"/>
      <c r="D27" s="343">
        <v>880000</v>
      </c>
      <c r="E27" s="562" t="s">
        <v>4719</v>
      </c>
      <c r="F27" s="582"/>
      <c r="G27" s="583"/>
      <c r="H27" s="359" t="s">
        <v>145</v>
      </c>
    </row>
    <row r="28" spans="1:8" ht="16.5" customHeight="1">
      <c r="A28" s="323"/>
      <c r="B28" s="342"/>
      <c r="C28" s="342"/>
      <c r="D28" s="344"/>
      <c r="E28" s="584"/>
      <c r="F28" s="585"/>
      <c r="G28" s="586"/>
      <c r="H28" s="359"/>
    </row>
    <row r="29" spans="1:8" ht="16.5" customHeight="1">
      <c r="A29" s="336">
        <v>45699</v>
      </c>
      <c r="B29" s="324" t="s">
        <v>4726</v>
      </c>
      <c r="C29" s="325"/>
      <c r="D29" s="326">
        <v>550000</v>
      </c>
      <c r="E29" s="562" t="s">
        <v>4719</v>
      </c>
      <c r="F29" s="582"/>
      <c r="G29" s="583"/>
      <c r="H29" s="359" t="s">
        <v>4727</v>
      </c>
    </row>
    <row r="30" spans="1:8" ht="16.5" customHeight="1">
      <c r="A30" s="323"/>
      <c r="B30" s="325"/>
      <c r="C30" s="325"/>
      <c r="D30" s="326"/>
      <c r="E30" s="584"/>
      <c r="F30" s="585"/>
      <c r="G30" s="586"/>
      <c r="H30" s="359"/>
    </row>
    <row r="31" spans="1:8" ht="16.5" customHeight="1">
      <c r="A31" s="336">
        <v>45699</v>
      </c>
      <c r="B31" s="324" t="s">
        <v>4725</v>
      </c>
      <c r="C31" s="325"/>
      <c r="D31" s="326">
        <v>141000</v>
      </c>
      <c r="E31" s="327" t="s">
        <v>4729</v>
      </c>
      <c r="F31" s="328"/>
      <c r="G31" s="329"/>
      <c r="H31" s="325" t="s">
        <v>4728</v>
      </c>
    </row>
    <row r="32" spans="1:8" ht="16.5" customHeight="1">
      <c r="A32" s="323"/>
      <c r="B32" s="325"/>
      <c r="C32" s="325"/>
      <c r="D32" s="326"/>
      <c r="E32" s="330"/>
      <c r="F32" s="331"/>
      <c r="G32" s="332"/>
      <c r="H32" s="325"/>
    </row>
    <row r="33" spans="1:8" ht="16.5" customHeight="1">
      <c r="A33" s="336">
        <v>45700</v>
      </c>
      <c r="B33" s="324" t="s">
        <v>4730</v>
      </c>
      <c r="C33" s="326"/>
      <c r="D33" s="326">
        <v>1050000</v>
      </c>
      <c r="E33" s="562" t="s">
        <v>4731</v>
      </c>
      <c r="F33" s="582"/>
      <c r="G33" s="583"/>
      <c r="H33" s="359" t="s">
        <v>4732</v>
      </c>
    </row>
    <row r="34" spans="1:8" ht="23.25" customHeight="1">
      <c r="A34" s="323"/>
      <c r="B34" s="325"/>
      <c r="C34" s="326"/>
      <c r="D34" s="326"/>
      <c r="E34" s="584"/>
      <c r="F34" s="585"/>
      <c r="G34" s="586"/>
      <c r="H34" s="359"/>
    </row>
    <row r="35" spans="1:8" ht="16.5" customHeight="1">
      <c r="A35" s="322">
        <v>45700</v>
      </c>
      <c r="B35" s="324" t="s">
        <v>4733</v>
      </c>
      <c r="C35" s="325"/>
      <c r="D35" s="326">
        <v>100000</v>
      </c>
      <c r="E35" s="327" t="s">
        <v>4734</v>
      </c>
      <c r="F35" s="328"/>
      <c r="G35" s="329"/>
      <c r="H35" s="359" t="s">
        <v>145</v>
      </c>
    </row>
    <row r="36" spans="1:8" ht="16.5" customHeight="1">
      <c r="A36" s="323"/>
      <c r="B36" s="325"/>
      <c r="C36" s="325"/>
      <c r="D36" s="326"/>
      <c r="E36" s="330"/>
      <c r="F36" s="331"/>
      <c r="G36" s="332"/>
      <c r="H36" s="359"/>
    </row>
    <row r="37" spans="1:8">
      <c r="A37" s="322">
        <v>45702</v>
      </c>
      <c r="B37" s="324" t="s">
        <v>4748</v>
      </c>
      <c r="C37" s="325"/>
      <c r="D37" s="326">
        <v>2839100</v>
      </c>
      <c r="E37" s="337" t="s">
        <v>4735</v>
      </c>
      <c r="F37" s="326"/>
      <c r="G37" s="326"/>
      <c r="H37" s="359" t="s">
        <v>4751</v>
      </c>
    </row>
    <row r="38" spans="1:8" ht="21.75" customHeight="1">
      <c r="A38" s="323"/>
      <c r="B38" s="325"/>
      <c r="C38" s="325"/>
      <c r="D38" s="326"/>
      <c r="E38" s="326"/>
      <c r="F38" s="326"/>
      <c r="G38" s="326"/>
      <c r="H38" s="359"/>
    </row>
    <row r="39" spans="1:8" ht="16.5" customHeight="1">
      <c r="A39" s="322">
        <v>45702</v>
      </c>
      <c r="B39" s="324" t="s">
        <v>4744</v>
      </c>
      <c r="C39" s="325"/>
      <c r="D39" s="326">
        <v>220000</v>
      </c>
      <c r="E39" s="575" t="s">
        <v>4785</v>
      </c>
      <c r="F39" s="575"/>
      <c r="G39" s="575"/>
      <c r="H39" s="359" t="s">
        <v>4736</v>
      </c>
    </row>
    <row r="40" spans="1:8" ht="16.5" customHeight="1">
      <c r="A40" s="323"/>
      <c r="B40" s="325"/>
      <c r="C40" s="325"/>
      <c r="D40" s="326"/>
      <c r="E40" s="575"/>
      <c r="F40" s="575"/>
      <c r="G40" s="575"/>
      <c r="H40" s="359"/>
    </row>
    <row r="41" spans="1:8" ht="16.5" customHeight="1">
      <c r="A41" s="322">
        <v>45702</v>
      </c>
      <c r="B41" s="324" t="s">
        <v>4745</v>
      </c>
      <c r="C41" s="325"/>
      <c r="D41" s="326">
        <v>450000</v>
      </c>
      <c r="E41" s="327" t="s">
        <v>4746</v>
      </c>
      <c r="F41" s="328"/>
      <c r="G41" s="329"/>
      <c r="H41" s="359" t="s">
        <v>4747</v>
      </c>
    </row>
    <row r="42" spans="1:8" ht="16.5" customHeight="1">
      <c r="A42" s="323"/>
      <c r="B42" s="325"/>
      <c r="C42" s="325"/>
      <c r="D42" s="326"/>
      <c r="E42" s="330"/>
      <c r="F42" s="331"/>
      <c r="G42" s="332"/>
      <c r="H42" s="359"/>
    </row>
    <row r="43" spans="1:8">
      <c r="A43" s="322">
        <v>45702</v>
      </c>
      <c r="B43" s="324" t="s">
        <v>4737</v>
      </c>
      <c r="C43" s="325"/>
      <c r="D43" s="326">
        <v>1150000</v>
      </c>
      <c r="E43" s="575" t="s">
        <v>4740</v>
      </c>
      <c r="F43" s="575"/>
      <c r="G43" s="575"/>
      <c r="H43" s="359" t="s">
        <v>4738</v>
      </c>
    </row>
    <row r="44" spans="1:8">
      <c r="A44" s="323"/>
      <c r="B44" s="325"/>
      <c r="C44" s="325"/>
      <c r="D44" s="326"/>
      <c r="E44" s="575"/>
      <c r="F44" s="575"/>
      <c r="G44" s="575"/>
      <c r="H44" s="359"/>
    </row>
    <row r="45" spans="1:8" ht="33.75" customHeight="1">
      <c r="A45" s="191">
        <v>45703</v>
      </c>
      <c r="B45" s="195" t="s">
        <v>4741</v>
      </c>
      <c r="C45" s="195"/>
      <c r="D45" s="196">
        <v>1190000</v>
      </c>
      <c r="E45" s="808" t="s">
        <v>4742</v>
      </c>
      <c r="F45" s="722"/>
      <c r="G45" s="723"/>
      <c r="H45" s="194" t="s">
        <v>4736</v>
      </c>
    </row>
    <row r="46" spans="1:8" ht="16.5" customHeight="1">
      <c r="A46" s="322">
        <v>45703</v>
      </c>
      <c r="B46" s="324" t="s">
        <v>4743</v>
      </c>
      <c r="C46" s="325"/>
      <c r="D46" s="326">
        <v>590000</v>
      </c>
      <c r="E46" s="562" t="s">
        <v>4740</v>
      </c>
      <c r="F46" s="582"/>
      <c r="G46" s="583"/>
      <c r="H46" s="359" t="s">
        <v>4736</v>
      </c>
    </row>
    <row r="47" spans="1:8" ht="16.5" customHeight="1">
      <c r="A47" s="323"/>
      <c r="B47" s="325"/>
      <c r="C47" s="325"/>
      <c r="D47" s="326"/>
      <c r="E47" s="584"/>
      <c r="F47" s="585"/>
      <c r="G47" s="586"/>
      <c r="H47" s="359"/>
    </row>
    <row r="48" spans="1:8">
      <c r="A48" s="886">
        <v>45703</v>
      </c>
      <c r="B48" s="325" t="s">
        <v>4739</v>
      </c>
      <c r="C48" s="325"/>
      <c r="D48" s="326">
        <v>2380000</v>
      </c>
      <c r="E48" s="575" t="s">
        <v>4749</v>
      </c>
      <c r="F48" s="575"/>
      <c r="G48" s="575"/>
      <c r="H48" s="325" t="s">
        <v>4736</v>
      </c>
    </row>
    <row r="49" spans="1:8">
      <c r="A49" s="887"/>
      <c r="B49" s="325"/>
      <c r="C49" s="325"/>
      <c r="D49" s="326"/>
      <c r="E49" s="575"/>
      <c r="F49" s="575"/>
      <c r="G49" s="575"/>
      <c r="H49" s="325"/>
    </row>
    <row r="50" spans="1:8">
      <c r="A50" s="886"/>
      <c r="B50" s="884" t="s">
        <v>4770</v>
      </c>
      <c r="C50" s="671"/>
      <c r="D50" s="671"/>
      <c r="E50" s="671"/>
      <c r="F50" s="671"/>
      <c r="G50" s="671"/>
      <c r="H50" s="912"/>
    </row>
    <row r="51" spans="1:8" ht="46.5" customHeight="1">
      <c r="A51" s="887"/>
      <c r="B51" s="673"/>
      <c r="C51" s="674"/>
      <c r="D51" s="674"/>
      <c r="E51" s="674"/>
      <c r="F51" s="674"/>
      <c r="G51" s="674"/>
      <c r="H51" s="913"/>
    </row>
    <row r="52" spans="1:8" ht="17.25" customHeight="1">
      <c r="A52" s="322">
        <v>45706</v>
      </c>
      <c r="B52" s="325" t="s">
        <v>4753</v>
      </c>
      <c r="C52" s="325"/>
      <c r="D52" s="326">
        <v>850000</v>
      </c>
      <c r="E52" s="574" t="s">
        <v>4756</v>
      </c>
      <c r="F52" s="575"/>
      <c r="G52" s="575"/>
      <c r="H52" s="359" t="s">
        <v>4754</v>
      </c>
    </row>
    <row r="53" spans="1:8" ht="24.75" customHeight="1">
      <c r="A53" s="323"/>
      <c r="B53" s="325"/>
      <c r="C53" s="325"/>
      <c r="D53" s="326"/>
      <c r="E53" s="575"/>
      <c r="F53" s="575"/>
      <c r="G53" s="575"/>
      <c r="H53" s="359"/>
    </row>
    <row r="54" spans="1:8">
      <c r="A54" s="322">
        <v>45706</v>
      </c>
      <c r="B54" s="325" t="s">
        <v>4752</v>
      </c>
      <c r="C54" s="325"/>
      <c r="D54" s="326">
        <v>130000</v>
      </c>
      <c r="E54" s="337" t="s">
        <v>4757</v>
      </c>
      <c r="F54" s="326"/>
      <c r="G54" s="326"/>
      <c r="H54" s="359" t="s">
        <v>4755</v>
      </c>
    </row>
    <row r="55" spans="1:8">
      <c r="A55" s="323"/>
      <c r="B55" s="325"/>
      <c r="C55" s="325"/>
      <c r="D55" s="326"/>
      <c r="E55" s="326"/>
      <c r="F55" s="326"/>
      <c r="G55" s="326"/>
      <c r="H55" s="359"/>
    </row>
    <row r="56" spans="1:8">
      <c r="A56" s="322">
        <v>45708</v>
      </c>
      <c r="B56" s="325" t="s">
        <v>4760</v>
      </c>
      <c r="C56" s="325"/>
      <c r="D56" s="326">
        <v>430000</v>
      </c>
      <c r="E56" s="575" t="s">
        <v>4758</v>
      </c>
      <c r="F56" s="575"/>
      <c r="G56" s="575"/>
      <c r="H56" s="333" t="s">
        <v>4759</v>
      </c>
    </row>
    <row r="57" spans="1:8">
      <c r="A57" s="323"/>
      <c r="B57" s="325"/>
      <c r="C57" s="325"/>
      <c r="D57" s="326"/>
      <c r="E57" s="575"/>
      <c r="F57" s="575"/>
      <c r="G57" s="575"/>
      <c r="H57" s="333"/>
    </row>
    <row r="58" spans="1:8">
      <c r="A58" s="322">
        <v>45709</v>
      </c>
      <c r="B58" s="325" t="s">
        <v>4762</v>
      </c>
      <c r="C58" s="325"/>
      <c r="D58" s="326">
        <v>1610000</v>
      </c>
      <c r="E58" s="326" t="s">
        <v>4763</v>
      </c>
      <c r="F58" s="326"/>
      <c r="G58" s="326"/>
      <c r="H58" s="359" t="s">
        <v>4761</v>
      </c>
    </row>
    <row r="59" spans="1:8">
      <c r="A59" s="323"/>
      <c r="B59" s="325"/>
      <c r="C59" s="325"/>
      <c r="D59" s="326"/>
      <c r="E59" s="326"/>
      <c r="F59" s="326"/>
      <c r="G59" s="326"/>
      <c r="H59" s="359"/>
    </row>
    <row r="60" spans="1:8">
      <c r="A60" s="322">
        <v>45709</v>
      </c>
      <c r="B60" s="325" t="s">
        <v>4766</v>
      </c>
      <c r="C60" s="325"/>
      <c r="D60" s="326">
        <v>132000</v>
      </c>
      <c r="E60" s="326" t="s">
        <v>4767</v>
      </c>
      <c r="F60" s="326"/>
      <c r="G60" s="326"/>
      <c r="H60" s="333" t="s">
        <v>4761</v>
      </c>
    </row>
    <row r="61" spans="1:8">
      <c r="A61" s="323"/>
      <c r="B61" s="325"/>
      <c r="C61" s="325"/>
      <c r="D61" s="326"/>
      <c r="E61" s="326"/>
      <c r="F61" s="326"/>
      <c r="G61" s="326"/>
      <c r="H61" s="333"/>
    </row>
    <row r="62" spans="1:8">
      <c r="A62" s="322">
        <v>45709</v>
      </c>
      <c r="B62" s="325" t="s">
        <v>4764</v>
      </c>
      <c r="C62" s="325"/>
      <c r="D62" s="326">
        <v>200000</v>
      </c>
      <c r="E62" s="575" t="s">
        <v>4768</v>
      </c>
      <c r="F62" s="575"/>
      <c r="G62" s="575"/>
      <c r="H62" s="359" t="s">
        <v>4755</v>
      </c>
    </row>
    <row r="63" spans="1:8">
      <c r="A63" s="323"/>
      <c r="B63" s="325"/>
      <c r="C63" s="325"/>
      <c r="D63" s="326"/>
      <c r="E63" s="575"/>
      <c r="F63" s="575"/>
      <c r="G63" s="575"/>
      <c r="H63" s="359"/>
    </row>
    <row r="64" spans="1:8">
      <c r="A64" s="322">
        <v>45709</v>
      </c>
      <c r="B64" s="325" t="s">
        <v>4765</v>
      </c>
      <c r="C64" s="325"/>
      <c r="D64" s="326">
        <v>81000</v>
      </c>
      <c r="E64" s="914" t="s">
        <v>4767</v>
      </c>
      <c r="F64" s="914"/>
      <c r="G64" s="914"/>
      <c r="H64" s="333" t="s">
        <v>4759</v>
      </c>
    </row>
    <row r="65" spans="1:8">
      <c r="A65" s="323"/>
      <c r="B65" s="325"/>
      <c r="C65" s="325"/>
      <c r="D65" s="326"/>
      <c r="E65" s="914"/>
      <c r="F65" s="914"/>
      <c r="G65" s="914"/>
      <c r="H65" s="333"/>
    </row>
    <row r="66" spans="1:8">
      <c r="A66" s="322"/>
      <c r="B66" s="884" t="s">
        <v>4771</v>
      </c>
      <c r="C66" s="671"/>
      <c r="D66" s="671"/>
      <c r="E66" s="671"/>
      <c r="F66" s="671"/>
      <c r="G66" s="671"/>
      <c r="H66" s="672"/>
    </row>
    <row r="67" spans="1:8" ht="36.75" customHeight="1">
      <c r="A67" s="323"/>
      <c r="B67" s="673"/>
      <c r="C67" s="674"/>
      <c r="D67" s="674"/>
      <c r="E67" s="674"/>
      <c r="F67" s="674"/>
      <c r="G67" s="674"/>
      <c r="H67" s="675"/>
    </row>
    <row r="68" spans="1:8">
      <c r="A68" s="322">
        <v>45712</v>
      </c>
      <c r="B68" s="325" t="s">
        <v>4772</v>
      </c>
      <c r="C68" s="325"/>
      <c r="D68" s="326">
        <v>480000</v>
      </c>
      <c r="E68" s="575" t="s">
        <v>4779</v>
      </c>
      <c r="F68" s="575"/>
      <c r="G68" s="575"/>
      <c r="H68" s="359" t="s">
        <v>4786</v>
      </c>
    </row>
    <row r="69" spans="1:8">
      <c r="A69" s="323"/>
      <c r="B69" s="325"/>
      <c r="C69" s="325"/>
      <c r="D69" s="326"/>
      <c r="E69" s="575"/>
      <c r="F69" s="575"/>
      <c r="G69" s="575"/>
      <c r="H69" s="359"/>
    </row>
    <row r="70" spans="1:8">
      <c r="A70" s="322">
        <v>45712</v>
      </c>
      <c r="B70" s="325"/>
      <c r="C70" s="325"/>
      <c r="D70" s="326">
        <v>1300000</v>
      </c>
      <c r="E70" s="575" t="s">
        <v>4780</v>
      </c>
      <c r="F70" s="575"/>
      <c r="G70" s="575"/>
      <c r="H70" s="359" t="s">
        <v>4787</v>
      </c>
    </row>
    <row r="71" spans="1:8">
      <c r="A71" s="323"/>
      <c r="B71" s="325"/>
      <c r="C71" s="325"/>
      <c r="D71" s="326"/>
      <c r="E71" s="575"/>
      <c r="F71" s="575"/>
      <c r="G71" s="575"/>
      <c r="H71" s="359"/>
    </row>
    <row r="72" spans="1:8">
      <c r="A72" s="322">
        <v>45713</v>
      </c>
      <c r="B72" s="325" t="s">
        <v>4774</v>
      </c>
      <c r="C72" s="325"/>
      <c r="D72" s="326">
        <v>1060000</v>
      </c>
      <c r="E72" s="575" t="s">
        <v>4779</v>
      </c>
      <c r="F72" s="575"/>
      <c r="G72" s="575"/>
      <c r="H72" s="359" t="s">
        <v>4786</v>
      </c>
    </row>
    <row r="73" spans="1:8">
      <c r="A73" s="323"/>
      <c r="B73" s="325"/>
      <c r="C73" s="325"/>
      <c r="D73" s="326"/>
      <c r="E73" s="575"/>
      <c r="F73" s="575"/>
      <c r="G73" s="575"/>
      <c r="H73" s="359"/>
    </row>
    <row r="74" spans="1:8">
      <c r="A74" s="322">
        <v>45713</v>
      </c>
      <c r="B74" s="325" t="s">
        <v>4789</v>
      </c>
      <c r="C74" s="325"/>
      <c r="D74" s="326">
        <v>710000</v>
      </c>
      <c r="E74" s="575" t="s">
        <v>4780</v>
      </c>
      <c r="F74" s="575"/>
      <c r="G74" s="575"/>
      <c r="H74" s="359" t="s">
        <v>4788</v>
      </c>
    </row>
    <row r="75" spans="1:8">
      <c r="A75" s="323"/>
      <c r="B75" s="325"/>
      <c r="C75" s="325"/>
      <c r="D75" s="326"/>
      <c r="E75" s="575"/>
      <c r="F75" s="575"/>
      <c r="G75" s="575"/>
      <c r="H75" s="359"/>
    </row>
    <row r="76" spans="1:8" ht="17.25" customHeight="1">
      <c r="A76" s="322">
        <v>45713</v>
      </c>
      <c r="B76" s="325" t="s">
        <v>4775</v>
      </c>
      <c r="C76" s="325"/>
      <c r="D76" s="326">
        <v>200000</v>
      </c>
      <c r="E76" s="575" t="s">
        <v>4779</v>
      </c>
      <c r="F76" s="575"/>
      <c r="G76" s="575"/>
      <c r="H76" s="333" t="s">
        <v>4786</v>
      </c>
    </row>
    <row r="77" spans="1:8" ht="17.25" customHeight="1">
      <c r="A77" s="323"/>
      <c r="B77" s="325"/>
      <c r="C77" s="325"/>
      <c r="D77" s="326"/>
      <c r="E77" s="575"/>
      <c r="F77" s="575"/>
      <c r="G77" s="575"/>
      <c r="H77" s="333"/>
    </row>
    <row r="78" spans="1:8" ht="17.25" customHeight="1">
      <c r="A78" s="322">
        <v>45713</v>
      </c>
      <c r="B78" s="325" t="s">
        <v>4776</v>
      </c>
      <c r="C78" s="325"/>
      <c r="D78" s="326">
        <v>120000</v>
      </c>
      <c r="E78" s="326" t="s">
        <v>4781</v>
      </c>
      <c r="F78" s="326"/>
      <c r="G78" s="326"/>
      <c r="H78" s="359" t="s">
        <v>4790</v>
      </c>
    </row>
    <row r="79" spans="1:8" ht="17.25" customHeight="1">
      <c r="A79" s="323"/>
      <c r="B79" s="325"/>
      <c r="C79" s="325"/>
      <c r="D79" s="326"/>
      <c r="E79" s="326"/>
      <c r="F79" s="326"/>
      <c r="G79" s="326"/>
      <c r="H79" s="359"/>
    </row>
    <row r="80" spans="1:8">
      <c r="A80" s="322">
        <v>45713</v>
      </c>
      <c r="B80" s="325" t="s">
        <v>4773</v>
      </c>
      <c r="C80" s="325"/>
      <c r="D80" s="326">
        <v>390000</v>
      </c>
      <c r="E80" s="575" t="s">
        <v>4779</v>
      </c>
      <c r="F80" s="575"/>
      <c r="G80" s="575"/>
      <c r="H80" s="359" t="s">
        <v>4791</v>
      </c>
    </row>
    <row r="81" spans="1:8">
      <c r="A81" s="323"/>
      <c r="B81" s="325"/>
      <c r="C81" s="325"/>
      <c r="D81" s="326"/>
      <c r="E81" s="575"/>
      <c r="F81" s="575"/>
      <c r="G81" s="575"/>
      <c r="H81" s="359"/>
    </row>
    <row r="82" spans="1:8" ht="17.25" customHeight="1">
      <c r="A82" s="322">
        <v>45714</v>
      </c>
      <c r="B82" s="325" t="s">
        <v>4792</v>
      </c>
      <c r="C82" s="325"/>
      <c r="D82" s="326">
        <v>380000</v>
      </c>
      <c r="E82" s="326" t="s">
        <v>4783</v>
      </c>
      <c r="F82" s="326"/>
      <c r="G82" s="326"/>
      <c r="H82" s="359" t="s">
        <v>4791</v>
      </c>
    </row>
    <row r="83" spans="1:8" ht="17.25" customHeight="1">
      <c r="A83" s="323"/>
      <c r="B83" s="325"/>
      <c r="C83" s="325"/>
      <c r="D83" s="326"/>
      <c r="E83" s="326"/>
      <c r="F83" s="326"/>
      <c r="G83" s="326"/>
      <c r="H83" s="359"/>
    </row>
    <row r="84" spans="1:8">
      <c r="A84" s="322">
        <v>45714</v>
      </c>
      <c r="B84" s="325"/>
      <c r="C84" s="325"/>
      <c r="D84" s="326">
        <v>300000</v>
      </c>
      <c r="E84" s="326" t="s">
        <v>4782</v>
      </c>
      <c r="F84" s="326"/>
      <c r="G84" s="326"/>
      <c r="H84" s="359"/>
    </row>
    <row r="85" spans="1:8">
      <c r="A85" s="323"/>
      <c r="B85" s="325"/>
      <c r="C85" s="325"/>
      <c r="D85" s="326"/>
      <c r="E85" s="326"/>
      <c r="F85" s="326"/>
      <c r="G85" s="326"/>
      <c r="H85" s="359"/>
    </row>
    <row r="86" spans="1:8">
      <c r="A86" s="313">
        <v>45714</v>
      </c>
      <c r="B86" s="325"/>
      <c r="C86" s="325"/>
      <c r="D86" s="326">
        <v>150000</v>
      </c>
      <c r="E86" s="326" t="s">
        <v>4784</v>
      </c>
      <c r="F86" s="326"/>
      <c r="G86" s="326"/>
      <c r="H86" s="359"/>
    </row>
    <row r="87" spans="1:8">
      <c r="A87" s="305"/>
      <c r="B87" s="325"/>
      <c r="C87" s="325"/>
      <c r="D87" s="326"/>
      <c r="E87" s="326"/>
      <c r="F87" s="326"/>
      <c r="G87" s="326"/>
      <c r="H87" s="359"/>
    </row>
    <row r="88" spans="1:8">
      <c r="A88" s="313">
        <v>45715</v>
      </c>
      <c r="B88" s="325"/>
      <c r="C88" s="325"/>
      <c r="D88" s="326">
        <v>200000</v>
      </c>
      <c r="E88" s="326"/>
      <c r="F88" s="326"/>
      <c r="G88" s="326"/>
      <c r="H88" s="359"/>
    </row>
    <row r="89" spans="1:8">
      <c r="A89" s="305"/>
      <c r="B89" s="325"/>
      <c r="C89" s="325"/>
      <c r="D89" s="326"/>
      <c r="E89" s="326"/>
      <c r="F89" s="326"/>
      <c r="G89" s="326"/>
      <c r="H89" s="359"/>
    </row>
    <row r="90" spans="1:8">
      <c r="A90" s="313">
        <v>1</v>
      </c>
      <c r="B90" s="325"/>
      <c r="C90" s="325"/>
      <c r="D90" s="326">
        <v>320000</v>
      </c>
      <c r="E90" s="326"/>
      <c r="F90" s="326"/>
      <c r="G90" s="326"/>
      <c r="H90" s="359"/>
    </row>
    <row r="91" spans="1:8">
      <c r="A91" s="305"/>
      <c r="B91" s="325"/>
      <c r="C91" s="325"/>
      <c r="D91" s="326"/>
      <c r="E91" s="326"/>
      <c r="F91" s="326"/>
      <c r="G91" s="326"/>
      <c r="H91" s="359"/>
    </row>
    <row r="92" spans="1:8">
      <c r="A92" s="313">
        <v>1</v>
      </c>
      <c r="B92" s="325"/>
      <c r="C92" s="325"/>
      <c r="D92" s="326">
        <v>250000</v>
      </c>
      <c r="E92" s="326"/>
      <c r="F92" s="326"/>
      <c r="G92" s="326"/>
      <c r="H92" s="359"/>
    </row>
    <row r="93" spans="1:8">
      <c r="A93" s="305"/>
      <c r="B93" s="325"/>
      <c r="C93" s="325"/>
      <c r="D93" s="326"/>
      <c r="E93" s="326"/>
      <c r="F93" s="326"/>
      <c r="G93" s="326"/>
      <c r="H93" s="359"/>
    </row>
    <row r="94" spans="1:8">
      <c r="A94" s="313"/>
      <c r="B94" s="325"/>
      <c r="C94" s="325"/>
      <c r="D94" s="343"/>
      <c r="E94" s="326"/>
      <c r="F94" s="326"/>
      <c r="G94" s="326"/>
      <c r="H94" s="359"/>
    </row>
    <row r="95" spans="1:8">
      <c r="A95" s="305"/>
      <c r="B95" s="325"/>
      <c r="C95" s="325"/>
      <c r="D95" s="344"/>
      <c r="E95" s="326"/>
      <c r="F95" s="326"/>
      <c r="G95" s="326"/>
      <c r="H95" s="359"/>
    </row>
    <row r="96" spans="1:8">
      <c r="A96" s="313"/>
      <c r="B96" s="325"/>
      <c r="C96" s="325"/>
      <c r="D96" s="326"/>
      <c r="E96" s="326"/>
      <c r="F96" s="326"/>
      <c r="G96" s="326"/>
      <c r="H96" s="359"/>
    </row>
    <row r="97" spans="1:8">
      <c r="A97" s="305"/>
      <c r="B97" s="325"/>
      <c r="C97" s="325"/>
      <c r="D97" s="326"/>
      <c r="E97" s="326"/>
      <c r="F97" s="326"/>
      <c r="G97" s="326"/>
      <c r="H97" s="359"/>
    </row>
    <row r="98" spans="1:8">
      <c r="A98" s="313"/>
      <c r="B98" s="325"/>
      <c r="C98" s="325"/>
      <c r="D98" s="326"/>
      <c r="E98" s="326"/>
      <c r="F98" s="326"/>
      <c r="G98" s="326"/>
      <c r="H98" s="359"/>
    </row>
    <row r="99" spans="1:8">
      <c r="A99" s="305"/>
      <c r="B99" s="325"/>
      <c r="C99" s="325"/>
      <c r="D99" s="326"/>
      <c r="E99" s="326"/>
      <c r="F99" s="326"/>
      <c r="G99" s="326"/>
      <c r="H99" s="359"/>
    </row>
    <row r="100" spans="1:8">
      <c r="A100" s="313"/>
      <c r="B100" s="884"/>
      <c r="C100" s="671"/>
      <c r="D100" s="671"/>
      <c r="E100" s="671"/>
      <c r="F100" s="671"/>
      <c r="G100" s="671"/>
      <c r="H100" s="672"/>
    </row>
    <row r="101" spans="1:8" ht="59.25" customHeight="1">
      <c r="A101" s="305"/>
      <c r="B101" s="673"/>
      <c r="C101" s="674"/>
      <c r="D101" s="674"/>
      <c r="E101" s="674"/>
      <c r="F101" s="674"/>
      <c r="G101" s="674"/>
      <c r="H101" s="675"/>
    </row>
    <row r="102" spans="1:8">
      <c r="A102" s="313"/>
      <c r="B102" s="325"/>
      <c r="C102" s="325"/>
      <c r="D102" s="326"/>
      <c r="E102" s="326"/>
      <c r="F102" s="326"/>
      <c r="G102" s="326"/>
      <c r="H102" s="359"/>
    </row>
    <row r="103" spans="1:8">
      <c r="A103" s="305"/>
      <c r="B103" s="325"/>
      <c r="C103" s="325"/>
      <c r="D103" s="326"/>
      <c r="E103" s="326"/>
      <c r="F103" s="326"/>
      <c r="G103" s="326"/>
      <c r="H103" s="359"/>
    </row>
    <row r="104" spans="1:8">
      <c r="A104" s="313"/>
      <c r="B104" s="325"/>
      <c r="C104" s="325"/>
      <c r="D104" s="326"/>
      <c r="E104" s="326"/>
      <c r="F104" s="326"/>
      <c r="G104" s="326"/>
      <c r="H104" s="359"/>
    </row>
    <row r="105" spans="1:8">
      <c r="A105" s="305"/>
      <c r="B105" s="325"/>
      <c r="C105" s="325"/>
      <c r="D105" s="326"/>
      <c r="E105" s="326"/>
      <c r="F105" s="326"/>
      <c r="G105" s="326"/>
      <c r="H105" s="359"/>
    </row>
    <row r="106" spans="1:8">
      <c r="A106" s="305"/>
      <c r="B106" s="325"/>
      <c r="C106" s="325"/>
      <c r="D106" s="326"/>
      <c r="E106" s="326"/>
      <c r="F106" s="326"/>
      <c r="G106" s="326"/>
      <c r="H106" s="333"/>
    </row>
    <row r="107" spans="1:8">
      <c r="A107" s="305"/>
      <c r="B107" s="325"/>
      <c r="C107" s="325"/>
      <c r="D107" s="326"/>
      <c r="E107" s="326"/>
      <c r="F107" s="326"/>
      <c r="G107" s="326"/>
      <c r="H107" s="333"/>
    </row>
    <row r="108" spans="1:8">
      <c r="A108" s="313"/>
      <c r="B108" s="325"/>
      <c r="C108" s="325"/>
      <c r="D108" s="326"/>
      <c r="E108" s="326"/>
      <c r="F108" s="326"/>
      <c r="G108" s="326"/>
      <c r="H108" s="333"/>
    </row>
    <row r="109" spans="1:8">
      <c r="A109" s="305"/>
      <c r="B109" s="325"/>
      <c r="C109" s="325"/>
      <c r="D109" s="326"/>
      <c r="E109" s="326"/>
      <c r="F109" s="326"/>
      <c r="G109" s="326"/>
      <c r="H109" s="333"/>
    </row>
    <row r="110" spans="1:8">
      <c r="A110" s="305"/>
      <c r="B110" s="325"/>
      <c r="C110" s="325"/>
      <c r="D110" s="326"/>
      <c r="E110" s="326"/>
      <c r="F110" s="326"/>
      <c r="G110" s="326"/>
      <c r="H110" s="333"/>
    </row>
    <row r="111" spans="1:8">
      <c r="A111" s="305"/>
      <c r="B111" s="325"/>
      <c r="C111" s="325"/>
      <c r="D111" s="326"/>
      <c r="E111" s="326"/>
      <c r="F111" s="326"/>
      <c r="G111" s="326"/>
      <c r="H111" s="333"/>
    </row>
    <row r="112" spans="1:8">
      <c r="A112" s="305"/>
      <c r="B112" s="325"/>
      <c r="C112" s="325"/>
      <c r="D112" s="326"/>
      <c r="E112" s="326"/>
      <c r="F112" s="326"/>
      <c r="G112" s="326"/>
      <c r="H112" s="333"/>
    </row>
    <row r="113" spans="1:8">
      <c r="A113" s="305"/>
      <c r="B113" s="325"/>
      <c r="C113" s="325"/>
      <c r="D113" s="326"/>
      <c r="E113" s="326"/>
      <c r="F113" s="326"/>
      <c r="G113" s="326"/>
      <c r="H113" s="333"/>
    </row>
    <row r="114" spans="1:8">
      <c r="A114" s="305"/>
      <c r="B114" s="325"/>
      <c r="C114" s="325"/>
      <c r="D114" s="326"/>
      <c r="E114" s="326"/>
      <c r="F114" s="326"/>
      <c r="G114" s="326"/>
      <c r="H114" s="333"/>
    </row>
    <row r="115" spans="1:8">
      <c r="A115" s="305"/>
      <c r="B115" s="325"/>
      <c r="C115" s="325"/>
      <c r="D115" s="326"/>
      <c r="E115" s="326"/>
      <c r="F115" s="326"/>
      <c r="G115" s="326"/>
      <c r="H115" s="333"/>
    </row>
  </sheetData>
  <mergeCells count="330">
    <mergeCell ref="A114:A115"/>
    <mergeCell ref="B114:B115"/>
    <mergeCell ref="C114:C115"/>
    <mergeCell ref="D114:D115"/>
    <mergeCell ref="E114:G115"/>
    <mergeCell ref="H114:H115"/>
    <mergeCell ref="A112:A113"/>
    <mergeCell ref="B112:B113"/>
    <mergeCell ref="C112:C113"/>
    <mergeCell ref="D112:D113"/>
    <mergeCell ref="E112:G113"/>
    <mergeCell ref="H112:H113"/>
    <mergeCell ref="A110:A111"/>
    <mergeCell ref="B110:B111"/>
    <mergeCell ref="C110:C111"/>
    <mergeCell ref="D110:D111"/>
    <mergeCell ref="E110:G111"/>
    <mergeCell ref="H110:H111"/>
    <mergeCell ref="A108:A109"/>
    <mergeCell ref="B108:B109"/>
    <mergeCell ref="C108:C109"/>
    <mergeCell ref="D108:D109"/>
    <mergeCell ref="E108:G109"/>
    <mergeCell ref="H108:H109"/>
    <mergeCell ref="A106:A107"/>
    <mergeCell ref="B106:B107"/>
    <mergeCell ref="C106:C107"/>
    <mergeCell ref="D106:D107"/>
    <mergeCell ref="E106:G107"/>
    <mergeCell ref="H106:H107"/>
    <mergeCell ref="A104:A105"/>
    <mergeCell ref="B104:B105"/>
    <mergeCell ref="C104:C105"/>
    <mergeCell ref="D104:D105"/>
    <mergeCell ref="E104:G105"/>
    <mergeCell ref="H104:H105"/>
    <mergeCell ref="A100:A101"/>
    <mergeCell ref="B100:H101"/>
    <mergeCell ref="A102:A103"/>
    <mergeCell ref="B102:B103"/>
    <mergeCell ref="C102:C103"/>
    <mergeCell ref="D102:D103"/>
    <mergeCell ref="E102:G103"/>
    <mergeCell ref="H102:H103"/>
    <mergeCell ref="A98:A99"/>
    <mergeCell ref="B98:B99"/>
    <mergeCell ref="C98:C99"/>
    <mergeCell ref="D98:D99"/>
    <mergeCell ref="E98:G99"/>
    <mergeCell ref="H98:H99"/>
    <mergeCell ref="A96:A97"/>
    <mergeCell ref="B96:B97"/>
    <mergeCell ref="C96:C97"/>
    <mergeCell ref="D96:D97"/>
    <mergeCell ref="E96:G97"/>
    <mergeCell ref="H96:H97"/>
    <mergeCell ref="A94:A95"/>
    <mergeCell ref="B94:B95"/>
    <mergeCell ref="C94:C95"/>
    <mergeCell ref="D94:D95"/>
    <mergeCell ref="E94:G95"/>
    <mergeCell ref="H94:H95"/>
    <mergeCell ref="A92:A93"/>
    <mergeCell ref="B92:B93"/>
    <mergeCell ref="C92:C93"/>
    <mergeCell ref="D92:D93"/>
    <mergeCell ref="E92:G93"/>
    <mergeCell ref="H92:H93"/>
    <mergeCell ref="A90:A91"/>
    <mergeCell ref="B90:B91"/>
    <mergeCell ref="C90:C91"/>
    <mergeCell ref="D90:D91"/>
    <mergeCell ref="E90:G91"/>
    <mergeCell ref="H90:H91"/>
    <mergeCell ref="A88:A89"/>
    <mergeCell ref="B88:B89"/>
    <mergeCell ref="C88:C89"/>
    <mergeCell ref="D88:D89"/>
    <mergeCell ref="E88:G89"/>
    <mergeCell ref="H88:H89"/>
    <mergeCell ref="A86:A87"/>
    <mergeCell ref="B86:B87"/>
    <mergeCell ref="C86:C87"/>
    <mergeCell ref="D86:D87"/>
    <mergeCell ref="E86:G87"/>
    <mergeCell ref="H86:H87"/>
    <mergeCell ref="A84:A85"/>
    <mergeCell ref="B84:B85"/>
    <mergeCell ref="C84:C85"/>
    <mergeCell ref="D84:D85"/>
    <mergeCell ref="E84:G85"/>
    <mergeCell ref="H84:H85"/>
    <mergeCell ref="A82:A83"/>
    <mergeCell ref="B82:B83"/>
    <mergeCell ref="C82:C83"/>
    <mergeCell ref="D82:D83"/>
    <mergeCell ref="E82:G83"/>
    <mergeCell ref="H82:H83"/>
    <mergeCell ref="A80:A81"/>
    <mergeCell ref="B80:B81"/>
    <mergeCell ref="C80:C81"/>
    <mergeCell ref="D80:D81"/>
    <mergeCell ref="E80:G81"/>
    <mergeCell ref="H80:H81"/>
    <mergeCell ref="A78:A79"/>
    <mergeCell ref="B78:B79"/>
    <mergeCell ref="C78:C79"/>
    <mergeCell ref="D78:D79"/>
    <mergeCell ref="E78:G79"/>
    <mergeCell ref="H78:H79"/>
    <mergeCell ref="A76:A77"/>
    <mergeCell ref="B76:B77"/>
    <mergeCell ref="C76:C77"/>
    <mergeCell ref="D76:D77"/>
    <mergeCell ref="E76:G77"/>
    <mergeCell ref="H76:H77"/>
    <mergeCell ref="A74:A75"/>
    <mergeCell ref="B74:B75"/>
    <mergeCell ref="C74:C75"/>
    <mergeCell ref="D74:D75"/>
    <mergeCell ref="E74:G75"/>
    <mergeCell ref="H74:H75"/>
    <mergeCell ref="A68:A69"/>
    <mergeCell ref="B68:B69"/>
    <mergeCell ref="C68:C69"/>
    <mergeCell ref="D68:D69"/>
    <mergeCell ref="E68:G69"/>
    <mergeCell ref="H68:H69"/>
    <mergeCell ref="A66:A67"/>
    <mergeCell ref="B66:H67"/>
    <mergeCell ref="A72:A73"/>
    <mergeCell ref="B72:B73"/>
    <mergeCell ref="C72:C73"/>
    <mergeCell ref="D72:D73"/>
    <mergeCell ref="E72:G73"/>
    <mergeCell ref="H72:H73"/>
    <mergeCell ref="A70:A71"/>
    <mergeCell ref="B70:B71"/>
    <mergeCell ref="C70:C71"/>
    <mergeCell ref="D70:D71"/>
    <mergeCell ref="E70:G71"/>
    <mergeCell ref="H70:H71"/>
    <mergeCell ref="A64:A65"/>
    <mergeCell ref="B64:B65"/>
    <mergeCell ref="C64:C65"/>
    <mergeCell ref="D64:D65"/>
    <mergeCell ref="E64:G65"/>
    <mergeCell ref="H64:H65"/>
    <mergeCell ref="A62:A63"/>
    <mergeCell ref="B62:B63"/>
    <mergeCell ref="C62:C63"/>
    <mergeCell ref="D62:D63"/>
    <mergeCell ref="E62:G63"/>
    <mergeCell ref="H62:H63"/>
    <mergeCell ref="A60:A61"/>
    <mergeCell ref="B60:B61"/>
    <mergeCell ref="C60:C61"/>
    <mergeCell ref="D60:D61"/>
    <mergeCell ref="E60:G61"/>
    <mergeCell ref="H60:H61"/>
    <mergeCell ref="A58:A59"/>
    <mergeCell ref="B58:B59"/>
    <mergeCell ref="C58:C59"/>
    <mergeCell ref="D58:D59"/>
    <mergeCell ref="E58:G59"/>
    <mergeCell ref="H58:H59"/>
    <mergeCell ref="A56:A57"/>
    <mergeCell ref="B56:B57"/>
    <mergeCell ref="C56:C57"/>
    <mergeCell ref="D56:D57"/>
    <mergeCell ref="E56:G57"/>
    <mergeCell ref="H56:H57"/>
    <mergeCell ref="A54:A55"/>
    <mergeCell ref="B54:B55"/>
    <mergeCell ref="C54:C55"/>
    <mergeCell ref="D54:D55"/>
    <mergeCell ref="E54:G55"/>
    <mergeCell ref="H54:H55"/>
    <mergeCell ref="H46:H47"/>
    <mergeCell ref="A48:A49"/>
    <mergeCell ref="B48:B49"/>
    <mergeCell ref="C48:C49"/>
    <mergeCell ref="D48:D49"/>
    <mergeCell ref="E48:G49"/>
    <mergeCell ref="H48:H49"/>
    <mergeCell ref="A52:A53"/>
    <mergeCell ref="B52:B53"/>
    <mergeCell ref="C52:C53"/>
    <mergeCell ref="D52:D53"/>
    <mergeCell ref="E52:G53"/>
    <mergeCell ref="H52:H53"/>
    <mergeCell ref="A50:A51"/>
    <mergeCell ref="B50:H51"/>
    <mergeCell ref="E45:G45"/>
    <mergeCell ref="A46:A47"/>
    <mergeCell ref="B46:B47"/>
    <mergeCell ref="C46:C47"/>
    <mergeCell ref="D46:D47"/>
    <mergeCell ref="E46:G47"/>
    <mergeCell ref="A43:A44"/>
    <mergeCell ref="B43:B44"/>
    <mergeCell ref="C43:C44"/>
    <mergeCell ref="D43:D44"/>
    <mergeCell ref="E43:G44"/>
    <mergeCell ref="H43:H44"/>
    <mergeCell ref="A41:A42"/>
    <mergeCell ref="B41:B42"/>
    <mergeCell ref="C41:C42"/>
    <mergeCell ref="D41:D42"/>
    <mergeCell ref="E41:G42"/>
    <mergeCell ref="H41:H42"/>
    <mergeCell ref="A39:A40"/>
    <mergeCell ref="B39:B40"/>
    <mergeCell ref="C39:C40"/>
    <mergeCell ref="D39:D40"/>
    <mergeCell ref="E39:G40"/>
    <mergeCell ref="H39:H40"/>
    <mergeCell ref="A37:A38"/>
    <mergeCell ref="B37:B38"/>
    <mergeCell ref="C37:C38"/>
    <mergeCell ref="D37:D38"/>
    <mergeCell ref="E37:G38"/>
    <mergeCell ref="H37:H38"/>
    <mergeCell ref="A35:A36"/>
    <mergeCell ref="B35:B36"/>
    <mergeCell ref="C35:C36"/>
    <mergeCell ref="D35:D36"/>
    <mergeCell ref="E35:G36"/>
    <mergeCell ref="H35:H36"/>
    <mergeCell ref="A33:A34"/>
    <mergeCell ref="B33:B34"/>
    <mergeCell ref="C33:C34"/>
    <mergeCell ref="D33:D34"/>
    <mergeCell ref="E33:G34"/>
    <mergeCell ref="H33:H34"/>
    <mergeCell ref="A31:A32"/>
    <mergeCell ref="B31:B32"/>
    <mergeCell ref="C31:C32"/>
    <mergeCell ref="D31:D32"/>
    <mergeCell ref="E31:G32"/>
    <mergeCell ref="H31:H32"/>
    <mergeCell ref="A29:A30"/>
    <mergeCell ref="B29:B30"/>
    <mergeCell ref="C29:C30"/>
    <mergeCell ref="D29:D30"/>
    <mergeCell ref="E29:G30"/>
    <mergeCell ref="H29:H30"/>
    <mergeCell ref="A27:A28"/>
    <mergeCell ref="B27:B28"/>
    <mergeCell ref="C27:C28"/>
    <mergeCell ref="D27:D28"/>
    <mergeCell ref="E27:G28"/>
    <mergeCell ref="H27:H28"/>
    <mergeCell ref="A25:A26"/>
    <mergeCell ref="B25:B26"/>
    <mergeCell ref="C25:C26"/>
    <mergeCell ref="D25:D26"/>
    <mergeCell ref="E25:G26"/>
    <mergeCell ref="H25:H26"/>
    <mergeCell ref="A23:A24"/>
    <mergeCell ref="B23:B24"/>
    <mergeCell ref="C23:C24"/>
    <mergeCell ref="D23:D24"/>
    <mergeCell ref="E23:G24"/>
    <mergeCell ref="H23:H24"/>
    <mergeCell ref="A17:A18"/>
    <mergeCell ref="B17:B18"/>
    <mergeCell ref="C17:C18"/>
    <mergeCell ref="D17:D18"/>
    <mergeCell ref="E17:G18"/>
    <mergeCell ref="H17:H18"/>
    <mergeCell ref="A21:A22"/>
    <mergeCell ref="A19:A20"/>
    <mergeCell ref="B19:B20"/>
    <mergeCell ref="C19:C20"/>
    <mergeCell ref="D19:D20"/>
    <mergeCell ref="E19:G20"/>
    <mergeCell ref="H19:H20"/>
    <mergeCell ref="B21:H22"/>
    <mergeCell ref="H13:H14"/>
    <mergeCell ref="A15:A16"/>
    <mergeCell ref="B15:B16"/>
    <mergeCell ref="C15:C16"/>
    <mergeCell ref="D15:D16"/>
    <mergeCell ref="E15:G16"/>
    <mergeCell ref="H15:H16"/>
    <mergeCell ref="E12:G12"/>
    <mergeCell ref="A13:A14"/>
    <mergeCell ref="B13:B14"/>
    <mergeCell ref="C13:C14"/>
    <mergeCell ref="D13:D14"/>
    <mergeCell ref="E13:G14"/>
    <mergeCell ref="A10:A11"/>
    <mergeCell ref="B10:B11"/>
    <mergeCell ref="C10:C11"/>
    <mergeCell ref="D10:D11"/>
    <mergeCell ref="E10:G11"/>
    <mergeCell ref="H10:H11"/>
    <mergeCell ref="A8:A9"/>
    <mergeCell ref="B8:B9"/>
    <mergeCell ref="C8:C9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A3:H3"/>
    <mergeCell ref="A4:A5"/>
    <mergeCell ref="B4:B5"/>
    <mergeCell ref="C4:C5"/>
    <mergeCell ref="D4:D5"/>
    <mergeCell ref="E4:G5"/>
    <mergeCell ref="H4:H5"/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</mergeCells>
  <phoneticPr fontId="1" type="noConversion"/>
  <pageMargins left="0" right="0" top="0" bottom="0" header="0" footer="0"/>
  <pageSetup paperSize="9" scale="36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07"/>
  <sheetViews>
    <sheetView showGridLines="0" zoomScale="115" zoomScaleNormal="115" workbookViewId="0">
      <pane xSplit="8" ySplit="2" topLeftCell="I81" activePane="bottomRight" state="frozen"/>
      <selection pane="topRight" activeCell="I1" sqref="I1"/>
      <selection pane="bottomLeft" activeCell="A3" sqref="A3"/>
      <selection pane="bottomRight" activeCell="A4" sqref="A4:A91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0" max="10" width="13.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  <col min="18" max="18" width="9.5" bestFit="1" customWidth="1"/>
  </cols>
  <sheetData>
    <row r="1" spans="1:18" ht="35.25" customHeight="1" thickBot="1">
      <c r="A1" s="388" t="s">
        <v>5258</v>
      </c>
      <c r="B1" s="389"/>
      <c r="C1" s="402" t="s">
        <v>27</v>
      </c>
      <c r="D1" s="403"/>
      <c r="E1" s="21" t="s">
        <v>26</v>
      </c>
      <c r="F1" s="20">
        <f>H1/31</f>
        <v>489987.09677419357</v>
      </c>
      <c r="G1" s="21" t="s">
        <v>4</v>
      </c>
      <c r="H1" s="22">
        <f>SUM(D4:D112)</f>
        <v>15189600</v>
      </c>
      <c r="I1" s="392"/>
      <c r="J1" s="338"/>
      <c r="K1" s="394"/>
      <c r="L1" s="396"/>
      <c r="M1" s="377"/>
      <c r="N1" s="379"/>
      <c r="O1" s="381"/>
      <c r="P1" s="383"/>
      <c r="Q1" s="377"/>
      <c r="R1" s="376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385" t="s">
        <v>25</v>
      </c>
      <c r="F2" s="386"/>
      <c r="G2" s="387"/>
      <c r="H2" s="25" t="s">
        <v>5</v>
      </c>
      <c r="I2" s="393"/>
      <c r="J2" s="333"/>
      <c r="K2" s="395"/>
      <c r="L2" s="397"/>
      <c r="M2" s="378"/>
      <c r="N2" s="380"/>
      <c r="O2" s="382"/>
      <c r="P2" s="384"/>
      <c r="Q2" s="378"/>
      <c r="R2" s="376"/>
    </row>
    <row r="3" spans="1:18" ht="57.75" customHeight="1">
      <c r="A3" s="441" t="s">
        <v>4807</v>
      </c>
      <c r="B3" s="442"/>
      <c r="C3" s="442"/>
      <c r="D3" s="442"/>
      <c r="E3" s="442"/>
      <c r="F3" s="442"/>
      <c r="G3" s="442"/>
      <c r="H3" s="443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322">
        <v>45720</v>
      </c>
      <c r="B4" s="341" t="s">
        <v>4793</v>
      </c>
      <c r="C4" s="341"/>
      <c r="D4" s="326">
        <v>500000</v>
      </c>
      <c r="E4" s="562" t="s">
        <v>4794</v>
      </c>
      <c r="F4" s="582"/>
      <c r="G4" s="583"/>
      <c r="H4" s="398" t="s">
        <v>4795</v>
      </c>
      <c r="J4" s="43"/>
    </row>
    <row r="5" spans="1:18" ht="16.5" customHeight="1">
      <c r="A5" s="323"/>
      <c r="B5" s="342"/>
      <c r="C5" s="342"/>
      <c r="D5" s="326"/>
      <c r="E5" s="584"/>
      <c r="F5" s="585"/>
      <c r="G5" s="586"/>
      <c r="H5" s="399"/>
      <c r="J5" s="43"/>
    </row>
    <row r="6" spans="1:18" ht="16.5" customHeight="1">
      <c r="A6" s="322">
        <v>45721</v>
      </c>
      <c r="B6" s="341" t="s">
        <v>4796</v>
      </c>
      <c r="C6" s="341" t="s">
        <v>4797</v>
      </c>
      <c r="D6" s="343">
        <v>290000</v>
      </c>
      <c r="E6" s="327" t="s">
        <v>4801</v>
      </c>
      <c r="F6" s="345"/>
      <c r="G6" s="346"/>
      <c r="H6" s="398" t="s">
        <v>4798</v>
      </c>
    </row>
    <row r="7" spans="1:18" ht="51" customHeight="1">
      <c r="A7" s="323"/>
      <c r="B7" s="342"/>
      <c r="C7" s="342"/>
      <c r="D7" s="344"/>
      <c r="E7" s="347"/>
      <c r="F7" s="348"/>
      <c r="G7" s="349"/>
      <c r="H7" s="399"/>
    </row>
    <row r="8" spans="1:18" ht="16.5" customHeight="1">
      <c r="A8" s="322">
        <v>45721</v>
      </c>
      <c r="B8" s="324" t="s">
        <v>4799</v>
      </c>
      <c r="C8" s="341"/>
      <c r="D8" s="326">
        <v>446000</v>
      </c>
      <c r="E8" s="327" t="s">
        <v>4802</v>
      </c>
      <c r="F8" s="328"/>
      <c r="G8" s="329"/>
      <c r="H8" s="400" t="s">
        <v>4800</v>
      </c>
      <c r="J8" s="48"/>
    </row>
    <row r="9" spans="1:18" ht="33.75" customHeight="1">
      <c r="A9" s="323"/>
      <c r="B9" s="325"/>
      <c r="C9" s="342"/>
      <c r="D9" s="326"/>
      <c r="E9" s="330"/>
      <c r="F9" s="331"/>
      <c r="G9" s="332"/>
      <c r="H9" s="401"/>
    </row>
    <row r="10" spans="1:18" ht="16.5" customHeight="1">
      <c r="A10" s="322">
        <v>45723</v>
      </c>
      <c r="B10" s="324" t="s">
        <v>4803</v>
      </c>
      <c r="C10" s="341"/>
      <c r="D10" s="326">
        <v>204000</v>
      </c>
      <c r="E10" s="327" t="s">
        <v>4805</v>
      </c>
      <c r="F10" s="328"/>
      <c r="G10" s="329"/>
      <c r="H10" s="400" t="s">
        <v>4804</v>
      </c>
    </row>
    <row r="11" spans="1:18" ht="26.25" customHeight="1">
      <c r="A11" s="323"/>
      <c r="B11" s="325"/>
      <c r="C11" s="342"/>
      <c r="D11" s="326"/>
      <c r="E11" s="330"/>
      <c r="F11" s="331"/>
      <c r="G11" s="332"/>
      <c r="H11" s="401"/>
    </row>
    <row r="12" spans="1:18" ht="45" customHeight="1">
      <c r="A12" s="199">
        <v>45723</v>
      </c>
      <c r="B12" s="200" t="s">
        <v>4803</v>
      </c>
      <c r="C12" s="200"/>
      <c r="D12" s="201">
        <v>20000</v>
      </c>
      <c r="E12" s="650" t="s">
        <v>4805</v>
      </c>
      <c r="F12" s="628"/>
      <c r="G12" s="629"/>
      <c r="H12" s="98" t="s">
        <v>4806</v>
      </c>
    </row>
    <row r="13" spans="1:18">
      <c r="A13" s="322"/>
      <c r="B13" s="568" t="s">
        <v>4829</v>
      </c>
      <c r="C13" s="569"/>
      <c r="D13" s="569"/>
      <c r="E13" s="569"/>
      <c r="F13" s="569"/>
      <c r="G13" s="569"/>
      <c r="H13" s="570"/>
    </row>
    <row r="14" spans="1:18" ht="26.25" customHeight="1">
      <c r="A14" s="323"/>
      <c r="B14" s="571"/>
      <c r="C14" s="572"/>
      <c r="D14" s="572"/>
      <c r="E14" s="572"/>
      <c r="F14" s="572"/>
      <c r="G14" s="572"/>
      <c r="H14" s="573"/>
    </row>
    <row r="15" spans="1:18">
      <c r="A15" s="322">
        <v>45726</v>
      </c>
      <c r="B15" s="324" t="s">
        <v>4809</v>
      </c>
      <c r="C15" s="325"/>
      <c r="D15" s="326">
        <v>500000</v>
      </c>
      <c r="E15" s="337" t="s">
        <v>4808</v>
      </c>
      <c r="F15" s="326"/>
      <c r="G15" s="326"/>
      <c r="H15" s="359" t="s">
        <v>3145</v>
      </c>
    </row>
    <row r="16" spans="1:18" ht="42.75" customHeight="1">
      <c r="A16" s="323"/>
      <c r="B16" s="325"/>
      <c r="C16" s="325"/>
      <c r="D16" s="326"/>
      <c r="E16" s="326"/>
      <c r="F16" s="326"/>
      <c r="G16" s="326"/>
      <c r="H16" s="359"/>
    </row>
    <row r="17" spans="1:8">
      <c r="A17" s="322">
        <v>45726</v>
      </c>
      <c r="B17" s="325" t="s">
        <v>4810</v>
      </c>
      <c r="C17" s="325"/>
      <c r="D17" s="326">
        <v>440000</v>
      </c>
      <c r="E17" s="574" t="s">
        <v>4815</v>
      </c>
      <c r="F17" s="575"/>
      <c r="G17" s="575"/>
      <c r="H17" s="359" t="s">
        <v>4811</v>
      </c>
    </row>
    <row r="18" spans="1:8" ht="30.75" customHeight="1">
      <c r="A18" s="323"/>
      <c r="B18" s="325"/>
      <c r="C18" s="325"/>
      <c r="D18" s="326"/>
      <c r="E18" s="575"/>
      <c r="F18" s="575"/>
      <c r="G18" s="575"/>
      <c r="H18" s="359"/>
    </row>
    <row r="19" spans="1:8">
      <c r="A19" s="322">
        <v>45727</v>
      </c>
      <c r="B19" s="341" t="s">
        <v>4814</v>
      </c>
      <c r="C19" s="353"/>
      <c r="D19" s="343">
        <v>65000</v>
      </c>
      <c r="E19" s="337" t="s">
        <v>4812</v>
      </c>
      <c r="F19" s="731"/>
      <c r="G19" s="731"/>
      <c r="H19" s="359" t="s">
        <v>4813</v>
      </c>
    </row>
    <row r="20" spans="1:8" s="202" customFormat="1">
      <c r="A20" s="323"/>
      <c r="B20" s="342"/>
      <c r="C20" s="352"/>
      <c r="D20" s="344"/>
      <c r="E20" s="731"/>
      <c r="F20" s="731"/>
      <c r="G20" s="731"/>
      <c r="H20" s="359"/>
    </row>
    <row r="21" spans="1:8">
      <c r="A21" s="322">
        <v>45728</v>
      </c>
      <c r="B21" s="324" t="s">
        <v>4817</v>
      </c>
      <c r="C21" s="325"/>
      <c r="D21" s="343">
        <v>400000</v>
      </c>
      <c r="E21" s="574"/>
      <c r="F21" s="575"/>
      <c r="G21" s="575"/>
      <c r="H21" s="359" t="s">
        <v>4818</v>
      </c>
    </row>
    <row r="22" spans="1:8" ht="28.5" customHeight="1">
      <c r="A22" s="323"/>
      <c r="B22" s="325"/>
      <c r="C22" s="325"/>
      <c r="D22" s="344"/>
      <c r="E22" s="575"/>
      <c r="F22" s="575"/>
      <c r="G22" s="575"/>
      <c r="H22" s="359"/>
    </row>
    <row r="23" spans="1:8" ht="16.5" customHeight="1">
      <c r="A23" s="336">
        <v>45728</v>
      </c>
      <c r="B23" s="324" t="s">
        <v>4816</v>
      </c>
      <c r="C23" s="325"/>
      <c r="D23" s="326">
        <v>440000</v>
      </c>
      <c r="E23" s="327"/>
      <c r="F23" s="328"/>
      <c r="G23" s="329"/>
      <c r="H23" s="400" t="s">
        <v>4828</v>
      </c>
    </row>
    <row r="24" spans="1:8" ht="16.5" customHeight="1">
      <c r="A24" s="323"/>
      <c r="B24" s="325"/>
      <c r="C24" s="325"/>
      <c r="D24" s="326"/>
      <c r="E24" s="330"/>
      <c r="F24" s="331"/>
      <c r="G24" s="332"/>
      <c r="H24" s="401"/>
    </row>
    <row r="25" spans="1:8" ht="16.5" customHeight="1">
      <c r="A25" s="336">
        <v>45728</v>
      </c>
      <c r="B25" s="341" t="s">
        <v>4822</v>
      </c>
      <c r="C25" s="341"/>
      <c r="D25" s="343">
        <v>410000</v>
      </c>
      <c r="E25" s="327"/>
      <c r="F25" s="328"/>
      <c r="G25" s="329"/>
      <c r="H25" s="359" t="s">
        <v>4827</v>
      </c>
    </row>
    <row r="26" spans="1:8" ht="16.5" customHeight="1">
      <c r="A26" s="323"/>
      <c r="B26" s="342"/>
      <c r="C26" s="342"/>
      <c r="D26" s="344"/>
      <c r="E26" s="330"/>
      <c r="F26" s="331"/>
      <c r="G26" s="332"/>
      <c r="H26" s="359"/>
    </row>
    <row r="27" spans="1:8" ht="16.5" customHeight="1">
      <c r="A27" s="336">
        <v>45728</v>
      </c>
      <c r="B27" s="341" t="s">
        <v>4822</v>
      </c>
      <c r="C27" s="325"/>
      <c r="D27" s="326">
        <v>100000</v>
      </c>
      <c r="E27" s="327" t="s">
        <v>4824</v>
      </c>
      <c r="F27" s="328"/>
      <c r="G27" s="329"/>
      <c r="H27" s="359" t="s">
        <v>4823</v>
      </c>
    </row>
    <row r="28" spans="1:8" ht="16.5" customHeight="1">
      <c r="A28" s="323"/>
      <c r="B28" s="342"/>
      <c r="C28" s="325"/>
      <c r="D28" s="326"/>
      <c r="E28" s="330"/>
      <c r="F28" s="331"/>
      <c r="G28" s="332"/>
      <c r="H28" s="359"/>
    </row>
    <row r="29" spans="1:8" ht="16.5" customHeight="1">
      <c r="A29" s="336">
        <v>45729</v>
      </c>
      <c r="B29" s="324" t="s">
        <v>4819</v>
      </c>
      <c r="C29" s="325"/>
      <c r="D29" s="326">
        <v>572000</v>
      </c>
      <c r="E29" s="562" t="s">
        <v>4820</v>
      </c>
      <c r="F29" s="582"/>
      <c r="G29" s="583"/>
      <c r="H29" s="359" t="s">
        <v>4821</v>
      </c>
    </row>
    <row r="30" spans="1:8" ht="16.5" customHeight="1">
      <c r="A30" s="323"/>
      <c r="B30" s="325"/>
      <c r="C30" s="325"/>
      <c r="D30" s="326"/>
      <c r="E30" s="584"/>
      <c r="F30" s="585"/>
      <c r="G30" s="586"/>
      <c r="H30" s="359"/>
    </row>
    <row r="31" spans="1:8" ht="16.5" customHeight="1">
      <c r="A31" s="336"/>
      <c r="B31" s="568" t="s">
        <v>4853</v>
      </c>
      <c r="C31" s="569"/>
      <c r="D31" s="569"/>
      <c r="E31" s="569"/>
      <c r="F31" s="569"/>
      <c r="G31" s="569"/>
      <c r="H31" s="570"/>
    </row>
    <row r="32" spans="1:8" ht="41.25" customHeight="1">
      <c r="A32" s="323"/>
      <c r="B32" s="571"/>
      <c r="C32" s="572"/>
      <c r="D32" s="572"/>
      <c r="E32" s="572"/>
      <c r="F32" s="572"/>
      <c r="G32" s="572"/>
      <c r="H32" s="573"/>
    </row>
    <row r="33" spans="1:8" ht="16.5" customHeight="1">
      <c r="A33" s="336">
        <v>45734</v>
      </c>
      <c r="B33" s="324" t="s">
        <v>4825</v>
      </c>
      <c r="C33" s="326"/>
      <c r="D33" s="326">
        <v>200000</v>
      </c>
      <c r="E33" s="562" t="s">
        <v>4826</v>
      </c>
      <c r="F33" s="582"/>
      <c r="G33" s="583"/>
      <c r="H33" s="359" t="s">
        <v>4818</v>
      </c>
    </row>
    <row r="34" spans="1:8" ht="16.5" customHeight="1">
      <c r="A34" s="323"/>
      <c r="B34" s="325"/>
      <c r="C34" s="326"/>
      <c r="D34" s="326"/>
      <c r="E34" s="584"/>
      <c r="F34" s="585"/>
      <c r="G34" s="586"/>
      <c r="H34" s="359"/>
    </row>
    <row r="35" spans="1:8">
      <c r="A35" s="322">
        <v>45735</v>
      </c>
      <c r="B35" s="324" t="s">
        <v>4834</v>
      </c>
      <c r="C35" s="325"/>
      <c r="D35" s="326">
        <v>280000</v>
      </c>
      <c r="E35" s="574" t="s">
        <v>4836</v>
      </c>
      <c r="F35" s="575"/>
      <c r="G35" s="575"/>
      <c r="H35" s="333" t="s">
        <v>4846</v>
      </c>
    </row>
    <row r="36" spans="1:8" ht="21.75" customHeight="1">
      <c r="A36" s="323"/>
      <c r="B36" s="325"/>
      <c r="C36" s="325"/>
      <c r="D36" s="326"/>
      <c r="E36" s="575"/>
      <c r="F36" s="575"/>
      <c r="G36" s="575"/>
      <c r="H36" s="333"/>
    </row>
    <row r="37" spans="1:8" ht="16.5" customHeight="1">
      <c r="A37" s="322">
        <v>45735</v>
      </c>
      <c r="B37" s="324" t="s">
        <v>4830</v>
      </c>
      <c r="C37" s="325"/>
      <c r="D37" s="326">
        <v>215000</v>
      </c>
      <c r="E37" s="326" t="s">
        <v>4838</v>
      </c>
      <c r="F37" s="326"/>
      <c r="G37" s="326"/>
      <c r="H37" s="359" t="s">
        <v>4833</v>
      </c>
    </row>
    <row r="38" spans="1:8" ht="16.5" customHeight="1">
      <c r="A38" s="323"/>
      <c r="B38" s="325"/>
      <c r="C38" s="325"/>
      <c r="D38" s="326"/>
      <c r="E38" s="326"/>
      <c r="F38" s="326"/>
      <c r="G38" s="326"/>
      <c r="H38" s="359"/>
    </row>
    <row r="39" spans="1:8" ht="15.75" customHeight="1">
      <c r="A39" s="322">
        <v>45735</v>
      </c>
      <c r="B39" s="324" t="s">
        <v>4831</v>
      </c>
      <c r="C39" s="325"/>
      <c r="D39" s="326">
        <v>120000</v>
      </c>
      <c r="E39" s="326" t="s">
        <v>4837</v>
      </c>
      <c r="F39" s="326"/>
      <c r="G39" s="326"/>
      <c r="H39" s="359" t="s">
        <v>4832</v>
      </c>
    </row>
    <row r="40" spans="1:8">
      <c r="A40" s="323"/>
      <c r="B40" s="325"/>
      <c r="C40" s="325"/>
      <c r="D40" s="326"/>
      <c r="E40" s="326"/>
      <c r="F40" s="326"/>
      <c r="G40" s="326"/>
      <c r="H40" s="359"/>
    </row>
    <row r="41" spans="1:8" ht="33.75" customHeight="1">
      <c r="A41" s="199">
        <v>45735</v>
      </c>
      <c r="B41" s="203" t="s">
        <v>4835</v>
      </c>
      <c r="C41" s="203"/>
      <c r="D41" s="204">
        <v>150000</v>
      </c>
      <c r="E41" s="808" t="s">
        <v>4174</v>
      </c>
      <c r="F41" s="722"/>
      <c r="G41" s="723"/>
      <c r="H41" s="205" t="s">
        <v>4840</v>
      </c>
    </row>
    <row r="42" spans="1:8" ht="16.5" customHeight="1">
      <c r="A42" s="322">
        <v>45736</v>
      </c>
      <c r="B42" s="324" t="s">
        <v>4843</v>
      </c>
      <c r="C42" s="325"/>
      <c r="D42" s="326">
        <v>550000</v>
      </c>
      <c r="E42" s="327" t="s">
        <v>4842</v>
      </c>
      <c r="F42" s="328"/>
      <c r="G42" s="329"/>
      <c r="H42" s="359" t="s">
        <v>4841</v>
      </c>
    </row>
    <row r="43" spans="1:8" ht="16.5" customHeight="1">
      <c r="A43" s="323"/>
      <c r="B43" s="325"/>
      <c r="C43" s="325"/>
      <c r="D43" s="326"/>
      <c r="E43" s="330"/>
      <c r="F43" s="331"/>
      <c r="G43" s="332"/>
      <c r="H43" s="359"/>
    </row>
    <row r="44" spans="1:8">
      <c r="A44" s="322">
        <v>45737</v>
      </c>
      <c r="B44" s="325" t="s">
        <v>4850</v>
      </c>
      <c r="C44" s="325"/>
      <c r="D44" s="326">
        <v>460000</v>
      </c>
      <c r="E44" s="575" t="s">
        <v>4844</v>
      </c>
      <c r="F44" s="575"/>
      <c r="G44" s="575"/>
      <c r="H44" s="325" t="s">
        <v>4845</v>
      </c>
    </row>
    <row r="45" spans="1:8">
      <c r="A45" s="323"/>
      <c r="B45" s="325"/>
      <c r="C45" s="325"/>
      <c r="D45" s="326"/>
      <c r="E45" s="575"/>
      <c r="F45" s="575"/>
      <c r="G45" s="575"/>
      <c r="H45" s="325"/>
    </row>
    <row r="46" spans="1:8" ht="17.25" customHeight="1">
      <c r="A46" s="322">
        <v>45737</v>
      </c>
      <c r="B46" s="325" t="s">
        <v>4849</v>
      </c>
      <c r="C46" s="325"/>
      <c r="D46" s="326">
        <v>9600</v>
      </c>
      <c r="E46" s="337" t="s">
        <v>4848</v>
      </c>
      <c r="F46" s="326"/>
      <c r="G46" s="326"/>
      <c r="H46" s="359" t="s">
        <v>4847</v>
      </c>
    </row>
    <row r="47" spans="1:8" ht="24.75" customHeight="1">
      <c r="A47" s="323"/>
      <c r="B47" s="325"/>
      <c r="C47" s="325"/>
      <c r="D47" s="326"/>
      <c r="E47" s="326"/>
      <c r="F47" s="326"/>
      <c r="G47" s="326"/>
      <c r="H47" s="359"/>
    </row>
    <row r="48" spans="1:8">
      <c r="A48" s="322">
        <v>45739</v>
      </c>
      <c r="B48" s="325" t="s">
        <v>4851</v>
      </c>
      <c r="C48" s="325"/>
      <c r="D48" s="326">
        <v>450000</v>
      </c>
      <c r="E48" s="574" t="s">
        <v>4839</v>
      </c>
      <c r="F48" s="575"/>
      <c r="G48" s="575"/>
      <c r="H48" s="359" t="s">
        <v>4852</v>
      </c>
    </row>
    <row r="49" spans="1:8">
      <c r="A49" s="323"/>
      <c r="B49" s="325"/>
      <c r="C49" s="325"/>
      <c r="D49" s="326"/>
      <c r="E49" s="575"/>
      <c r="F49" s="575"/>
      <c r="G49" s="575"/>
      <c r="H49" s="359"/>
    </row>
    <row r="50" spans="1:8">
      <c r="A50" s="322"/>
      <c r="B50" s="862" t="s">
        <v>4927</v>
      </c>
      <c r="C50" s="863"/>
      <c r="D50" s="863"/>
      <c r="E50" s="863"/>
      <c r="F50" s="863"/>
      <c r="G50" s="863"/>
      <c r="H50" s="915"/>
    </row>
    <row r="51" spans="1:8" ht="30.75" customHeight="1">
      <c r="A51" s="323"/>
      <c r="B51" s="865"/>
      <c r="C51" s="866"/>
      <c r="D51" s="866"/>
      <c r="E51" s="866"/>
      <c r="F51" s="866"/>
      <c r="G51" s="866"/>
      <c r="H51" s="916"/>
    </row>
    <row r="52" spans="1:8">
      <c r="A52" s="322">
        <v>45740</v>
      </c>
      <c r="B52" s="325" t="s">
        <v>4859</v>
      </c>
      <c r="C52" s="325"/>
      <c r="D52" s="326">
        <v>520000</v>
      </c>
      <c r="E52" s="326" t="s">
        <v>4854</v>
      </c>
      <c r="F52" s="326"/>
      <c r="G52" s="326"/>
      <c r="H52" s="359" t="s">
        <v>4855</v>
      </c>
    </row>
    <row r="53" spans="1:8">
      <c r="A53" s="323"/>
      <c r="B53" s="325"/>
      <c r="C53" s="325"/>
      <c r="D53" s="326"/>
      <c r="E53" s="326"/>
      <c r="F53" s="326"/>
      <c r="G53" s="326"/>
      <c r="H53" s="359"/>
    </row>
    <row r="54" spans="1:8">
      <c r="A54" s="322">
        <v>45740</v>
      </c>
      <c r="B54" s="325" t="s">
        <v>4858</v>
      </c>
      <c r="C54" s="325"/>
      <c r="D54" s="326">
        <v>135000</v>
      </c>
      <c r="E54" s="326" t="s">
        <v>4857</v>
      </c>
      <c r="F54" s="326"/>
      <c r="G54" s="326"/>
      <c r="H54" s="359" t="s">
        <v>4856</v>
      </c>
    </row>
    <row r="55" spans="1:8">
      <c r="A55" s="323"/>
      <c r="B55" s="325"/>
      <c r="C55" s="325"/>
      <c r="D55" s="326"/>
      <c r="E55" s="326"/>
      <c r="F55" s="326"/>
      <c r="G55" s="326"/>
      <c r="H55" s="359"/>
    </row>
    <row r="56" spans="1:8">
      <c r="A56" s="322">
        <v>45740</v>
      </c>
      <c r="B56" s="325"/>
      <c r="C56" s="325"/>
      <c r="D56" s="326">
        <v>400000</v>
      </c>
      <c r="E56" s="326"/>
      <c r="F56" s="326"/>
      <c r="G56" s="326"/>
      <c r="H56" s="333"/>
    </row>
    <row r="57" spans="1:8">
      <c r="A57" s="323"/>
      <c r="B57" s="325"/>
      <c r="C57" s="325"/>
      <c r="D57" s="326"/>
      <c r="E57" s="326"/>
      <c r="F57" s="326"/>
      <c r="G57" s="326"/>
      <c r="H57" s="333"/>
    </row>
    <row r="58" spans="1:8">
      <c r="A58" s="322">
        <v>45740</v>
      </c>
      <c r="B58" s="325"/>
      <c r="C58" s="325"/>
      <c r="D58" s="326">
        <v>270000</v>
      </c>
      <c r="E58" s="914"/>
      <c r="F58" s="914"/>
      <c r="G58" s="914"/>
      <c r="H58" s="333"/>
    </row>
    <row r="59" spans="1:8">
      <c r="A59" s="323"/>
      <c r="B59" s="325"/>
      <c r="C59" s="325"/>
      <c r="D59" s="326"/>
      <c r="E59" s="914"/>
      <c r="F59" s="914"/>
      <c r="G59" s="914"/>
      <c r="H59" s="333"/>
    </row>
    <row r="60" spans="1:8">
      <c r="A60" s="322">
        <v>45741</v>
      </c>
      <c r="B60" s="325" t="s">
        <v>4861</v>
      </c>
      <c r="C60" s="325"/>
      <c r="D60" s="326">
        <v>600000</v>
      </c>
      <c r="E60" s="326" t="s">
        <v>4860</v>
      </c>
      <c r="F60" s="326"/>
      <c r="G60" s="326"/>
      <c r="H60" s="359" t="s">
        <v>4862</v>
      </c>
    </row>
    <row r="61" spans="1:8">
      <c r="A61" s="323"/>
      <c r="B61" s="325"/>
      <c r="C61" s="325"/>
      <c r="D61" s="326"/>
      <c r="E61" s="326"/>
      <c r="F61" s="326"/>
      <c r="G61" s="326"/>
      <c r="H61" s="359"/>
    </row>
    <row r="62" spans="1:8">
      <c r="A62" s="322">
        <v>45741</v>
      </c>
      <c r="B62" s="325"/>
      <c r="C62" s="325"/>
      <c r="D62" s="326">
        <v>225000</v>
      </c>
      <c r="E62" s="326"/>
      <c r="F62" s="326"/>
      <c r="G62" s="326"/>
      <c r="H62" s="359"/>
    </row>
    <row r="63" spans="1:8">
      <c r="A63" s="323"/>
      <c r="B63" s="325"/>
      <c r="C63" s="325"/>
      <c r="D63" s="326"/>
      <c r="E63" s="326"/>
      <c r="F63" s="326"/>
      <c r="G63" s="326"/>
      <c r="H63" s="359"/>
    </row>
    <row r="64" spans="1:8">
      <c r="A64" s="322">
        <v>45742</v>
      </c>
      <c r="B64" s="325" t="s">
        <v>4863</v>
      </c>
      <c r="C64" s="325"/>
      <c r="D64" s="326">
        <v>670000</v>
      </c>
      <c r="E64" s="326" t="s">
        <v>4865</v>
      </c>
      <c r="F64" s="326"/>
      <c r="G64" s="326"/>
      <c r="H64" s="359" t="s">
        <v>4864</v>
      </c>
    </row>
    <row r="65" spans="1:8">
      <c r="A65" s="323"/>
      <c r="B65" s="325"/>
      <c r="C65" s="325"/>
      <c r="D65" s="326"/>
      <c r="E65" s="326"/>
      <c r="F65" s="326"/>
      <c r="G65" s="326"/>
      <c r="H65" s="359"/>
    </row>
    <row r="66" spans="1:8">
      <c r="A66" s="322">
        <v>45742</v>
      </c>
      <c r="B66" s="325" t="s">
        <v>4866</v>
      </c>
      <c r="C66" s="325"/>
      <c r="D66" s="326">
        <v>890000</v>
      </c>
      <c r="E66" s="575" t="s">
        <v>4867</v>
      </c>
      <c r="F66" s="575"/>
      <c r="G66" s="575"/>
      <c r="H66" s="359" t="s">
        <v>4954</v>
      </c>
    </row>
    <row r="67" spans="1:8">
      <c r="A67" s="323"/>
      <c r="B67" s="325"/>
      <c r="C67" s="325"/>
      <c r="D67" s="326"/>
      <c r="E67" s="575"/>
      <c r="F67" s="575"/>
      <c r="G67" s="575"/>
      <c r="H67" s="359"/>
    </row>
    <row r="68" spans="1:8" ht="17.25" customHeight="1">
      <c r="A68" s="322">
        <v>45742</v>
      </c>
      <c r="B68" s="325" t="s">
        <v>4873</v>
      </c>
      <c r="C68" s="325"/>
      <c r="D68" s="326">
        <v>320000</v>
      </c>
      <c r="E68" s="575" t="s">
        <v>4875</v>
      </c>
      <c r="F68" s="575"/>
      <c r="G68" s="575"/>
      <c r="H68" s="333" t="s">
        <v>4874</v>
      </c>
    </row>
    <row r="69" spans="1:8" ht="17.25" customHeight="1">
      <c r="A69" s="323"/>
      <c r="B69" s="325"/>
      <c r="C69" s="325"/>
      <c r="D69" s="326"/>
      <c r="E69" s="575"/>
      <c r="F69" s="575"/>
      <c r="G69" s="575"/>
      <c r="H69" s="333"/>
    </row>
    <row r="70" spans="1:8" ht="17.25" customHeight="1">
      <c r="A70" s="322">
        <v>45743</v>
      </c>
      <c r="B70" s="325" t="s">
        <v>4876</v>
      </c>
      <c r="C70" s="325"/>
      <c r="D70" s="326">
        <v>400000</v>
      </c>
      <c r="E70" s="575" t="s">
        <v>4868</v>
      </c>
      <c r="F70" s="575"/>
      <c r="G70" s="575"/>
      <c r="H70" s="333" t="s">
        <v>4872</v>
      </c>
    </row>
    <row r="71" spans="1:8" ht="17.25" customHeight="1">
      <c r="A71" s="323"/>
      <c r="B71" s="325"/>
      <c r="C71" s="325"/>
      <c r="D71" s="326"/>
      <c r="E71" s="575"/>
      <c r="F71" s="575"/>
      <c r="G71" s="575"/>
      <c r="H71" s="333"/>
    </row>
    <row r="72" spans="1:8">
      <c r="A72" s="322">
        <v>45743</v>
      </c>
      <c r="B72" s="325" t="s">
        <v>4871</v>
      </c>
      <c r="C72" s="325"/>
      <c r="D72" s="326">
        <v>1674200</v>
      </c>
      <c r="E72" s="326" t="s">
        <v>4869</v>
      </c>
      <c r="F72" s="326"/>
      <c r="G72" s="326"/>
      <c r="H72" s="333" t="s">
        <v>4870</v>
      </c>
    </row>
    <row r="73" spans="1:8">
      <c r="A73" s="323"/>
      <c r="B73" s="325"/>
      <c r="C73" s="325"/>
      <c r="D73" s="326"/>
      <c r="E73" s="326"/>
      <c r="F73" s="326"/>
      <c r="G73" s="326"/>
      <c r="H73" s="333"/>
    </row>
    <row r="74" spans="1:8" ht="17.25" customHeight="1">
      <c r="A74" s="322">
        <v>45744</v>
      </c>
      <c r="B74" s="325" t="s">
        <v>4878</v>
      </c>
      <c r="C74" s="325"/>
      <c r="D74" s="326">
        <v>450000</v>
      </c>
      <c r="E74" s="326" t="s">
        <v>4894</v>
      </c>
      <c r="F74" s="326"/>
      <c r="G74" s="326"/>
      <c r="H74" s="359" t="s">
        <v>4879</v>
      </c>
    </row>
    <row r="75" spans="1:8" ht="17.25" customHeight="1">
      <c r="A75" s="323"/>
      <c r="B75" s="325"/>
      <c r="C75" s="325"/>
      <c r="D75" s="326"/>
      <c r="E75" s="326"/>
      <c r="F75" s="326"/>
      <c r="G75" s="326"/>
      <c r="H75" s="359"/>
    </row>
    <row r="76" spans="1:8">
      <c r="A76" s="322">
        <v>45744</v>
      </c>
      <c r="B76" s="325" t="s">
        <v>4880</v>
      </c>
      <c r="C76" s="325"/>
      <c r="D76" s="326">
        <v>560000</v>
      </c>
      <c r="E76" s="326" t="s">
        <v>4894</v>
      </c>
      <c r="F76" s="326"/>
      <c r="G76" s="326"/>
      <c r="H76" s="359" t="s">
        <v>4881</v>
      </c>
    </row>
    <row r="77" spans="1:8">
      <c r="A77" s="323"/>
      <c r="B77" s="325"/>
      <c r="C77" s="325"/>
      <c r="D77" s="326"/>
      <c r="E77" s="326"/>
      <c r="F77" s="326"/>
      <c r="G77" s="326"/>
      <c r="H77" s="359"/>
    </row>
    <row r="78" spans="1:8">
      <c r="A78" s="322">
        <v>45744</v>
      </c>
      <c r="B78" s="325" t="s">
        <v>4877</v>
      </c>
      <c r="C78" s="325"/>
      <c r="D78" s="326">
        <v>300000</v>
      </c>
      <c r="E78" s="326" t="s">
        <v>4955</v>
      </c>
      <c r="F78" s="326"/>
      <c r="G78" s="326"/>
      <c r="H78" s="333" t="s">
        <v>4882</v>
      </c>
    </row>
    <row r="79" spans="1:8">
      <c r="A79" s="323"/>
      <c r="B79" s="325"/>
      <c r="C79" s="325"/>
      <c r="D79" s="326"/>
      <c r="E79" s="326"/>
      <c r="F79" s="326"/>
      <c r="G79" s="326"/>
      <c r="H79" s="333"/>
    </row>
    <row r="80" spans="1:8">
      <c r="A80" s="313">
        <v>45745</v>
      </c>
      <c r="B80" s="325" t="s">
        <v>4883</v>
      </c>
      <c r="C80" s="325"/>
      <c r="D80" s="326">
        <v>110000</v>
      </c>
      <c r="E80" s="326" t="s">
        <v>4894</v>
      </c>
      <c r="F80" s="326"/>
      <c r="G80" s="326"/>
      <c r="H80" s="359" t="s">
        <v>4884</v>
      </c>
    </row>
    <row r="81" spans="1:8">
      <c r="A81" s="305"/>
      <c r="B81" s="325"/>
      <c r="C81" s="325"/>
      <c r="D81" s="326"/>
      <c r="E81" s="326"/>
      <c r="F81" s="326"/>
      <c r="G81" s="326"/>
      <c r="H81" s="359"/>
    </row>
    <row r="82" spans="1:8">
      <c r="A82" s="313">
        <v>45745</v>
      </c>
      <c r="B82" s="325" t="s">
        <v>4885</v>
      </c>
      <c r="C82" s="325"/>
      <c r="D82" s="326">
        <v>109000</v>
      </c>
      <c r="E82" s="326" t="s">
        <v>4895</v>
      </c>
      <c r="F82" s="326"/>
      <c r="G82" s="326"/>
      <c r="H82" s="359" t="s">
        <v>145</v>
      </c>
    </row>
    <row r="83" spans="1:8">
      <c r="A83" s="305"/>
      <c r="B83" s="325"/>
      <c r="C83" s="325"/>
      <c r="D83" s="326"/>
      <c r="E83" s="326"/>
      <c r="F83" s="326"/>
      <c r="G83" s="326"/>
      <c r="H83" s="359"/>
    </row>
    <row r="84" spans="1:8">
      <c r="A84" s="313">
        <v>45745</v>
      </c>
      <c r="B84" s="325" t="s">
        <v>4888</v>
      </c>
      <c r="C84" s="325"/>
      <c r="D84" s="343">
        <v>90000</v>
      </c>
      <c r="E84" s="326" t="s">
        <v>4894</v>
      </c>
      <c r="F84" s="326"/>
      <c r="G84" s="326"/>
      <c r="H84" s="359" t="s">
        <v>4887</v>
      </c>
    </row>
    <row r="85" spans="1:8">
      <c r="A85" s="305"/>
      <c r="B85" s="325"/>
      <c r="C85" s="325"/>
      <c r="D85" s="344"/>
      <c r="E85" s="326"/>
      <c r="F85" s="326"/>
      <c r="G85" s="326"/>
      <c r="H85" s="359"/>
    </row>
    <row r="86" spans="1:8">
      <c r="A86" s="313">
        <v>45747</v>
      </c>
      <c r="B86" s="325" t="s">
        <v>4889</v>
      </c>
      <c r="C86" s="325"/>
      <c r="D86" s="343">
        <v>130000</v>
      </c>
      <c r="E86" s="326" t="s">
        <v>4894</v>
      </c>
      <c r="F86" s="326"/>
      <c r="G86" s="326"/>
      <c r="H86" s="359" t="s">
        <v>4886</v>
      </c>
    </row>
    <row r="87" spans="1:8">
      <c r="A87" s="305"/>
      <c r="B87" s="325"/>
      <c r="C87" s="325"/>
      <c r="D87" s="344"/>
      <c r="E87" s="326"/>
      <c r="F87" s="326"/>
      <c r="G87" s="326"/>
      <c r="H87" s="359"/>
    </row>
    <row r="88" spans="1:8">
      <c r="A88" s="313">
        <v>45747</v>
      </c>
      <c r="B88" s="325" t="s">
        <v>4890</v>
      </c>
      <c r="C88" s="325"/>
      <c r="D88" s="326">
        <v>165000</v>
      </c>
      <c r="E88" s="326" t="s">
        <v>4894</v>
      </c>
      <c r="F88" s="326"/>
      <c r="G88" s="326"/>
      <c r="H88" s="359" t="s">
        <v>4891</v>
      </c>
    </row>
    <row r="89" spans="1:8">
      <c r="A89" s="305"/>
      <c r="B89" s="325"/>
      <c r="C89" s="325"/>
      <c r="D89" s="326"/>
      <c r="E89" s="326"/>
      <c r="F89" s="326"/>
      <c r="G89" s="326"/>
      <c r="H89" s="359"/>
    </row>
    <row r="90" spans="1:8">
      <c r="A90" s="313">
        <v>45747</v>
      </c>
      <c r="B90" s="325"/>
      <c r="C90" s="325"/>
      <c r="D90" s="326">
        <v>349800</v>
      </c>
      <c r="E90" s="326" t="s">
        <v>4893</v>
      </c>
      <c r="F90" s="326"/>
      <c r="G90" s="326"/>
      <c r="H90" s="359" t="s">
        <v>4892</v>
      </c>
    </row>
    <row r="91" spans="1:8">
      <c r="A91" s="305"/>
      <c r="B91" s="325"/>
      <c r="C91" s="325"/>
      <c r="D91" s="326"/>
      <c r="E91" s="326"/>
      <c r="F91" s="326"/>
      <c r="G91" s="326"/>
      <c r="H91" s="359"/>
    </row>
    <row r="92" spans="1:8">
      <c r="A92" s="313"/>
      <c r="B92" s="884"/>
      <c r="C92" s="671"/>
      <c r="D92" s="671"/>
      <c r="E92" s="671"/>
      <c r="F92" s="671"/>
      <c r="G92" s="671"/>
      <c r="H92" s="672"/>
    </row>
    <row r="93" spans="1:8" ht="59.25" customHeight="1">
      <c r="A93" s="305"/>
      <c r="B93" s="673"/>
      <c r="C93" s="674"/>
      <c r="D93" s="674"/>
      <c r="E93" s="674"/>
      <c r="F93" s="674"/>
      <c r="G93" s="674"/>
      <c r="H93" s="675"/>
    </row>
    <row r="94" spans="1:8">
      <c r="A94" s="313"/>
      <c r="B94" s="325"/>
      <c r="C94" s="325"/>
      <c r="D94" s="326"/>
      <c r="E94" s="326"/>
      <c r="F94" s="326"/>
      <c r="G94" s="326"/>
      <c r="H94" s="359"/>
    </row>
    <row r="95" spans="1:8">
      <c r="A95" s="305"/>
      <c r="B95" s="325"/>
      <c r="C95" s="325"/>
      <c r="D95" s="326"/>
      <c r="E95" s="326"/>
      <c r="F95" s="326"/>
      <c r="G95" s="326"/>
      <c r="H95" s="359"/>
    </row>
    <row r="96" spans="1:8">
      <c r="A96" s="313"/>
      <c r="B96" s="325"/>
      <c r="C96" s="325"/>
      <c r="D96" s="326"/>
      <c r="E96" s="326"/>
      <c r="F96" s="326"/>
      <c r="G96" s="326"/>
      <c r="H96" s="359"/>
    </row>
    <row r="97" spans="1:8">
      <c r="A97" s="305"/>
      <c r="B97" s="325"/>
      <c r="C97" s="325"/>
      <c r="D97" s="326"/>
      <c r="E97" s="326"/>
      <c r="F97" s="326"/>
      <c r="G97" s="326"/>
      <c r="H97" s="359"/>
    </row>
    <row r="98" spans="1:8">
      <c r="A98" s="305"/>
      <c r="B98" s="325"/>
      <c r="C98" s="325"/>
      <c r="D98" s="326"/>
      <c r="E98" s="326"/>
      <c r="F98" s="326"/>
      <c r="G98" s="326"/>
      <c r="H98" s="333"/>
    </row>
    <row r="99" spans="1:8">
      <c r="A99" s="305"/>
      <c r="B99" s="325"/>
      <c r="C99" s="325"/>
      <c r="D99" s="326"/>
      <c r="E99" s="326"/>
      <c r="F99" s="326"/>
      <c r="G99" s="326"/>
      <c r="H99" s="333"/>
    </row>
    <row r="100" spans="1:8">
      <c r="A100" s="313"/>
      <c r="B100" s="325"/>
      <c r="C100" s="325"/>
      <c r="D100" s="326"/>
      <c r="E100" s="326"/>
      <c r="F100" s="326"/>
      <c r="G100" s="326"/>
      <c r="H100" s="333"/>
    </row>
    <row r="101" spans="1:8">
      <c r="A101" s="305"/>
      <c r="B101" s="325"/>
      <c r="C101" s="325"/>
      <c r="D101" s="326"/>
      <c r="E101" s="326"/>
      <c r="F101" s="326"/>
      <c r="G101" s="326"/>
      <c r="H101" s="333"/>
    </row>
    <row r="102" spans="1:8">
      <c r="A102" s="305"/>
      <c r="B102" s="325"/>
      <c r="C102" s="325"/>
      <c r="D102" s="326"/>
      <c r="E102" s="326"/>
      <c r="F102" s="326"/>
      <c r="G102" s="326"/>
      <c r="H102" s="333"/>
    </row>
    <row r="103" spans="1:8">
      <c r="A103" s="305"/>
      <c r="B103" s="325"/>
      <c r="C103" s="325"/>
      <c r="D103" s="326"/>
      <c r="E103" s="326"/>
      <c r="F103" s="326"/>
      <c r="G103" s="326"/>
      <c r="H103" s="333"/>
    </row>
    <row r="104" spans="1:8">
      <c r="A104" s="305"/>
      <c r="B104" s="325"/>
      <c r="C104" s="325"/>
      <c r="D104" s="326"/>
      <c r="E104" s="326"/>
      <c r="F104" s="326"/>
      <c r="G104" s="326"/>
      <c r="H104" s="333"/>
    </row>
    <row r="105" spans="1:8">
      <c r="A105" s="305"/>
      <c r="B105" s="325"/>
      <c r="C105" s="325"/>
      <c r="D105" s="326"/>
      <c r="E105" s="326"/>
      <c r="F105" s="326"/>
      <c r="G105" s="326"/>
      <c r="H105" s="333"/>
    </row>
    <row r="106" spans="1:8">
      <c r="A106" s="305"/>
      <c r="B106" s="325"/>
      <c r="C106" s="325"/>
      <c r="D106" s="326"/>
      <c r="E106" s="326"/>
      <c r="F106" s="326"/>
      <c r="G106" s="326"/>
      <c r="H106" s="333"/>
    </row>
    <row r="107" spans="1:8">
      <c r="A107" s="305"/>
      <c r="B107" s="325"/>
      <c r="C107" s="325"/>
      <c r="D107" s="326"/>
      <c r="E107" s="326"/>
      <c r="F107" s="326"/>
      <c r="G107" s="326"/>
      <c r="H107" s="333"/>
    </row>
  </sheetData>
  <mergeCells count="306">
    <mergeCell ref="A106:A107"/>
    <mergeCell ref="B106:B107"/>
    <mergeCell ref="C106:C107"/>
    <mergeCell ref="D106:D107"/>
    <mergeCell ref="E106:G107"/>
    <mergeCell ref="H106:H107"/>
    <mergeCell ref="A104:A105"/>
    <mergeCell ref="B104:B105"/>
    <mergeCell ref="C104:C105"/>
    <mergeCell ref="D104:D105"/>
    <mergeCell ref="E104:G105"/>
    <mergeCell ref="H104:H105"/>
    <mergeCell ref="A102:A103"/>
    <mergeCell ref="B102:B103"/>
    <mergeCell ref="C102:C103"/>
    <mergeCell ref="D102:D103"/>
    <mergeCell ref="E102:G103"/>
    <mergeCell ref="H102:H103"/>
    <mergeCell ref="A100:A101"/>
    <mergeCell ref="B100:B101"/>
    <mergeCell ref="C100:C101"/>
    <mergeCell ref="D100:D101"/>
    <mergeCell ref="E100:G101"/>
    <mergeCell ref="H100:H101"/>
    <mergeCell ref="A98:A99"/>
    <mergeCell ref="B98:B99"/>
    <mergeCell ref="C98:C99"/>
    <mergeCell ref="D98:D99"/>
    <mergeCell ref="E98:G99"/>
    <mergeCell ref="H98:H99"/>
    <mergeCell ref="A96:A97"/>
    <mergeCell ref="B96:B97"/>
    <mergeCell ref="C96:C97"/>
    <mergeCell ref="D96:D97"/>
    <mergeCell ref="E96:G97"/>
    <mergeCell ref="H96:H97"/>
    <mergeCell ref="A92:A93"/>
    <mergeCell ref="B92:H93"/>
    <mergeCell ref="A94:A95"/>
    <mergeCell ref="B94:B95"/>
    <mergeCell ref="C94:C95"/>
    <mergeCell ref="D94:D95"/>
    <mergeCell ref="E94:G95"/>
    <mergeCell ref="H94:H95"/>
    <mergeCell ref="A90:A91"/>
    <mergeCell ref="B90:B91"/>
    <mergeCell ref="C90:C91"/>
    <mergeCell ref="D90:D91"/>
    <mergeCell ref="E90:G91"/>
    <mergeCell ref="H90:H91"/>
    <mergeCell ref="A88:A89"/>
    <mergeCell ref="B88:B89"/>
    <mergeCell ref="C88:C89"/>
    <mergeCell ref="D88:D89"/>
    <mergeCell ref="E88:G89"/>
    <mergeCell ref="H88:H89"/>
    <mergeCell ref="A86:A87"/>
    <mergeCell ref="B86:B87"/>
    <mergeCell ref="C86:C87"/>
    <mergeCell ref="D86:D87"/>
    <mergeCell ref="E86:G87"/>
    <mergeCell ref="H86:H87"/>
    <mergeCell ref="A84:A85"/>
    <mergeCell ref="B84:B85"/>
    <mergeCell ref="C84:C85"/>
    <mergeCell ref="D84:D85"/>
    <mergeCell ref="E84:G85"/>
    <mergeCell ref="H84:H85"/>
    <mergeCell ref="A82:A83"/>
    <mergeCell ref="B82:B83"/>
    <mergeCell ref="C82:C83"/>
    <mergeCell ref="D82:D83"/>
    <mergeCell ref="E82:G83"/>
    <mergeCell ref="H82:H83"/>
    <mergeCell ref="A80:A81"/>
    <mergeCell ref="B80:B81"/>
    <mergeCell ref="C80:C81"/>
    <mergeCell ref="D80:D81"/>
    <mergeCell ref="E80:G81"/>
    <mergeCell ref="H80:H81"/>
    <mergeCell ref="A78:A79"/>
    <mergeCell ref="B78:B79"/>
    <mergeCell ref="C78:C79"/>
    <mergeCell ref="D78:D79"/>
    <mergeCell ref="E78:G79"/>
    <mergeCell ref="H78:H79"/>
    <mergeCell ref="A76:A77"/>
    <mergeCell ref="B76:B77"/>
    <mergeCell ref="C76:C77"/>
    <mergeCell ref="D76:D77"/>
    <mergeCell ref="E76:G77"/>
    <mergeCell ref="H76:H77"/>
    <mergeCell ref="A74:A75"/>
    <mergeCell ref="B74:B75"/>
    <mergeCell ref="C74:C75"/>
    <mergeCell ref="D74:D75"/>
    <mergeCell ref="E74:G75"/>
    <mergeCell ref="H74:H75"/>
    <mergeCell ref="A72:A73"/>
    <mergeCell ref="B72:B73"/>
    <mergeCell ref="C72:C73"/>
    <mergeCell ref="D72:D73"/>
    <mergeCell ref="E72:G73"/>
    <mergeCell ref="H72:H73"/>
    <mergeCell ref="A70:A71"/>
    <mergeCell ref="B70:B71"/>
    <mergeCell ref="C70:C71"/>
    <mergeCell ref="D70:D71"/>
    <mergeCell ref="E70:G71"/>
    <mergeCell ref="H70:H71"/>
    <mergeCell ref="A68:A69"/>
    <mergeCell ref="B68:B69"/>
    <mergeCell ref="C68:C69"/>
    <mergeCell ref="D68:D69"/>
    <mergeCell ref="E68:G69"/>
    <mergeCell ref="H68:H69"/>
    <mergeCell ref="A66:A67"/>
    <mergeCell ref="B66:B67"/>
    <mergeCell ref="C66:C67"/>
    <mergeCell ref="D66:D67"/>
    <mergeCell ref="E66:G67"/>
    <mergeCell ref="H66:H67"/>
    <mergeCell ref="A64:A65"/>
    <mergeCell ref="B64:B65"/>
    <mergeCell ref="C64:C65"/>
    <mergeCell ref="D64:D65"/>
    <mergeCell ref="E64:G65"/>
    <mergeCell ref="H64:H65"/>
    <mergeCell ref="A62:A63"/>
    <mergeCell ref="B62:B63"/>
    <mergeCell ref="C62:C63"/>
    <mergeCell ref="D62:D63"/>
    <mergeCell ref="E62:G63"/>
    <mergeCell ref="H62:H63"/>
    <mergeCell ref="A60:A61"/>
    <mergeCell ref="B60:B61"/>
    <mergeCell ref="C60:C61"/>
    <mergeCell ref="D60:D61"/>
    <mergeCell ref="E60:G61"/>
    <mergeCell ref="H60:H61"/>
    <mergeCell ref="A58:A59"/>
    <mergeCell ref="B58:B59"/>
    <mergeCell ref="C58:C59"/>
    <mergeCell ref="D58:D59"/>
    <mergeCell ref="E58:G59"/>
    <mergeCell ref="H58:H59"/>
    <mergeCell ref="A56:A57"/>
    <mergeCell ref="B56:B57"/>
    <mergeCell ref="C56:C57"/>
    <mergeCell ref="D56:D57"/>
    <mergeCell ref="E56:G57"/>
    <mergeCell ref="H56:H57"/>
    <mergeCell ref="A54:A55"/>
    <mergeCell ref="B54:B55"/>
    <mergeCell ref="C54:C55"/>
    <mergeCell ref="D54:D55"/>
    <mergeCell ref="E54:G55"/>
    <mergeCell ref="H54:H55"/>
    <mergeCell ref="A52:A53"/>
    <mergeCell ref="B52:B53"/>
    <mergeCell ref="C52:C53"/>
    <mergeCell ref="D52:D53"/>
    <mergeCell ref="E52:G53"/>
    <mergeCell ref="H52:H53"/>
    <mergeCell ref="A50:A51"/>
    <mergeCell ref="B50:H51"/>
    <mergeCell ref="A48:A49"/>
    <mergeCell ref="B48:B49"/>
    <mergeCell ref="C48:C49"/>
    <mergeCell ref="D48:D49"/>
    <mergeCell ref="E48:G49"/>
    <mergeCell ref="H48:H49"/>
    <mergeCell ref="A46:A47"/>
    <mergeCell ref="B46:B47"/>
    <mergeCell ref="C46:C47"/>
    <mergeCell ref="D46:D47"/>
    <mergeCell ref="E46:G47"/>
    <mergeCell ref="H46:H47"/>
    <mergeCell ref="A39:A40"/>
    <mergeCell ref="B39:B40"/>
    <mergeCell ref="C39:C40"/>
    <mergeCell ref="D39:D40"/>
    <mergeCell ref="E39:G40"/>
    <mergeCell ref="H39:H40"/>
    <mergeCell ref="H42:H43"/>
    <mergeCell ref="A44:A45"/>
    <mergeCell ref="B44:B45"/>
    <mergeCell ref="C44:C45"/>
    <mergeCell ref="D44:D45"/>
    <mergeCell ref="E44:G45"/>
    <mergeCell ref="H44:H45"/>
    <mergeCell ref="E41:G41"/>
    <mergeCell ref="A42:A43"/>
    <mergeCell ref="B42:B43"/>
    <mergeCell ref="C42:C43"/>
    <mergeCell ref="D42:D43"/>
    <mergeCell ref="E42:G43"/>
    <mergeCell ref="A37:A38"/>
    <mergeCell ref="B37:B38"/>
    <mergeCell ref="C37:C38"/>
    <mergeCell ref="D37:D38"/>
    <mergeCell ref="E37:G38"/>
    <mergeCell ref="H37:H38"/>
    <mergeCell ref="A35:A36"/>
    <mergeCell ref="B35:B36"/>
    <mergeCell ref="C35:C36"/>
    <mergeCell ref="D35:D36"/>
    <mergeCell ref="E35:G36"/>
    <mergeCell ref="H35:H36"/>
    <mergeCell ref="A33:A34"/>
    <mergeCell ref="B33:B34"/>
    <mergeCell ref="C33:C34"/>
    <mergeCell ref="D33:D34"/>
    <mergeCell ref="E33:G34"/>
    <mergeCell ref="H33:H34"/>
    <mergeCell ref="A31:A32"/>
    <mergeCell ref="B31:H32"/>
    <mergeCell ref="A29:A30"/>
    <mergeCell ref="B29:B30"/>
    <mergeCell ref="C29:C30"/>
    <mergeCell ref="D29:D30"/>
    <mergeCell ref="E29:G30"/>
    <mergeCell ref="H29:H30"/>
    <mergeCell ref="A27:A28"/>
    <mergeCell ref="B27:B28"/>
    <mergeCell ref="C27:C28"/>
    <mergeCell ref="D27:D28"/>
    <mergeCell ref="E27:G28"/>
    <mergeCell ref="H27:H28"/>
    <mergeCell ref="A25:A26"/>
    <mergeCell ref="B25:B26"/>
    <mergeCell ref="C25:C26"/>
    <mergeCell ref="D25:D26"/>
    <mergeCell ref="E25:G26"/>
    <mergeCell ref="H25:H26"/>
    <mergeCell ref="A23:A24"/>
    <mergeCell ref="B23:B24"/>
    <mergeCell ref="C23:C24"/>
    <mergeCell ref="D23:D24"/>
    <mergeCell ref="E23:G24"/>
    <mergeCell ref="H23:H24"/>
    <mergeCell ref="A21:A22"/>
    <mergeCell ref="B21:B22"/>
    <mergeCell ref="C21:C22"/>
    <mergeCell ref="D21:D22"/>
    <mergeCell ref="E21:G22"/>
    <mergeCell ref="H21:H22"/>
    <mergeCell ref="A19:A20"/>
    <mergeCell ref="B19:B20"/>
    <mergeCell ref="C19:C20"/>
    <mergeCell ref="D19:D20"/>
    <mergeCell ref="E19:G20"/>
    <mergeCell ref="H19:H20"/>
    <mergeCell ref="E12:G12"/>
    <mergeCell ref="A13:A14"/>
    <mergeCell ref="A10:A11"/>
    <mergeCell ref="B10:B11"/>
    <mergeCell ref="C10:C11"/>
    <mergeCell ref="D10:D11"/>
    <mergeCell ref="E10:G11"/>
    <mergeCell ref="B13:H14"/>
    <mergeCell ref="A17:A18"/>
    <mergeCell ref="B17:B18"/>
    <mergeCell ref="C17:C18"/>
    <mergeCell ref="D17:D18"/>
    <mergeCell ref="E17:G18"/>
    <mergeCell ref="H17:H18"/>
    <mergeCell ref="A15:A16"/>
    <mergeCell ref="B15:B16"/>
    <mergeCell ref="C15:C16"/>
    <mergeCell ref="D15:D16"/>
    <mergeCell ref="E15:G16"/>
    <mergeCell ref="H15:H16"/>
    <mergeCell ref="H10:H11"/>
    <mergeCell ref="A8:A9"/>
    <mergeCell ref="B8:B9"/>
    <mergeCell ref="C8:C9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A3:H3"/>
    <mergeCell ref="A4:A5"/>
    <mergeCell ref="B4:B5"/>
    <mergeCell ref="C4:C5"/>
    <mergeCell ref="D4:D5"/>
    <mergeCell ref="E4:G5"/>
    <mergeCell ref="H4:H5"/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</mergeCells>
  <phoneticPr fontId="1" type="noConversion"/>
  <pageMargins left="0" right="0" top="0" bottom="0" header="0" footer="0"/>
  <pageSetup paperSize="9" scale="36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35"/>
  <sheetViews>
    <sheetView showGridLines="0" zoomScale="115" zoomScaleNormal="115" workbookViewId="0">
      <pane xSplit="8" ySplit="2" topLeftCell="I60" activePane="bottomRight" state="frozen"/>
      <selection pane="topRight" activeCell="I1" sqref="I1"/>
      <selection pane="bottomLeft" activeCell="A3" sqref="A3"/>
      <selection pane="bottomRight" activeCell="B82" sqref="B82:B83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0" max="10" width="13.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  <col min="18" max="18" width="9.5" bestFit="1" customWidth="1"/>
  </cols>
  <sheetData>
    <row r="1" spans="1:18" ht="35.25" customHeight="1" thickBot="1">
      <c r="A1" s="388" t="s">
        <v>5257</v>
      </c>
      <c r="B1" s="389"/>
      <c r="C1" s="402" t="s">
        <v>27</v>
      </c>
      <c r="D1" s="403"/>
      <c r="E1" s="21" t="s">
        <v>26</v>
      </c>
      <c r="F1" s="20">
        <f>H1/31</f>
        <v>728014.51612903224</v>
      </c>
      <c r="G1" s="21" t="s">
        <v>4</v>
      </c>
      <c r="H1" s="22">
        <f>SUM(D4:D135)</f>
        <v>22568450</v>
      </c>
      <c r="I1" s="392"/>
      <c r="J1" s="338"/>
      <c r="K1" s="394"/>
      <c r="L1" s="396"/>
      <c r="M1" s="377"/>
      <c r="N1" s="379"/>
      <c r="O1" s="381"/>
      <c r="P1" s="383"/>
      <c r="Q1" s="377"/>
      <c r="R1" s="376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385" t="s">
        <v>25</v>
      </c>
      <c r="F2" s="386"/>
      <c r="G2" s="387"/>
      <c r="H2" s="25" t="s">
        <v>5</v>
      </c>
      <c r="I2" s="393"/>
      <c r="J2" s="333"/>
      <c r="K2" s="395"/>
      <c r="L2" s="397"/>
      <c r="M2" s="378"/>
      <c r="N2" s="380"/>
      <c r="O2" s="382"/>
      <c r="P2" s="384"/>
      <c r="Q2" s="378"/>
      <c r="R2" s="376"/>
    </row>
    <row r="3" spans="1:18" ht="57.75" customHeight="1">
      <c r="A3" s="441" t="s">
        <v>4918</v>
      </c>
      <c r="B3" s="442"/>
      <c r="C3" s="442"/>
      <c r="D3" s="442"/>
      <c r="E3" s="442"/>
      <c r="F3" s="442"/>
      <c r="G3" s="442"/>
      <c r="H3" s="443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322">
        <v>45748</v>
      </c>
      <c r="B4" s="341" t="s">
        <v>41</v>
      </c>
      <c r="C4" s="341"/>
      <c r="D4" s="326">
        <v>150000</v>
      </c>
      <c r="E4" s="327"/>
      <c r="F4" s="328"/>
      <c r="G4" s="329"/>
      <c r="H4" s="398" t="s">
        <v>4896</v>
      </c>
      <c r="J4" s="43"/>
    </row>
    <row r="5" spans="1:18" ht="16.5" customHeight="1">
      <c r="A5" s="323"/>
      <c r="B5" s="342"/>
      <c r="C5" s="342"/>
      <c r="D5" s="326"/>
      <c r="E5" s="330"/>
      <c r="F5" s="331"/>
      <c r="G5" s="332"/>
      <c r="H5" s="399"/>
      <c r="J5" s="43"/>
    </row>
    <row r="6" spans="1:18" ht="16.5" customHeight="1">
      <c r="A6" s="322">
        <v>45749</v>
      </c>
      <c r="B6" s="341" t="s">
        <v>4897</v>
      </c>
      <c r="C6" s="341"/>
      <c r="D6" s="343">
        <v>150000</v>
      </c>
      <c r="E6" s="327"/>
      <c r="F6" s="345"/>
      <c r="G6" s="346"/>
      <c r="H6" s="398" t="s">
        <v>4898</v>
      </c>
    </row>
    <row r="7" spans="1:18" ht="51" customHeight="1">
      <c r="A7" s="323"/>
      <c r="B7" s="342"/>
      <c r="C7" s="342"/>
      <c r="D7" s="344"/>
      <c r="E7" s="347"/>
      <c r="F7" s="348"/>
      <c r="G7" s="349"/>
      <c r="H7" s="399"/>
    </row>
    <row r="8" spans="1:18" ht="16.5" customHeight="1">
      <c r="A8" s="322">
        <v>45749</v>
      </c>
      <c r="B8" s="324" t="s">
        <v>4899</v>
      </c>
      <c r="C8" s="341"/>
      <c r="D8" s="326">
        <v>791000</v>
      </c>
      <c r="E8" s="327" t="s">
        <v>4900</v>
      </c>
      <c r="F8" s="328"/>
      <c r="G8" s="329"/>
      <c r="H8" s="400" t="s">
        <v>4901</v>
      </c>
      <c r="J8" s="48"/>
    </row>
    <row r="9" spans="1:18" ht="33.75" customHeight="1">
      <c r="A9" s="323"/>
      <c r="B9" s="325"/>
      <c r="C9" s="342"/>
      <c r="D9" s="326"/>
      <c r="E9" s="330"/>
      <c r="F9" s="331"/>
      <c r="G9" s="332"/>
      <c r="H9" s="401"/>
    </row>
    <row r="10" spans="1:18" ht="16.5" customHeight="1">
      <c r="A10" s="322">
        <v>45749</v>
      </c>
      <c r="B10" s="324" t="s">
        <v>4902</v>
      </c>
      <c r="C10" s="341"/>
      <c r="D10" s="326">
        <v>1864000</v>
      </c>
      <c r="E10" s="562" t="s">
        <v>4906</v>
      </c>
      <c r="F10" s="582"/>
      <c r="G10" s="583"/>
      <c r="H10" s="350" t="s">
        <v>4903</v>
      </c>
    </row>
    <row r="11" spans="1:18" ht="26.25" customHeight="1">
      <c r="A11" s="323"/>
      <c r="B11" s="325"/>
      <c r="C11" s="342"/>
      <c r="D11" s="326"/>
      <c r="E11" s="584"/>
      <c r="F11" s="585"/>
      <c r="G11" s="586"/>
      <c r="H11" s="351"/>
    </row>
    <row r="12" spans="1:18" ht="45" customHeight="1">
      <c r="A12" s="206">
        <v>45749</v>
      </c>
      <c r="B12" s="207" t="s">
        <v>4910</v>
      </c>
      <c r="C12" s="207"/>
      <c r="D12" s="208">
        <v>370000</v>
      </c>
      <c r="E12" s="650" t="s">
        <v>4911</v>
      </c>
      <c r="F12" s="628"/>
      <c r="G12" s="629"/>
      <c r="H12" s="98" t="s">
        <v>4905</v>
      </c>
    </row>
    <row r="13" spans="1:18">
      <c r="A13" s="322">
        <v>45750</v>
      </c>
      <c r="B13" s="324" t="s">
        <v>4908</v>
      </c>
      <c r="C13" s="325"/>
      <c r="D13" s="326">
        <v>180000</v>
      </c>
      <c r="E13" s="337" t="s">
        <v>4909</v>
      </c>
      <c r="F13" s="326"/>
      <c r="G13" s="326"/>
      <c r="H13" s="359" t="s">
        <v>4904</v>
      </c>
    </row>
    <row r="14" spans="1:18" ht="42.75" customHeight="1">
      <c r="A14" s="323"/>
      <c r="B14" s="325"/>
      <c r="C14" s="325"/>
      <c r="D14" s="326"/>
      <c r="E14" s="326"/>
      <c r="F14" s="326"/>
      <c r="G14" s="326"/>
      <c r="H14" s="359"/>
    </row>
    <row r="15" spans="1:18">
      <c r="A15" s="322">
        <v>45750</v>
      </c>
      <c r="B15" s="325" t="s">
        <v>4953</v>
      </c>
      <c r="C15" s="325"/>
      <c r="D15" s="326">
        <v>150000</v>
      </c>
      <c r="E15" s="574" t="s">
        <v>4906</v>
      </c>
      <c r="F15" s="575"/>
      <c r="G15" s="575"/>
      <c r="H15" s="359" t="s">
        <v>2997</v>
      </c>
    </row>
    <row r="16" spans="1:18" ht="30.75" customHeight="1">
      <c r="A16" s="323"/>
      <c r="B16" s="325"/>
      <c r="C16" s="325"/>
      <c r="D16" s="326"/>
      <c r="E16" s="575"/>
      <c r="F16" s="575"/>
      <c r="G16" s="575"/>
      <c r="H16" s="359"/>
    </row>
    <row r="17" spans="1:8">
      <c r="A17" s="322">
        <v>45750</v>
      </c>
      <c r="B17" s="341" t="s">
        <v>4907</v>
      </c>
      <c r="C17" s="353"/>
      <c r="D17" s="343">
        <v>215000</v>
      </c>
      <c r="E17" s="337" t="s">
        <v>4909</v>
      </c>
      <c r="F17" s="731"/>
      <c r="G17" s="731"/>
      <c r="H17" s="359" t="s">
        <v>4905</v>
      </c>
    </row>
    <row r="18" spans="1:8" s="209" customFormat="1">
      <c r="A18" s="323"/>
      <c r="B18" s="342"/>
      <c r="C18" s="352"/>
      <c r="D18" s="344"/>
      <c r="E18" s="731"/>
      <c r="F18" s="731"/>
      <c r="G18" s="731"/>
      <c r="H18" s="359"/>
    </row>
    <row r="19" spans="1:8">
      <c r="A19" s="322">
        <v>45750</v>
      </c>
      <c r="B19" s="324" t="s">
        <v>4912</v>
      </c>
      <c r="C19" s="325"/>
      <c r="D19" s="343">
        <v>220000</v>
      </c>
      <c r="E19" s="337" t="s">
        <v>4913</v>
      </c>
      <c r="F19" s="326"/>
      <c r="G19" s="326"/>
      <c r="H19" s="359" t="s">
        <v>4914</v>
      </c>
    </row>
    <row r="20" spans="1:8" ht="28.5" customHeight="1">
      <c r="A20" s="323"/>
      <c r="B20" s="325"/>
      <c r="C20" s="325"/>
      <c r="D20" s="344"/>
      <c r="E20" s="326"/>
      <c r="F20" s="326"/>
      <c r="G20" s="326"/>
      <c r="H20" s="359"/>
    </row>
    <row r="21" spans="1:8" ht="16.5" customHeight="1">
      <c r="A21" s="336">
        <v>45752</v>
      </c>
      <c r="B21" s="324" t="s">
        <v>4915</v>
      </c>
      <c r="C21" s="325"/>
      <c r="D21" s="326">
        <v>330000</v>
      </c>
      <c r="E21" s="327" t="s">
        <v>4917</v>
      </c>
      <c r="F21" s="328"/>
      <c r="G21" s="329"/>
      <c r="H21" s="400" t="s">
        <v>4916</v>
      </c>
    </row>
    <row r="22" spans="1:8" ht="16.5" customHeight="1">
      <c r="A22" s="323"/>
      <c r="B22" s="325"/>
      <c r="C22" s="325"/>
      <c r="D22" s="326"/>
      <c r="E22" s="330"/>
      <c r="F22" s="331"/>
      <c r="G22" s="332"/>
      <c r="H22" s="401"/>
    </row>
    <row r="23" spans="1:8" ht="16.5" customHeight="1">
      <c r="A23" s="336"/>
      <c r="B23" s="568" t="s">
        <v>4961</v>
      </c>
      <c r="C23" s="569"/>
      <c r="D23" s="569"/>
      <c r="E23" s="569"/>
      <c r="F23" s="569"/>
      <c r="G23" s="569"/>
      <c r="H23" s="570"/>
    </row>
    <row r="24" spans="1:8" ht="41.25" customHeight="1">
      <c r="A24" s="323"/>
      <c r="B24" s="571"/>
      <c r="C24" s="572"/>
      <c r="D24" s="572"/>
      <c r="E24" s="572"/>
      <c r="F24" s="572"/>
      <c r="G24" s="572"/>
      <c r="H24" s="573"/>
    </row>
    <row r="25" spans="1:8" ht="16.5" customHeight="1">
      <c r="A25" s="336">
        <v>45754</v>
      </c>
      <c r="B25" s="324" t="s">
        <v>4920</v>
      </c>
      <c r="C25" s="326"/>
      <c r="D25" s="326">
        <v>550000</v>
      </c>
      <c r="E25" s="562" t="s">
        <v>4923</v>
      </c>
      <c r="F25" s="582"/>
      <c r="G25" s="583"/>
      <c r="H25" s="359" t="s">
        <v>4919</v>
      </c>
    </row>
    <row r="26" spans="1:8" ht="16.5" customHeight="1">
      <c r="A26" s="323"/>
      <c r="B26" s="325"/>
      <c r="C26" s="326"/>
      <c r="D26" s="326"/>
      <c r="E26" s="584"/>
      <c r="F26" s="585"/>
      <c r="G26" s="586"/>
      <c r="H26" s="359"/>
    </row>
    <row r="27" spans="1:8">
      <c r="A27" s="322">
        <v>45754</v>
      </c>
      <c r="B27" s="324" t="s">
        <v>4985</v>
      </c>
      <c r="C27" s="325"/>
      <c r="D27" s="326">
        <v>180000</v>
      </c>
      <c r="E27" s="337"/>
      <c r="F27" s="326"/>
      <c r="G27" s="326"/>
      <c r="H27" s="359" t="s">
        <v>5061</v>
      </c>
    </row>
    <row r="28" spans="1:8" ht="21.75" customHeight="1">
      <c r="A28" s="323"/>
      <c r="B28" s="325"/>
      <c r="C28" s="325"/>
      <c r="D28" s="326"/>
      <c r="E28" s="326"/>
      <c r="F28" s="326"/>
      <c r="G28" s="326"/>
      <c r="H28" s="359"/>
    </row>
    <row r="29" spans="1:8" ht="16.5" customHeight="1">
      <c r="A29" s="322">
        <v>45754</v>
      </c>
      <c r="B29" s="324" t="s">
        <v>4921</v>
      </c>
      <c r="C29" s="325"/>
      <c r="D29" s="326">
        <v>80000</v>
      </c>
      <c r="E29" s="326" t="s">
        <v>4922</v>
      </c>
      <c r="F29" s="326"/>
      <c r="G29" s="326"/>
      <c r="H29" s="359" t="s">
        <v>4919</v>
      </c>
    </row>
    <row r="30" spans="1:8" ht="16.5" customHeight="1">
      <c r="A30" s="323"/>
      <c r="B30" s="325"/>
      <c r="C30" s="325"/>
      <c r="D30" s="326"/>
      <c r="E30" s="326"/>
      <c r="F30" s="326"/>
      <c r="G30" s="326"/>
      <c r="H30" s="359"/>
    </row>
    <row r="31" spans="1:8" ht="15.75" customHeight="1">
      <c r="A31" s="322">
        <v>45754</v>
      </c>
      <c r="B31" s="324" t="s">
        <v>4924</v>
      </c>
      <c r="C31" s="325"/>
      <c r="D31" s="326">
        <v>80000</v>
      </c>
      <c r="E31" s="326" t="s">
        <v>4925</v>
      </c>
      <c r="F31" s="326"/>
      <c r="G31" s="326"/>
      <c r="H31" s="359" t="s">
        <v>4926</v>
      </c>
    </row>
    <row r="32" spans="1:8">
      <c r="A32" s="323"/>
      <c r="B32" s="325"/>
      <c r="C32" s="325"/>
      <c r="D32" s="326"/>
      <c r="E32" s="326"/>
      <c r="F32" s="326"/>
      <c r="G32" s="326"/>
      <c r="H32" s="359"/>
    </row>
    <row r="33" spans="1:8" ht="16.5" customHeight="1">
      <c r="A33" s="322">
        <v>45755</v>
      </c>
      <c r="B33" s="324" t="s">
        <v>4929</v>
      </c>
      <c r="C33" s="325"/>
      <c r="D33" s="326">
        <v>520000</v>
      </c>
      <c r="E33" s="562" t="s">
        <v>4932</v>
      </c>
      <c r="F33" s="582"/>
      <c r="G33" s="583"/>
      <c r="H33" s="359" t="s">
        <v>4928</v>
      </c>
    </row>
    <row r="34" spans="1:8" ht="16.5" customHeight="1">
      <c r="A34" s="323"/>
      <c r="B34" s="325"/>
      <c r="C34" s="325"/>
      <c r="D34" s="326"/>
      <c r="E34" s="584"/>
      <c r="F34" s="585"/>
      <c r="G34" s="586"/>
      <c r="H34" s="359"/>
    </row>
    <row r="35" spans="1:8">
      <c r="A35" s="322">
        <v>45755</v>
      </c>
      <c r="B35" s="325" t="s">
        <v>4930</v>
      </c>
      <c r="C35" s="325"/>
      <c r="D35" s="326">
        <v>760000</v>
      </c>
      <c r="E35" s="326" t="s">
        <v>4931</v>
      </c>
      <c r="F35" s="326"/>
      <c r="G35" s="326"/>
      <c r="H35" s="359" t="s">
        <v>145</v>
      </c>
    </row>
    <row r="36" spans="1:8">
      <c r="A36" s="323"/>
      <c r="B36" s="325"/>
      <c r="C36" s="325"/>
      <c r="D36" s="326"/>
      <c r="E36" s="326"/>
      <c r="F36" s="326"/>
      <c r="G36" s="326"/>
      <c r="H36" s="359"/>
    </row>
    <row r="37" spans="1:8" ht="33" customHeight="1">
      <c r="A37" s="211">
        <v>45757</v>
      </c>
      <c r="B37" s="212" t="s">
        <v>4938</v>
      </c>
      <c r="C37" s="212"/>
      <c r="D37" s="213">
        <v>260000</v>
      </c>
      <c r="E37" s="808" t="s">
        <v>4940</v>
      </c>
      <c r="F37" s="722"/>
      <c r="G37" s="723"/>
      <c r="H37" s="210" t="s">
        <v>4939</v>
      </c>
    </row>
    <row r="38" spans="1:8" ht="17.25" customHeight="1">
      <c r="A38" s="322">
        <v>45758</v>
      </c>
      <c r="B38" s="325" t="s">
        <v>4942</v>
      </c>
      <c r="C38" s="325"/>
      <c r="D38" s="326">
        <v>205000</v>
      </c>
      <c r="E38" s="337" t="s">
        <v>4934</v>
      </c>
      <c r="F38" s="326"/>
      <c r="G38" s="326"/>
      <c r="H38" s="359" t="s">
        <v>4935</v>
      </c>
    </row>
    <row r="39" spans="1:8" ht="24.75" customHeight="1">
      <c r="A39" s="323"/>
      <c r="B39" s="325"/>
      <c r="C39" s="325"/>
      <c r="D39" s="326"/>
      <c r="E39" s="326"/>
      <c r="F39" s="326"/>
      <c r="G39" s="326"/>
      <c r="H39" s="359"/>
    </row>
    <row r="40" spans="1:8">
      <c r="A40" s="322">
        <v>45758</v>
      </c>
      <c r="B40" s="325" t="s">
        <v>4937</v>
      </c>
      <c r="C40" s="325"/>
      <c r="D40" s="326">
        <v>310000</v>
      </c>
      <c r="E40" s="337" t="s">
        <v>4933</v>
      </c>
      <c r="F40" s="326"/>
      <c r="G40" s="326"/>
      <c r="H40" s="359" t="s">
        <v>4936</v>
      </c>
    </row>
    <row r="41" spans="1:8">
      <c r="A41" s="323"/>
      <c r="B41" s="325"/>
      <c r="C41" s="325"/>
      <c r="D41" s="326"/>
      <c r="E41" s="326"/>
      <c r="F41" s="326"/>
      <c r="G41" s="326"/>
      <c r="H41" s="359"/>
    </row>
    <row r="42" spans="1:8">
      <c r="A42" s="322">
        <v>45758</v>
      </c>
      <c r="B42" s="325" t="s">
        <v>4941</v>
      </c>
      <c r="C42" s="325"/>
      <c r="D42" s="326">
        <v>135000</v>
      </c>
      <c r="E42" s="326" t="s">
        <v>4964</v>
      </c>
      <c r="F42" s="326"/>
      <c r="G42" s="326"/>
      <c r="H42" s="359" t="s">
        <v>4952</v>
      </c>
    </row>
    <row r="43" spans="1:8">
      <c r="A43" s="323"/>
      <c r="B43" s="325"/>
      <c r="C43" s="325"/>
      <c r="D43" s="326"/>
      <c r="E43" s="326"/>
      <c r="F43" s="326"/>
      <c r="G43" s="326"/>
      <c r="H43" s="359"/>
    </row>
    <row r="44" spans="1:8">
      <c r="A44" s="322">
        <v>45758</v>
      </c>
      <c r="B44" s="325" t="s">
        <v>4948</v>
      </c>
      <c r="C44" s="325"/>
      <c r="D44" s="326">
        <v>310000</v>
      </c>
      <c r="E44" s="575" t="s">
        <v>4968</v>
      </c>
      <c r="F44" s="575"/>
      <c r="G44" s="575"/>
      <c r="H44" s="333" t="s">
        <v>4950</v>
      </c>
    </row>
    <row r="45" spans="1:8">
      <c r="A45" s="323"/>
      <c r="B45" s="325"/>
      <c r="C45" s="325"/>
      <c r="D45" s="326"/>
      <c r="E45" s="575"/>
      <c r="F45" s="575"/>
      <c r="G45" s="575"/>
      <c r="H45" s="333"/>
    </row>
    <row r="46" spans="1:8">
      <c r="A46" s="322">
        <v>45758</v>
      </c>
      <c r="B46" s="325" t="s">
        <v>4949</v>
      </c>
      <c r="C46" s="325"/>
      <c r="D46" s="326">
        <v>260000</v>
      </c>
      <c r="E46" s="575" t="s">
        <v>4968</v>
      </c>
      <c r="F46" s="575"/>
      <c r="G46" s="575"/>
      <c r="H46" s="333" t="s">
        <v>4951</v>
      </c>
    </row>
    <row r="47" spans="1:8">
      <c r="A47" s="323"/>
      <c r="B47" s="325"/>
      <c r="C47" s="325"/>
      <c r="D47" s="326"/>
      <c r="E47" s="575"/>
      <c r="F47" s="575"/>
      <c r="G47" s="575"/>
      <c r="H47" s="333"/>
    </row>
    <row r="48" spans="1:8">
      <c r="A48" s="322">
        <v>45758</v>
      </c>
      <c r="B48" s="325" t="s">
        <v>4943</v>
      </c>
      <c r="C48" s="325"/>
      <c r="D48" s="326">
        <v>240000</v>
      </c>
      <c r="E48" s="914" t="s">
        <v>4964</v>
      </c>
      <c r="F48" s="914"/>
      <c r="G48" s="914"/>
      <c r="H48" s="359" t="s">
        <v>4944</v>
      </c>
    </row>
    <row r="49" spans="1:8">
      <c r="A49" s="323"/>
      <c r="B49" s="325"/>
      <c r="C49" s="325"/>
      <c r="D49" s="326"/>
      <c r="E49" s="914"/>
      <c r="F49" s="914"/>
      <c r="G49" s="914"/>
      <c r="H49" s="359"/>
    </row>
    <row r="50" spans="1:8">
      <c r="A50" s="322"/>
      <c r="B50" s="917" t="s">
        <v>4986</v>
      </c>
      <c r="C50" s="918"/>
      <c r="D50" s="918"/>
      <c r="E50" s="918"/>
      <c r="F50" s="918"/>
      <c r="G50" s="918"/>
      <c r="H50" s="919"/>
    </row>
    <row r="51" spans="1:8" ht="34.5" customHeight="1">
      <c r="A51" s="323"/>
      <c r="B51" s="920"/>
      <c r="C51" s="921"/>
      <c r="D51" s="921"/>
      <c r="E51" s="921"/>
      <c r="F51" s="921"/>
      <c r="G51" s="921"/>
      <c r="H51" s="922"/>
    </row>
    <row r="52" spans="1:8">
      <c r="A52" s="322">
        <v>45761</v>
      </c>
      <c r="B52" s="325" t="s">
        <v>4945</v>
      </c>
      <c r="C52" s="325"/>
      <c r="D52" s="326">
        <v>147000</v>
      </c>
      <c r="E52" s="326" t="s">
        <v>4965</v>
      </c>
      <c r="F52" s="326"/>
      <c r="G52" s="326"/>
      <c r="H52" s="359" t="s">
        <v>4947</v>
      </c>
    </row>
    <row r="53" spans="1:8">
      <c r="A53" s="323"/>
      <c r="B53" s="325"/>
      <c r="C53" s="325"/>
      <c r="D53" s="326"/>
      <c r="E53" s="326"/>
      <c r="F53" s="326"/>
      <c r="G53" s="326"/>
      <c r="H53" s="359"/>
    </row>
    <row r="54" spans="1:8">
      <c r="A54" s="322">
        <v>45761</v>
      </c>
      <c r="B54" s="325" t="s">
        <v>4946</v>
      </c>
      <c r="C54" s="325"/>
      <c r="D54" s="326">
        <v>82000</v>
      </c>
      <c r="E54" s="326" t="s">
        <v>4964</v>
      </c>
      <c r="F54" s="326"/>
      <c r="G54" s="326"/>
      <c r="H54" s="359" t="s">
        <v>5060</v>
      </c>
    </row>
    <row r="55" spans="1:8">
      <c r="A55" s="323"/>
      <c r="B55" s="325"/>
      <c r="C55" s="325"/>
      <c r="D55" s="326"/>
      <c r="E55" s="326"/>
      <c r="F55" s="326"/>
      <c r="G55" s="326"/>
      <c r="H55" s="359"/>
    </row>
    <row r="56" spans="1:8">
      <c r="A56" s="322">
        <v>45762</v>
      </c>
      <c r="B56" s="325" t="s">
        <v>4957</v>
      </c>
      <c r="C56" s="325"/>
      <c r="D56" s="326"/>
      <c r="E56" s="326" t="s">
        <v>4964</v>
      </c>
      <c r="F56" s="326"/>
      <c r="G56" s="326"/>
      <c r="H56" s="333" t="s">
        <v>4958</v>
      </c>
    </row>
    <row r="57" spans="1:8">
      <c r="A57" s="323"/>
      <c r="B57" s="325"/>
      <c r="C57" s="325"/>
      <c r="D57" s="326"/>
      <c r="E57" s="326"/>
      <c r="F57" s="326"/>
      <c r="G57" s="326"/>
      <c r="H57" s="333"/>
    </row>
    <row r="58" spans="1:8" ht="17.25" customHeight="1">
      <c r="A58" s="322">
        <v>45762</v>
      </c>
      <c r="B58" s="325" t="s">
        <v>4956</v>
      </c>
      <c r="C58" s="325"/>
      <c r="D58" s="326">
        <v>310000</v>
      </c>
      <c r="E58" s="575" t="s">
        <v>4960</v>
      </c>
      <c r="F58" s="575"/>
      <c r="G58" s="575"/>
      <c r="H58" s="333" t="s">
        <v>4959</v>
      </c>
    </row>
    <row r="59" spans="1:8" ht="17.25" customHeight="1">
      <c r="A59" s="323"/>
      <c r="B59" s="325"/>
      <c r="C59" s="325"/>
      <c r="D59" s="326"/>
      <c r="E59" s="575"/>
      <c r="F59" s="575"/>
      <c r="G59" s="575"/>
      <c r="H59" s="333"/>
    </row>
    <row r="60" spans="1:8" ht="17.25" customHeight="1">
      <c r="A60" s="322">
        <v>45762</v>
      </c>
      <c r="B60" s="325" t="s">
        <v>4962</v>
      </c>
      <c r="C60" s="325"/>
      <c r="D60" s="326">
        <v>210000</v>
      </c>
      <c r="E60" s="326" t="s">
        <v>4963</v>
      </c>
      <c r="F60" s="326"/>
      <c r="G60" s="326"/>
      <c r="H60" s="359" t="s">
        <v>145</v>
      </c>
    </row>
    <row r="61" spans="1:8" ht="17.25" customHeight="1">
      <c r="A61" s="323"/>
      <c r="B61" s="325"/>
      <c r="C61" s="325"/>
      <c r="D61" s="326"/>
      <c r="E61" s="326"/>
      <c r="F61" s="326"/>
      <c r="G61" s="326"/>
      <c r="H61" s="359"/>
    </row>
    <row r="62" spans="1:8">
      <c r="A62" s="322">
        <v>45762</v>
      </c>
      <c r="B62" s="325" t="s">
        <v>4967</v>
      </c>
      <c r="C62" s="325"/>
      <c r="D62" s="326">
        <v>65000</v>
      </c>
      <c r="E62" s="326" t="s">
        <v>4964</v>
      </c>
      <c r="F62" s="326"/>
      <c r="G62" s="326"/>
      <c r="H62" s="359" t="s">
        <v>4966</v>
      </c>
    </row>
    <row r="63" spans="1:8">
      <c r="A63" s="323"/>
      <c r="B63" s="325"/>
      <c r="C63" s="325"/>
      <c r="D63" s="326"/>
      <c r="E63" s="326"/>
      <c r="F63" s="326"/>
      <c r="G63" s="326"/>
      <c r="H63" s="359"/>
    </row>
    <row r="64" spans="1:8" ht="17.25" customHeight="1">
      <c r="A64" s="322">
        <v>45763</v>
      </c>
      <c r="B64" s="325" t="s">
        <v>4969</v>
      </c>
      <c r="C64" s="325"/>
      <c r="D64" s="326">
        <v>350000</v>
      </c>
      <c r="E64" s="326" t="s">
        <v>4970</v>
      </c>
      <c r="F64" s="326"/>
      <c r="G64" s="326"/>
      <c r="H64" s="359" t="s">
        <v>4971</v>
      </c>
    </row>
    <row r="65" spans="1:8" ht="17.25" customHeight="1">
      <c r="A65" s="323"/>
      <c r="B65" s="325"/>
      <c r="C65" s="325"/>
      <c r="D65" s="326"/>
      <c r="E65" s="326"/>
      <c r="F65" s="326"/>
      <c r="G65" s="326"/>
      <c r="H65" s="359"/>
    </row>
    <row r="66" spans="1:8">
      <c r="A66" s="322">
        <v>45764</v>
      </c>
      <c r="B66" s="325" t="s">
        <v>4977</v>
      </c>
      <c r="C66" s="325"/>
      <c r="D66" s="326">
        <v>80000</v>
      </c>
      <c r="E66" s="326" t="s">
        <v>4981</v>
      </c>
      <c r="F66" s="326"/>
      <c r="G66" s="326"/>
      <c r="H66" s="359" t="s">
        <v>4972</v>
      </c>
    </row>
    <row r="67" spans="1:8">
      <c r="A67" s="323"/>
      <c r="B67" s="325"/>
      <c r="C67" s="325"/>
      <c r="D67" s="326"/>
      <c r="E67" s="326"/>
      <c r="F67" s="326"/>
      <c r="G67" s="326"/>
      <c r="H67" s="359"/>
    </row>
    <row r="68" spans="1:8">
      <c r="A68" s="322">
        <v>45764</v>
      </c>
      <c r="B68" s="325" t="s">
        <v>4978</v>
      </c>
      <c r="C68" s="325"/>
      <c r="D68" s="326">
        <v>60000</v>
      </c>
      <c r="E68" s="326" t="s">
        <v>4980</v>
      </c>
      <c r="F68" s="326"/>
      <c r="G68" s="326"/>
      <c r="H68" s="359" t="s">
        <v>4972</v>
      </c>
    </row>
    <row r="69" spans="1:8">
      <c r="A69" s="323"/>
      <c r="B69" s="325"/>
      <c r="C69" s="325"/>
      <c r="D69" s="326"/>
      <c r="E69" s="326"/>
      <c r="F69" s="326"/>
      <c r="G69" s="326"/>
      <c r="H69" s="359"/>
    </row>
    <row r="70" spans="1:8">
      <c r="A70" s="313">
        <v>45765</v>
      </c>
      <c r="B70" s="325" t="s">
        <v>4979</v>
      </c>
      <c r="C70" s="325"/>
      <c r="D70" s="326">
        <v>127000</v>
      </c>
      <c r="E70" s="326" t="s">
        <v>4980</v>
      </c>
      <c r="F70" s="326"/>
      <c r="G70" s="326"/>
      <c r="H70" s="359" t="s">
        <v>4974</v>
      </c>
    </row>
    <row r="71" spans="1:8">
      <c r="A71" s="305"/>
      <c r="B71" s="325"/>
      <c r="C71" s="325"/>
      <c r="D71" s="326"/>
      <c r="E71" s="326"/>
      <c r="F71" s="326"/>
      <c r="G71" s="326"/>
      <c r="H71" s="359"/>
    </row>
    <row r="72" spans="1:8">
      <c r="A72" s="313">
        <v>45765</v>
      </c>
      <c r="B72" s="325" t="s">
        <v>4976</v>
      </c>
      <c r="C72" s="325"/>
      <c r="D72" s="326">
        <v>711150</v>
      </c>
      <c r="E72" s="326" t="s">
        <v>4982</v>
      </c>
      <c r="F72" s="326"/>
      <c r="G72" s="326"/>
      <c r="H72" s="333" t="s">
        <v>4973</v>
      </c>
    </row>
    <row r="73" spans="1:8">
      <c r="A73" s="305"/>
      <c r="B73" s="325"/>
      <c r="C73" s="325"/>
      <c r="D73" s="326"/>
      <c r="E73" s="326"/>
      <c r="F73" s="326"/>
      <c r="G73" s="326"/>
      <c r="H73" s="333"/>
    </row>
    <row r="74" spans="1:8">
      <c r="A74" s="313">
        <v>45765</v>
      </c>
      <c r="B74" s="325" t="s">
        <v>4984</v>
      </c>
      <c r="C74" s="325"/>
      <c r="D74" s="343">
        <v>230000</v>
      </c>
      <c r="E74" s="326" t="s">
        <v>4983</v>
      </c>
      <c r="F74" s="326"/>
      <c r="G74" s="326"/>
      <c r="H74" s="359" t="s">
        <v>4975</v>
      </c>
    </row>
    <row r="75" spans="1:8">
      <c r="A75" s="305"/>
      <c r="B75" s="325"/>
      <c r="C75" s="325"/>
      <c r="D75" s="344"/>
      <c r="E75" s="326"/>
      <c r="F75" s="326"/>
      <c r="G75" s="326"/>
      <c r="H75" s="359"/>
    </row>
    <row r="76" spans="1:8">
      <c r="A76" s="313">
        <v>45765</v>
      </c>
      <c r="B76" s="325" t="s">
        <v>5089</v>
      </c>
      <c r="C76" s="325"/>
      <c r="D76" s="343">
        <v>1100000</v>
      </c>
      <c r="E76" s="575" t="s">
        <v>5090</v>
      </c>
      <c r="F76" s="575"/>
      <c r="G76" s="575"/>
      <c r="H76" s="359" t="s">
        <v>145</v>
      </c>
    </row>
    <row r="77" spans="1:8">
      <c r="A77" s="305"/>
      <c r="B77" s="325"/>
      <c r="C77" s="325"/>
      <c r="D77" s="344"/>
      <c r="E77" s="575"/>
      <c r="F77" s="575"/>
      <c r="G77" s="575"/>
      <c r="H77" s="359"/>
    </row>
    <row r="78" spans="1:8">
      <c r="A78" s="313">
        <v>45765</v>
      </c>
      <c r="B78" s="325" t="s">
        <v>5091</v>
      </c>
      <c r="C78" s="325"/>
      <c r="D78" s="326">
        <v>430000</v>
      </c>
      <c r="E78" s="326" t="s">
        <v>5092</v>
      </c>
      <c r="F78" s="326"/>
      <c r="G78" s="326"/>
      <c r="H78" s="359" t="s">
        <v>145</v>
      </c>
    </row>
    <row r="79" spans="1:8">
      <c r="A79" s="305"/>
      <c r="B79" s="325"/>
      <c r="C79" s="325"/>
      <c r="D79" s="326"/>
      <c r="E79" s="326"/>
      <c r="F79" s="326"/>
      <c r="G79" s="326"/>
      <c r="H79" s="359"/>
    </row>
    <row r="80" spans="1:8">
      <c r="A80" s="313"/>
      <c r="B80" s="884" t="s">
        <v>4987</v>
      </c>
      <c r="C80" s="671"/>
      <c r="D80" s="671"/>
      <c r="E80" s="671"/>
      <c r="F80" s="671"/>
      <c r="G80" s="671"/>
      <c r="H80" s="672"/>
    </row>
    <row r="81" spans="1:8" ht="27.75" customHeight="1">
      <c r="A81" s="305"/>
      <c r="B81" s="673"/>
      <c r="C81" s="674"/>
      <c r="D81" s="674"/>
      <c r="E81" s="674"/>
      <c r="F81" s="674"/>
      <c r="G81" s="674"/>
      <c r="H81" s="675"/>
    </row>
    <row r="82" spans="1:8">
      <c r="A82" s="313">
        <v>45768</v>
      </c>
      <c r="B82" s="325" t="s">
        <v>4989</v>
      </c>
      <c r="C82" s="325"/>
      <c r="D82" s="326">
        <v>431200</v>
      </c>
      <c r="E82" s="326" t="s">
        <v>4990</v>
      </c>
      <c r="F82" s="326"/>
      <c r="G82" s="326"/>
      <c r="H82" s="359" t="s">
        <v>4988</v>
      </c>
    </row>
    <row r="83" spans="1:8">
      <c r="A83" s="305"/>
      <c r="B83" s="325"/>
      <c r="C83" s="325"/>
      <c r="D83" s="326"/>
      <c r="E83" s="326"/>
      <c r="F83" s="326"/>
      <c r="G83" s="326"/>
      <c r="H83" s="359"/>
    </row>
    <row r="84" spans="1:8">
      <c r="A84" s="313">
        <v>45768</v>
      </c>
      <c r="B84" s="325" t="s">
        <v>4991</v>
      </c>
      <c r="C84" s="325"/>
      <c r="D84" s="326">
        <v>12100</v>
      </c>
      <c r="E84" s="326" t="s">
        <v>4992</v>
      </c>
      <c r="F84" s="326"/>
      <c r="G84" s="326"/>
      <c r="H84" s="359" t="s">
        <v>4988</v>
      </c>
    </row>
    <row r="85" spans="1:8">
      <c r="A85" s="305"/>
      <c r="B85" s="325"/>
      <c r="C85" s="325"/>
      <c r="D85" s="326"/>
      <c r="E85" s="326"/>
      <c r="F85" s="326"/>
      <c r="G85" s="326"/>
      <c r="H85" s="359"/>
    </row>
    <row r="86" spans="1:8">
      <c r="A86" s="313">
        <v>45768</v>
      </c>
      <c r="B86" s="325" t="s">
        <v>4991</v>
      </c>
      <c r="C86" s="325"/>
      <c r="D86" s="326">
        <v>35000</v>
      </c>
      <c r="E86" s="326" t="s">
        <v>4994</v>
      </c>
      <c r="F86" s="326"/>
      <c r="G86" s="326"/>
      <c r="H86" s="359" t="s">
        <v>4993</v>
      </c>
    </row>
    <row r="87" spans="1:8">
      <c r="A87" s="305"/>
      <c r="B87" s="325"/>
      <c r="C87" s="325"/>
      <c r="D87" s="326"/>
      <c r="E87" s="326"/>
      <c r="F87" s="326"/>
      <c r="G87" s="326"/>
      <c r="H87" s="359"/>
    </row>
    <row r="88" spans="1:8">
      <c r="A88" s="313">
        <v>45769</v>
      </c>
      <c r="B88" s="325" t="s">
        <v>4996</v>
      </c>
      <c r="C88" s="325"/>
      <c r="D88" s="326">
        <v>110000</v>
      </c>
      <c r="E88" s="326" t="s">
        <v>5029</v>
      </c>
      <c r="F88" s="326"/>
      <c r="G88" s="326"/>
      <c r="H88" s="359" t="s">
        <v>4995</v>
      </c>
    </row>
    <row r="89" spans="1:8">
      <c r="A89" s="305"/>
      <c r="B89" s="325"/>
      <c r="C89" s="325"/>
      <c r="D89" s="326"/>
      <c r="E89" s="326"/>
      <c r="F89" s="326"/>
      <c r="G89" s="326"/>
      <c r="H89" s="359"/>
    </row>
    <row r="90" spans="1:8">
      <c r="A90" s="313">
        <v>45769</v>
      </c>
      <c r="B90" s="325" t="s">
        <v>4997</v>
      </c>
      <c r="C90" s="325"/>
      <c r="D90" s="326">
        <v>690000</v>
      </c>
      <c r="E90" s="575" t="s">
        <v>5028</v>
      </c>
      <c r="F90" s="575"/>
      <c r="G90" s="575"/>
      <c r="H90" s="359" t="s">
        <v>5015</v>
      </c>
    </row>
    <row r="91" spans="1:8">
      <c r="A91" s="305"/>
      <c r="B91" s="325"/>
      <c r="C91" s="325"/>
      <c r="D91" s="326"/>
      <c r="E91" s="575"/>
      <c r="F91" s="575"/>
      <c r="G91" s="575"/>
      <c r="H91" s="359"/>
    </row>
    <row r="92" spans="1:8">
      <c r="A92" s="313">
        <v>45770</v>
      </c>
      <c r="B92" s="325" t="s">
        <v>5041</v>
      </c>
      <c r="C92" s="325"/>
      <c r="D92" s="326">
        <v>640000</v>
      </c>
      <c r="E92" s="575" t="s">
        <v>5038</v>
      </c>
      <c r="F92" s="575"/>
      <c r="G92" s="575"/>
      <c r="H92" s="333" t="s">
        <v>5031</v>
      </c>
    </row>
    <row r="93" spans="1:8">
      <c r="A93" s="305"/>
      <c r="B93" s="325"/>
      <c r="C93" s="325"/>
      <c r="D93" s="326"/>
      <c r="E93" s="575"/>
      <c r="F93" s="575"/>
      <c r="G93" s="575"/>
      <c r="H93" s="333"/>
    </row>
    <row r="94" spans="1:8">
      <c r="A94" s="313">
        <v>45770</v>
      </c>
      <c r="B94" s="325" t="s">
        <v>5042</v>
      </c>
      <c r="C94" s="325"/>
      <c r="D94" s="326">
        <v>320000</v>
      </c>
      <c r="E94" s="575" t="s">
        <v>5037</v>
      </c>
      <c r="F94" s="575"/>
      <c r="G94" s="575"/>
      <c r="H94" s="333" t="s">
        <v>5031</v>
      </c>
    </row>
    <row r="95" spans="1:8">
      <c r="A95" s="305"/>
      <c r="B95" s="325"/>
      <c r="C95" s="325"/>
      <c r="D95" s="326"/>
      <c r="E95" s="575"/>
      <c r="F95" s="575"/>
      <c r="G95" s="575"/>
      <c r="H95" s="333"/>
    </row>
    <row r="96" spans="1:8">
      <c r="A96" s="313">
        <v>45770</v>
      </c>
      <c r="B96" s="325" t="s">
        <v>5040</v>
      </c>
      <c r="C96" s="325"/>
      <c r="D96" s="326">
        <v>730000</v>
      </c>
      <c r="E96" s="575" t="s">
        <v>5037</v>
      </c>
      <c r="F96" s="575"/>
      <c r="G96" s="575"/>
      <c r="H96" s="333" t="s">
        <v>5039</v>
      </c>
    </row>
    <row r="97" spans="1:8">
      <c r="A97" s="305"/>
      <c r="B97" s="325"/>
      <c r="C97" s="325"/>
      <c r="D97" s="326"/>
      <c r="E97" s="575"/>
      <c r="F97" s="575"/>
      <c r="G97" s="575"/>
      <c r="H97" s="333"/>
    </row>
    <row r="98" spans="1:8">
      <c r="A98" s="313">
        <v>45770</v>
      </c>
      <c r="B98" s="325" t="s">
        <v>4999</v>
      </c>
      <c r="C98" s="325"/>
      <c r="D98" s="326">
        <v>175000</v>
      </c>
      <c r="E98" s="326"/>
      <c r="F98" s="326"/>
      <c r="G98" s="326"/>
      <c r="H98" s="359" t="s">
        <v>5036</v>
      </c>
    </row>
    <row r="99" spans="1:8">
      <c r="A99" s="305"/>
      <c r="B99" s="325"/>
      <c r="C99" s="325"/>
      <c r="D99" s="326"/>
      <c r="E99" s="326"/>
      <c r="F99" s="326"/>
      <c r="G99" s="326"/>
      <c r="H99" s="359"/>
    </row>
    <row r="100" spans="1:8">
      <c r="A100" s="313">
        <v>45770</v>
      </c>
      <c r="B100" s="325" t="s">
        <v>5000</v>
      </c>
      <c r="C100" s="325"/>
      <c r="D100" s="326">
        <v>260000</v>
      </c>
      <c r="E100" s="337" t="s">
        <v>5035</v>
      </c>
      <c r="F100" s="326"/>
      <c r="G100" s="326"/>
      <c r="H100" s="359" t="s">
        <v>5015</v>
      </c>
    </row>
    <row r="101" spans="1:8">
      <c r="A101" s="305"/>
      <c r="B101" s="325"/>
      <c r="C101" s="325"/>
      <c r="D101" s="326"/>
      <c r="E101" s="326"/>
      <c r="F101" s="326"/>
      <c r="G101" s="326"/>
      <c r="H101" s="359"/>
    </row>
    <row r="102" spans="1:8">
      <c r="A102" s="313">
        <v>45770</v>
      </c>
      <c r="B102" s="325" t="s">
        <v>5001</v>
      </c>
      <c r="C102" s="325"/>
      <c r="D102" s="326">
        <v>400000</v>
      </c>
      <c r="E102" s="326" t="s">
        <v>5034</v>
      </c>
      <c r="F102" s="326"/>
      <c r="G102" s="326"/>
      <c r="H102" s="359" t="s">
        <v>145</v>
      </c>
    </row>
    <row r="103" spans="1:8">
      <c r="A103" s="305"/>
      <c r="B103" s="325"/>
      <c r="C103" s="325"/>
      <c r="D103" s="326"/>
      <c r="E103" s="326"/>
      <c r="F103" s="326"/>
      <c r="G103" s="326"/>
      <c r="H103" s="359"/>
    </row>
    <row r="104" spans="1:8">
      <c r="A104" s="313">
        <v>45770</v>
      </c>
      <c r="B104" s="325" t="s">
        <v>5004</v>
      </c>
      <c r="C104" s="325"/>
      <c r="D104" s="326">
        <v>350000</v>
      </c>
      <c r="E104" s="337" t="s">
        <v>5033</v>
      </c>
      <c r="F104" s="326"/>
      <c r="G104" s="326"/>
      <c r="H104" s="359" t="s">
        <v>5032</v>
      </c>
    </row>
    <row r="105" spans="1:8">
      <c r="A105" s="305"/>
      <c r="B105" s="325"/>
      <c r="C105" s="325"/>
      <c r="D105" s="326"/>
      <c r="E105" s="326"/>
      <c r="F105" s="326"/>
      <c r="G105" s="326"/>
      <c r="H105" s="359"/>
    </row>
    <row r="106" spans="1:8">
      <c r="A106" s="313">
        <v>45771</v>
      </c>
      <c r="B106" s="325" t="s">
        <v>5047</v>
      </c>
      <c r="C106" s="325"/>
      <c r="D106" s="326">
        <v>66000</v>
      </c>
      <c r="E106" s="326" t="s">
        <v>5048</v>
      </c>
      <c r="F106" s="326"/>
      <c r="G106" s="326"/>
      <c r="H106" s="359" t="s">
        <v>5049</v>
      </c>
    </row>
    <row r="107" spans="1:8">
      <c r="A107" s="305"/>
      <c r="B107" s="325"/>
      <c r="C107" s="325"/>
      <c r="D107" s="326"/>
      <c r="E107" s="326"/>
      <c r="F107" s="326"/>
      <c r="G107" s="326"/>
      <c r="H107" s="359"/>
    </row>
    <row r="108" spans="1:8">
      <c r="A108" s="313">
        <v>45771</v>
      </c>
      <c r="B108" s="325" t="s">
        <v>5002</v>
      </c>
      <c r="C108" s="325"/>
      <c r="D108" s="326">
        <v>280000</v>
      </c>
      <c r="E108" s="575" t="s">
        <v>5055</v>
      </c>
      <c r="F108" s="575"/>
      <c r="G108" s="575"/>
      <c r="H108" s="359" t="s">
        <v>5032</v>
      </c>
    </row>
    <row r="109" spans="1:8">
      <c r="A109" s="305"/>
      <c r="B109" s="325"/>
      <c r="C109" s="325"/>
      <c r="D109" s="326"/>
      <c r="E109" s="575"/>
      <c r="F109" s="575"/>
      <c r="G109" s="575"/>
      <c r="H109" s="359"/>
    </row>
    <row r="110" spans="1:8">
      <c r="A110" s="313">
        <v>45771</v>
      </c>
      <c r="B110" s="325" t="s">
        <v>5003</v>
      </c>
      <c r="C110" s="325"/>
      <c r="D110" s="326">
        <v>892000</v>
      </c>
      <c r="E110" s="575" t="s">
        <v>5056</v>
      </c>
      <c r="F110" s="575"/>
      <c r="G110" s="575"/>
      <c r="H110" s="359" t="s">
        <v>145</v>
      </c>
    </row>
    <row r="111" spans="1:8">
      <c r="A111" s="305"/>
      <c r="B111" s="325"/>
      <c r="C111" s="325"/>
      <c r="D111" s="326"/>
      <c r="E111" s="575"/>
      <c r="F111" s="575"/>
      <c r="G111" s="575"/>
      <c r="H111" s="359"/>
    </row>
    <row r="112" spans="1:8">
      <c r="A112" s="313">
        <v>45771</v>
      </c>
      <c r="B112" s="325" t="s">
        <v>4998</v>
      </c>
      <c r="C112" s="325"/>
      <c r="D112" s="326">
        <v>410000</v>
      </c>
      <c r="E112" s="575" t="s">
        <v>5055</v>
      </c>
      <c r="F112" s="575"/>
      <c r="G112" s="575"/>
      <c r="H112" s="359" t="s">
        <v>5032</v>
      </c>
    </row>
    <row r="113" spans="1:8">
      <c r="A113" s="305"/>
      <c r="B113" s="325"/>
      <c r="C113" s="325"/>
      <c r="D113" s="326"/>
      <c r="E113" s="575"/>
      <c r="F113" s="575"/>
      <c r="G113" s="575"/>
      <c r="H113" s="359"/>
    </row>
    <row r="114" spans="1:8" ht="35.25" customHeight="1">
      <c r="A114" s="218">
        <v>45771</v>
      </c>
      <c r="B114" s="219" t="s">
        <v>5053</v>
      </c>
      <c r="C114" s="219"/>
      <c r="D114" s="220">
        <v>245000</v>
      </c>
      <c r="E114" s="627" t="s">
        <v>5054</v>
      </c>
      <c r="F114" s="628"/>
      <c r="G114" s="629"/>
      <c r="H114" s="221" t="s">
        <v>5052</v>
      </c>
    </row>
    <row r="115" spans="1:8" ht="33" customHeight="1">
      <c r="A115" s="217">
        <v>45771</v>
      </c>
      <c r="B115" s="215" t="s">
        <v>5050</v>
      </c>
      <c r="C115" s="215"/>
      <c r="D115" s="216">
        <v>140000</v>
      </c>
      <c r="E115" s="650" t="s">
        <v>5051</v>
      </c>
      <c r="F115" s="628"/>
      <c r="G115" s="629"/>
      <c r="H115" s="222" t="s">
        <v>145</v>
      </c>
    </row>
    <row r="116" spans="1:8">
      <c r="A116" s="313">
        <v>45771</v>
      </c>
      <c r="B116" s="325" t="s">
        <v>5030</v>
      </c>
      <c r="C116" s="325"/>
      <c r="D116" s="326">
        <v>130000</v>
      </c>
      <c r="E116" s="326"/>
      <c r="F116" s="326"/>
      <c r="G116" s="326"/>
      <c r="H116" s="359" t="s">
        <v>5059</v>
      </c>
    </row>
    <row r="117" spans="1:8">
      <c r="A117" s="305"/>
      <c r="B117" s="325"/>
      <c r="C117" s="325"/>
      <c r="D117" s="326"/>
      <c r="E117" s="326"/>
      <c r="F117" s="326"/>
      <c r="G117" s="326"/>
      <c r="H117" s="359"/>
    </row>
    <row r="118" spans="1:8">
      <c r="A118" s="313">
        <v>45772</v>
      </c>
      <c r="B118" s="325" t="s">
        <v>5057</v>
      </c>
      <c r="C118" s="325"/>
      <c r="D118" s="326">
        <v>1550000</v>
      </c>
      <c r="E118" s="575" t="s">
        <v>5044</v>
      </c>
      <c r="F118" s="575"/>
      <c r="G118" s="575"/>
      <c r="H118" s="359" t="s">
        <v>5058</v>
      </c>
    </row>
    <row r="119" spans="1:8">
      <c r="A119" s="305"/>
      <c r="B119" s="325"/>
      <c r="C119" s="325"/>
      <c r="D119" s="326"/>
      <c r="E119" s="575"/>
      <c r="F119" s="575"/>
      <c r="G119" s="575"/>
      <c r="H119" s="359"/>
    </row>
    <row r="120" spans="1:8">
      <c r="A120" s="313">
        <v>45772</v>
      </c>
      <c r="B120" s="325" t="s">
        <v>4227</v>
      </c>
      <c r="C120" s="325"/>
      <c r="D120" s="326">
        <v>320000</v>
      </c>
      <c r="E120" s="326" t="s">
        <v>5045</v>
      </c>
      <c r="F120" s="326"/>
      <c r="G120" s="326"/>
      <c r="H120" s="359" t="s">
        <v>5058</v>
      </c>
    </row>
    <row r="121" spans="1:8">
      <c r="A121" s="305"/>
      <c r="B121" s="325"/>
      <c r="C121" s="325"/>
      <c r="D121" s="326"/>
      <c r="E121" s="326"/>
      <c r="F121" s="326"/>
      <c r="G121" s="326"/>
      <c r="H121" s="359"/>
    </row>
    <row r="122" spans="1:8">
      <c r="A122" s="313">
        <v>45773</v>
      </c>
      <c r="B122" s="324" t="s">
        <v>5063</v>
      </c>
      <c r="C122" s="325"/>
      <c r="D122" s="343">
        <v>360000</v>
      </c>
      <c r="E122" s="575" t="s">
        <v>5062</v>
      </c>
      <c r="F122" s="575"/>
      <c r="G122" s="575"/>
      <c r="H122" s="359" t="s">
        <v>767</v>
      </c>
    </row>
    <row r="123" spans="1:8">
      <c r="A123" s="305"/>
      <c r="B123" s="325"/>
      <c r="C123" s="325"/>
      <c r="D123" s="344"/>
      <c r="E123" s="575"/>
      <c r="F123" s="575"/>
      <c r="G123" s="575"/>
      <c r="H123" s="359"/>
    </row>
    <row r="124" spans="1:8">
      <c r="A124" s="765">
        <v>45775</v>
      </c>
      <c r="B124" s="324" t="s">
        <v>5043</v>
      </c>
      <c r="C124" s="325"/>
      <c r="D124" s="343">
        <v>600000</v>
      </c>
      <c r="E124" s="575" t="s">
        <v>1980</v>
      </c>
      <c r="F124" s="575"/>
      <c r="G124" s="575"/>
      <c r="H124" s="333" t="s">
        <v>5064</v>
      </c>
    </row>
    <row r="125" spans="1:8">
      <c r="A125" s="766"/>
      <c r="B125" s="325"/>
      <c r="C125" s="325"/>
      <c r="D125" s="344"/>
      <c r="E125" s="575"/>
      <c r="F125" s="575"/>
      <c r="G125" s="575"/>
      <c r="H125" s="333"/>
    </row>
    <row r="126" spans="1:8">
      <c r="A126" s="313">
        <v>45775</v>
      </c>
      <c r="B126" s="325"/>
      <c r="C126" s="325"/>
      <c r="D126" s="326">
        <v>300000</v>
      </c>
      <c r="E126" s="326" t="s">
        <v>5046</v>
      </c>
      <c r="F126" s="326"/>
      <c r="G126" s="326"/>
      <c r="H126" s="359" t="s">
        <v>145</v>
      </c>
    </row>
    <row r="127" spans="1:8">
      <c r="A127" s="305"/>
      <c r="B127" s="325"/>
      <c r="C127" s="325"/>
      <c r="D127" s="326"/>
      <c r="E127" s="326"/>
      <c r="F127" s="326"/>
      <c r="G127" s="326"/>
      <c r="H127" s="359"/>
    </row>
    <row r="128" spans="1:8">
      <c r="A128" s="313">
        <v>45776</v>
      </c>
      <c r="B128" s="325" t="s">
        <v>5065</v>
      </c>
      <c r="C128" s="325"/>
      <c r="D128" s="326">
        <v>260000</v>
      </c>
      <c r="E128" s="326"/>
      <c r="F128" s="326"/>
      <c r="G128" s="326"/>
      <c r="H128" s="359" t="s">
        <v>145</v>
      </c>
    </row>
    <row r="129" spans="1:8">
      <c r="A129" s="305"/>
      <c r="B129" s="325"/>
      <c r="C129" s="325"/>
      <c r="D129" s="326"/>
      <c r="E129" s="326"/>
      <c r="F129" s="326"/>
      <c r="G129" s="326"/>
      <c r="H129" s="359"/>
    </row>
    <row r="130" spans="1:8">
      <c r="A130" s="313">
        <v>45776</v>
      </c>
      <c r="B130" s="324" t="s">
        <v>4920</v>
      </c>
      <c r="C130" s="325"/>
      <c r="D130" s="343">
        <v>290000</v>
      </c>
      <c r="E130" s="575" t="s">
        <v>5066</v>
      </c>
      <c r="F130" s="575"/>
      <c r="G130" s="575"/>
      <c r="H130" s="359" t="s">
        <v>145</v>
      </c>
    </row>
    <row r="131" spans="1:8">
      <c r="A131" s="305"/>
      <c r="B131" s="325"/>
      <c r="C131" s="325"/>
      <c r="D131" s="344"/>
      <c r="E131" s="575"/>
      <c r="F131" s="575"/>
      <c r="G131" s="575"/>
      <c r="H131" s="359"/>
    </row>
    <row r="132" spans="1:8">
      <c r="A132" s="313">
        <v>45777</v>
      </c>
      <c r="B132" s="324" t="s">
        <v>5068</v>
      </c>
      <c r="C132" s="325"/>
      <c r="D132" s="326">
        <v>360000</v>
      </c>
      <c r="E132" s="575" t="s">
        <v>5067</v>
      </c>
      <c r="F132" s="575"/>
      <c r="G132" s="575"/>
      <c r="H132" s="359" t="s">
        <v>145</v>
      </c>
    </row>
    <row r="133" spans="1:8">
      <c r="A133" s="305"/>
      <c r="B133" s="325"/>
      <c r="C133" s="325"/>
      <c r="D133" s="326"/>
      <c r="E133" s="575"/>
      <c r="F133" s="575"/>
      <c r="G133" s="575"/>
      <c r="H133" s="359"/>
    </row>
    <row r="134" spans="1:8">
      <c r="A134" s="313"/>
      <c r="B134" s="325"/>
      <c r="C134" s="325"/>
      <c r="D134" s="326"/>
      <c r="E134" s="326"/>
      <c r="F134" s="326"/>
      <c r="G134" s="326"/>
      <c r="H134" s="333"/>
    </row>
    <row r="135" spans="1:8">
      <c r="A135" s="305"/>
      <c r="B135" s="325"/>
      <c r="C135" s="325"/>
      <c r="D135" s="326"/>
      <c r="E135" s="326"/>
      <c r="F135" s="326"/>
      <c r="G135" s="326"/>
      <c r="H135" s="333"/>
    </row>
  </sheetData>
  <mergeCells count="390">
    <mergeCell ref="H124:H125"/>
    <mergeCell ref="E124:G125"/>
    <mergeCell ref="D124:D125"/>
    <mergeCell ref="C124:C125"/>
    <mergeCell ref="B124:B125"/>
    <mergeCell ref="A124:A125"/>
    <mergeCell ref="E115:G115"/>
    <mergeCell ref="A132:A133"/>
    <mergeCell ref="B132:B133"/>
    <mergeCell ref="C132:C133"/>
    <mergeCell ref="D132:D133"/>
    <mergeCell ref="E132:G133"/>
    <mergeCell ref="H132:H133"/>
    <mergeCell ref="A126:A127"/>
    <mergeCell ref="B126:B127"/>
    <mergeCell ref="C126:C127"/>
    <mergeCell ref="D126:D127"/>
    <mergeCell ref="E126:G127"/>
    <mergeCell ref="H126:H127"/>
    <mergeCell ref="A120:A121"/>
    <mergeCell ref="B120:B121"/>
    <mergeCell ref="C120:C121"/>
    <mergeCell ref="D120:D121"/>
    <mergeCell ref="E120:G121"/>
    <mergeCell ref="A134:A135"/>
    <mergeCell ref="B134:B135"/>
    <mergeCell ref="C134:C135"/>
    <mergeCell ref="D134:D135"/>
    <mergeCell ref="E134:G135"/>
    <mergeCell ref="H134:H135"/>
    <mergeCell ref="A128:A129"/>
    <mergeCell ref="B128:B129"/>
    <mergeCell ref="C128:C129"/>
    <mergeCell ref="D128:D129"/>
    <mergeCell ref="E128:G129"/>
    <mergeCell ref="H128:H129"/>
    <mergeCell ref="A130:A131"/>
    <mergeCell ref="B130:B131"/>
    <mergeCell ref="C130:C131"/>
    <mergeCell ref="D130:D131"/>
    <mergeCell ref="E130:G131"/>
    <mergeCell ref="H130:H131"/>
    <mergeCell ref="H120:H121"/>
    <mergeCell ref="A122:A123"/>
    <mergeCell ref="B122:B123"/>
    <mergeCell ref="C122:C123"/>
    <mergeCell ref="D122:D123"/>
    <mergeCell ref="E122:G123"/>
    <mergeCell ref="H122:H123"/>
    <mergeCell ref="A116:A117"/>
    <mergeCell ref="B116:B117"/>
    <mergeCell ref="C116:C117"/>
    <mergeCell ref="D116:D117"/>
    <mergeCell ref="E116:G117"/>
    <mergeCell ref="H116:H117"/>
    <mergeCell ref="A118:A119"/>
    <mergeCell ref="B118:B119"/>
    <mergeCell ref="C118:C119"/>
    <mergeCell ref="D118:D119"/>
    <mergeCell ref="E118:G119"/>
    <mergeCell ref="H118:H119"/>
    <mergeCell ref="A110:A111"/>
    <mergeCell ref="B110:B111"/>
    <mergeCell ref="C110:C111"/>
    <mergeCell ref="D110:D111"/>
    <mergeCell ref="E110:G111"/>
    <mergeCell ref="H110:H111"/>
    <mergeCell ref="A112:A113"/>
    <mergeCell ref="B112:B113"/>
    <mergeCell ref="C112:C113"/>
    <mergeCell ref="D112:D113"/>
    <mergeCell ref="E112:G113"/>
    <mergeCell ref="H112:H113"/>
    <mergeCell ref="A106:A107"/>
    <mergeCell ref="B106:B107"/>
    <mergeCell ref="C106:C107"/>
    <mergeCell ref="D106:D107"/>
    <mergeCell ref="E106:G107"/>
    <mergeCell ref="H106:H107"/>
    <mergeCell ref="A108:A109"/>
    <mergeCell ref="B108:B109"/>
    <mergeCell ref="C108:C109"/>
    <mergeCell ref="D108:D109"/>
    <mergeCell ref="E108:G109"/>
    <mergeCell ref="H108:H109"/>
    <mergeCell ref="A102:A103"/>
    <mergeCell ref="B102:B103"/>
    <mergeCell ref="C102:C103"/>
    <mergeCell ref="D102:D103"/>
    <mergeCell ref="E102:G103"/>
    <mergeCell ref="H102:H103"/>
    <mergeCell ref="A104:A105"/>
    <mergeCell ref="B104:B105"/>
    <mergeCell ref="C104:C105"/>
    <mergeCell ref="D104:D105"/>
    <mergeCell ref="E104:G105"/>
    <mergeCell ref="H104:H105"/>
    <mergeCell ref="A98:A99"/>
    <mergeCell ref="B98:B99"/>
    <mergeCell ref="C98:C99"/>
    <mergeCell ref="D98:D99"/>
    <mergeCell ref="E98:G99"/>
    <mergeCell ref="H98:H99"/>
    <mergeCell ref="A100:A101"/>
    <mergeCell ref="B100:B101"/>
    <mergeCell ref="C100:C101"/>
    <mergeCell ref="D100:D101"/>
    <mergeCell ref="E100:G101"/>
    <mergeCell ref="H100:H101"/>
    <mergeCell ref="A94:A95"/>
    <mergeCell ref="B94:B95"/>
    <mergeCell ref="C94:C95"/>
    <mergeCell ref="D94:D95"/>
    <mergeCell ref="E94:G95"/>
    <mergeCell ref="H94:H95"/>
    <mergeCell ref="A96:A97"/>
    <mergeCell ref="B96:B97"/>
    <mergeCell ref="C96:C97"/>
    <mergeCell ref="D96:D97"/>
    <mergeCell ref="E96:G97"/>
    <mergeCell ref="H96:H97"/>
    <mergeCell ref="H92:H93"/>
    <mergeCell ref="O1:O2"/>
    <mergeCell ref="P1:P2"/>
    <mergeCell ref="Q1:Q2"/>
    <mergeCell ref="A4:A5"/>
    <mergeCell ref="B4:B5"/>
    <mergeCell ref="C4:C5"/>
    <mergeCell ref="D4:D5"/>
    <mergeCell ref="E4:G5"/>
    <mergeCell ref="H4:H5"/>
    <mergeCell ref="A8:A9"/>
    <mergeCell ref="B8:B9"/>
    <mergeCell ref="C8:C9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E12:G12"/>
    <mergeCell ref="A13:A14"/>
    <mergeCell ref="R1:R2"/>
    <mergeCell ref="A1:B1"/>
    <mergeCell ref="C1:D1"/>
    <mergeCell ref="I1:I2"/>
    <mergeCell ref="J1:J2"/>
    <mergeCell ref="K1:K2"/>
    <mergeCell ref="L1:L2"/>
    <mergeCell ref="E2:G2"/>
    <mergeCell ref="A3:H3"/>
    <mergeCell ref="M1:M2"/>
    <mergeCell ref="N1:N2"/>
    <mergeCell ref="B13:B14"/>
    <mergeCell ref="C13:C14"/>
    <mergeCell ref="D13:D14"/>
    <mergeCell ref="E13:G14"/>
    <mergeCell ref="H13:H14"/>
    <mergeCell ref="A10:A11"/>
    <mergeCell ref="B10:B11"/>
    <mergeCell ref="C10:C11"/>
    <mergeCell ref="D10:D11"/>
    <mergeCell ref="E10:G11"/>
    <mergeCell ref="H10:H11"/>
    <mergeCell ref="A17:A18"/>
    <mergeCell ref="B17:B18"/>
    <mergeCell ref="C17:C18"/>
    <mergeCell ref="D17:D18"/>
    <mergeCell ref="E17:G18"/>
    <mergeCell ref="H17:H18"/>
    <mergeCell ref="A15:A16"/>
    <mergeCell ref="B15:B16"/>
    <mergeCell ref="C15:C16"/>
    <mergeCell ref="D15:D16"/>
    <mergeCell ref="E15:G16"/>
    <mergeCell ref="H15:H16"/>
    <mergeCell ref="A21:A22"/>
    <mergeCell ref="B21:B22"/>
    <mergeCell ref="C21:C22"/>
    <mergeCell ref="D21:D22"/>
    <mergeCell ref="E21:G22"/>
    <mergeCell ref="H21:H22"/>
    <mergeCell ref="A19:A20"/>
    <mergeCell ref="B19:B20"/>
    <mergeCell ref="C19:C20"/>
    <mergeCell ref="D19:D20"/>
    <mergeCell ref="E19:G20"/>
    <mergeCell ref="H19:H20"/>
    <mergeCell ref="A27:A28"/>
    <mergeCell ref="B27:B28"/>
    <mergeCell ref="C27:C28"/>
    <mergeCell ref="D27:D28"/>
    <mergeCell ref="E27:G28"/>
    <mergeCell ref="H27:H28"/>
    <mergeCell ref="A23:A24"/>
    <mergeCell ref="B23:H24"/>
    <mergeCell ref="A25:A26"/>
    <mergeCell ref="B25:B26"/>
    <mergeCell ref="C25:C26"/>
    <mergeCell ref="D25:D26"/>
    <mergeCell ref="E25:G26"/>
    <mergeCell ref="H25:H26"/>
    <mergeCell ref="A31:A32"/>
    <mergeCell ref="B31:B32"/>
    <mergeCell ref="C31:C32"/>
    <mergeCell ref="D31:D32"/>
    <mergeCell ref="E31:G32"/>
    <mergeCell ref="H31:H32"/>
    <mergeCell ref="A29:A30"/>
    <mergeCell ref="B29:B30"/>
    <mergeCell ref="C29:C30"/>
    <mergeCell ref="D29:D30"/>
    <mergeCell ref="E29:G30"/>
    <mergeCell ref="H29:H30"/>
    <mergeCell ref="A38:A39"/>
    <mergeCell ref="B38:B39"/>
    <mergeCell ref="C38:C39"/>
    <mergeCell ref="D38:D39"/>
    <mergeCell ref="E38:G39"/>
    <mergeCell ref="H38:H39"/>
    <mergeCell ref="H33:H34"/>
    <mergeCell ref="A35:A36"/>
    <mergeCell ref="B35:B36"/>
    <mergeCell ref="C35:C36"/>
    <mergeCell ref="D35:D36"/>
    <mergeCell ref="E35:G36"/>
    <mergeCell ref="H35:H36"/>
    <mergeCell ref="A33:A34"/>
    <mergeCell ref="B33:B34"/>
    <mergeCell ref="C33:C34"/>
    <mergeCell ref="D33:D34"/>
    <mergeCell ref="E33:G34"/>
    <mergeCell ref="E37:G37"/>
    <mergeCell ref="A42:A43"/>
    <mergeCell ref="B42:B43"/>
    <mergeCell ref="C42:C43"/>
    <mergeCell ref="D42:D43"/>
    <mergeCell ref="E42:G43"/>
    <mergeCell ref="H42:H43"/>
    <mergeCell ref="A40:A41"/>
    <mergeCell ref="B40:B41"/>
    <mergeCell ref="C40:C41"/>
    <mergeCell ref="D40:D41"/>
    <mergeCell ref="E40:G41"/>
    <mergeCell ref="H40:H41"/>
    <mergeCell ref="A46:A47"/>
    <mergeCell ref="B46:B47"/>
    <mergeCell ref="C46:C47"/>
    <mergeCell ref="D46:D47"/>
    <mergeCell ref="E46:G47"/>
    <mergeCell ref="H46:H47"/>
    <mergeCell ref="A44:A45"/>
    <mergeCell ref="B44:B45"/>
    <mergeCell ref="C44:C45"/>
    <mergeCell ref="D44:D45"/>
    <mergeCell ref="E44:G45"/>
    <mergeCell ref="H44:H45"/>
    <mergeCell ref="A50:A51"/>
    <mergeCell ref="A48:A49"/>
    <mergeCell ref="B48:B49"/>
    <mergeCell ref="C48:C49"/>
    <mergeCell ref="D48:D49"/>
    <mergeCell ref="E48:G49"/>
    <mergeCell ref="H48:H49"/>
    <mergeCell ref="B50:H51"/>
    <mergeCell ref="A54:A55"/>
    <mergeCell ref="B54:B55"/>
    <mergeCell ref="C54:C55"/>
    <mergeCell ref="D54:D55"/>
    <mergeCell ref="E54:G55"/>
    <mergeCell ref="H54:H55"/>
    <mergeCell ref="A52:A53"/>
    <mergeCell ref="B52:B53"/>
    <mergeCell ref="C52:C53"/>
    <mergeCell ref="D52:D53"/>
    <mergeCell ref="E52:G53"/>
    <mergeCell ref="H52:H53"/>
    <mergeCell ref="A58:A59"/>
    <mergeCell ref="B58:B59"/>
    <mergeCell ref="C58:C59"/>
    <mergeCell ref="D58:D59"/>
    <mergeCell ref="E58:G59"/>
    <mergeCell ref="H58:H59"/>
    <mergeCell ref="A56:A57"/>
    <mergeCell ref="B56:B57"/>
    <mergeCell ref="C56:C57"/>
    <mergeCell ref="D56:D57"/>
    <mergeCell ref="E56:G57"/>
    <mergeCell ref="H56:H57"/>
    <mergeCell ref="A62:A63"/>
    <mergeCell ref="B62:B63"/>
    <mergeCell ref="C62:C63"/>
    <mergeCell ref="D62:D63"/>
    <mergeCell ref="E62:G63"/>
    <mergeCell ref="H62:H63"/>
    <mergeCell ref="A60:A61"/>
    <mergeCell ref="B60:B61"/>
    <mergeCell ref="C60:C61"/>
    <mergeCell ref="D60:D61"/>
    <mergeCell ref="E60:G61"/>
    <mergeCell ref="H60:H61"/>
    <mergeCell ref="A66:A67"/>
    <mergeCell ref="B66:B67"/>
    <mergeCell ref="C66:C67"/>
    <mergeCell ref="D66:D67"/>
    <mergeCell ref="E66:G67"/>
    <mergeCell ref="H66:H67"/>
    <mergeCell ref="A64:A65"/>
    <mergeCell ref="B64:B65"/>
    <mergeCell ref="C64:C65"/>
    <mergeCell ref="D64:D65"/>
    <mergeCell ref="E64:G65"/>
    <mergeCell ref="H64:H65"/>
    <mergeCell ref="A70:A71"/>
    <mergeCell ref="B70:B71"/>
    <mergeCell ref="C70:C71"/>
    <mergeCell ref="D70:D71"/>
    <mergeCell ref="E70:G71"/>
    <mergeCell ref="H70:H71"/>
    <mergeCell ref="A68:A69"/>
    <mergeCell ref="B68:B69"/>
    <mergeCell ref="C68:C69"/>
    <mergeCell ref="D68:D69"/>
    <mergeCell ref="E68:G69"/>
    <mergeCell ref="H68:H69"/>
    <mergeCell ref="A74:A75"/>
    <mergeCell ref="B74:B75"/>
    <mergeCell ref="C74:C75"/>
    <mergeCell ref="D74:D75"/>
    <mergeCell ref="E74:G75"/>
    <mergeCell ref="H74:H75"/>
    <mergeCell ref="A72:A73"/>
    <mergeCell ref="B72:B73"/>
    <mergeCell ref="C72:C73"/>
    <mergeCell ref="D72:D73"/>
    <mergeCell ref="E72:G73"/>
    <mergeCell ref="H72:H73"/>
    <mergeCell ref="A80:A81"/>
    <mergeCell ref="B80:H81"/>
    <mergeCell ref="A78:A79"/>
    <mergeCell ref="B78:B79"/>
    <mergeCell ref="C78:C79"/>
    <mergeCell ref="D78:D79"/>
    <mergeCell ref="E78:G79"/>
    <mergeCell ref="H78:H79"/>
    <mergeCell ref="A76:A77"/>
    <mergeCell ref="B76:B77"/>
    <mergeCell ref="C76:C77"/>
    <mergeCell ref="D76:D77"/>
    <mergeCell ref="E76:G77"/>
    <mergeCell ref="H76:H77"/>
    <mergeCell ref="A84:A85"/>
    <mergeCell ref="B84:B85"/>
    <mergeCell ref="C84:C85"/>
    <mergeCell ref="D84:D85"/>
    <mergeCell ref="E84:G85"/>
    <mergeCell ref="H84:H85"/>
    <mergeCell ref="A82:A83"/>
    <mergeCell ref="B82:B83"/>
    <mergeCell ref="C82:C83"/>
    <mergeCell ref="D82:D83"/>
    <mergeCell ref="E82:G83"/>
    <mergeCell ref="H82:H83"/>
    <mergeCell ref="E114:G114"/>
    <mergeCell ref="A86:A87"/>
    <mergeCell ref="B86:B87"/>
    <mergeCell ref="C86:C87"/>
    <mergeCell ref="D86:D87"/>
    <mergeCell ref="E86:G87"/>
    <mergeCell ref="H86:H87"/>
    <mergeCell ref="A90:A91"/>
    <mergeCell ref="B90:B91"/>
    <mergeCell ref="C90:C91"/>
    <mergeCell ref="D90:D91"/>
    <mergeCell ref="E90:G91"/>
    <mergeCell ref="H90:H91"/>
    <mergeCell ref="A88:A89"/>
    <mergeCell ref="B88:B89"/>
    <mergeCell ref="C88:C89"/>
    <mergeCell ref="D88:D89"/>
    <mergeCell ref="E88:G89"/>
    <mergeCell ref="H88:H89"/>
    <mergeCell ref="A92:A93"/>
    <mergeCell ref="B92:B93"/>
    <mergeCell ref="C92:C93"/>
    <mergeCell ref="D92:D93"/>
    <mergeCell ref="E92:G93"/>
  </mergeCells>
  <phoneticPr fontId="1" type="noConversion"/>
  <pageMargins left="0" right="0" top="0" bottom="0" header="0" footer="0"/>
  <pageSetup paperSize="9" scale="36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25"/>
  <sheetViews>
    <sheetView showGridLines="0" zoomScale="115" zoomScaleNormal="115" workbookViewId="0">
      <pane xSplit="8" ySplit="2" topLeftCell="I99" activePane="bottomRight" state="frozen"/>
      <selection pane="topRight" activeCell="I1" sqref="I1"/>
      <selection pane="bottomLeft" activeCell="A3" sqref="A3"/>
      <selection pane="bottomRight" activeCell="I103" sqref="I103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0" max="10" width="13.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  <col min="18" max="18" width="9.5" bestFit="1" customWidth="1"/>
  </cols>
  <sheetData>
    <row r="1" spans="1:18" ht="35.25" customHeight="1" thickBot="1">
      <c r="A1" s="388" t="s">
        <v>5256</v>
      </c>
      <c r="B1" s="389"/>
      <c r="C1" s="402" t="s">
        <v>27</v>
      </c>
      <c r="D1" s="403"/>
      <c r="E1" s="21" t="s">
        <v>26</v>
      </c>
      <c r="F1" s="20">
        <f>H1/31</f>
        <v>936672.90322580643</v>
      </c>
      <c r="G1" s="21" t="s">
        <v>4</v>
      </c>
      <c r="H1" s="22">
        <f>SUM(D4:D125)</f>
        <v>29036860</v>
      </c>
      <c r="I1" s="392"/>
      <c r="J1" s="338"/>
      <c r="K1" s="394"/>
      <c r="L1" s="396"/>
      <c r="M1" s="377"/>
      <c r="N1" s="379"/>
      <c r="O1" s="381"/>
      <c r="P1" s="383"/>
      <c r="Q1" s="377"/>
      <c r="R1" s="376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385" t="s">
        <v>25</v>
      </c>
      <c r="F2" s="386"/>
      <c r="G2" s="387"/>
      <c r="H2" s="25" t="s">
        <v>5</v>
      </c>
      <c r="I2" s="393"/>
      <c r="J2" s="333"/>
      <c r="K2" s="395"/>
      <c r="L2" s="397"/>
      <c r="M2" s="378"/>
      <c r="N2" s="380"/>
      <c r="O2" s="382"/>
      <c r="P2" s="384"/>
      <c r="Q2" s="378"/>
      <c r="R2" s="376"/>
    </row>
    <row r="3" spans="1:18" ht="57.75" customHeight="1">
      <c r="A3" s="441" t="s">
        <v>5088</v>
      </c>
      <c r="B3" s="442"/>
      <c r="C3" s="442"/>
      <c r="D3" s="442"/>
      <c r="E3" s="442"/>
      <c r="F3" s="442"/>
      <c r="G3" s="442"/>
      <c r="H3" s="443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322">
        <v>45778</v>
      </c>
      <c r="B4" s="341" t="s">
        <v>5081</v>
      </c>
      <c r="C4" s="341"/>
      <c r="D4" s="326">
        <v>300000</v>
      </c>
      <c r="E4" s="562" t="s">
        <v>5082</v>
      </c>
      <c r="F4" s="582"/>
      <c r="G4" s="583"/>
      <c r="H4" s="398" t="s">
        <v>5071</v>
      </c>
      <c r="J4" s="43"/>
    </row>
    <row r="5" spans="1:18" ht="16.5" customHeight="1">
      <c r="A5" s="323"/>
      <c r="B5" s="342"/>
      <c r="C5" s="342"/>
      <c r="D5" s="326"/>
      <c r="E5" s="584"/>
      <c r="F5" s="585"/>
      <c r="G5" s="586"/>
      <c r="H5" s="399"/>
      <c r="J5" s="43"/>
    </row>
    <row r="6" spans="1:18" ht="16.5" customHeight="1">
      <c r="A6" s="322">
        <v>45778</v>
      </c>
      <c r="B6" s="341" t="s">
        <v>5069</v>
      </c>
      <c r="C6" s="341"/>
      <c r="D6" s="343">
        <v>40000</v>
      </c>
      <c r="E6" s="562" t="s">
        <v>5083</v>
      </c>
      <c r="F6" s="563"/>
      <c r="G6" s="564"/>
      <c r="H6" s="398" t="s">
        <v>5072</v>
      </c>
    </row>
    <row r="7" spans="1:18" ht="51" customHeight="1">
      <c r="A7" s="323"/>
      <c r="B7" s="342"/>
      <c r="C7" s="342"/>
      <c r="D7" s="344"/>
      <c r="E7" s="565"/>
      <c r="F7" s="566"/>
      <c r="G7" s="567"/>
      <c r="H7" s="399"/>
    </row>
    <row r="8" spans="1:18" ht="16.5" customHeight="1">
      <c r="A8" s="322">
        <v>45778</v>
      </c>
      <c r="B8" s="324" t="s">
        <v>5085</v>
      </c>
      <c r="C8" s="341"/>
      <c r="D8" s="326">
        <v>160000</v>
      </c>
      <c r="E8" s="327" t="s">
        <v>5084</v>
      </c>
      <c r="F8" s="328"/>
      <c r="G8" s="329"/>
      <c r="H8" s="400" t="s">
        <v>5070</v>
      </c>
      <c r="J8" s="48"/>
    </row>
    <row r="9" spans="1:18" ht="33.75" customHeight="1">
      <c r="A9" s="323"/>
      <c r="B9" s="325"/>
      <c r="C9" s="342"/>
      <c r="D9" s="326"/>
      <c r="E9" s="330"/>
      <c r="F9" s="331"/>
      <c r="G9" s="332"/>
      <c r="H9" s="401"/>
    </row>
    <row r="10" spans="1:18" ht="16.5" customHeight="1">
      <c r="A10" s="322">
        <v>45779</v>
      </c>
      <c r="B10" s="324" t="s">
        <v>5075</v>
      </c>
      <c r="C10" s="341"/>
      <c r="D10" s="326">
        <v>710000</v>
      </c>
      <c r="E10" s="562" t="s">
        <v>5078</v>
      </c>
      <c r="F10" s="582"/>
      <c r="G10" s="583"/>
      <c r="H10" s="398" t="s">
        <v>5071</v>
      </c>
    </row>
    <row r="11" spans="1:18" ht="26.25" customHeight="1">
      <c r="A11" s="323"/>
      <c r="B11" s="325"/>
      <c r="C11" s="342"/>
      <c r="D11" s="326"/>
      <c r="E11" s="584"/>
      <c r="F11" s="585"/>
      <c r="G11" s="586"/>
      <c r="H11" s="399"/>
    </row>
    <row r="12" spans="1:18" ht="45" customHeight="1">
      <c r="A12" s="223">
        <v>45779</v>
      </c>
      <c r="B12" s="224" t="s">
        <v>5087</v>
      </c>
      <c r="C12" s="224"/>
      <c r="D12" s="225">
        <v>165000</v>
      </c>
      <c r="E12" s="650" t="s">
        <v>5086</v>
      </c>
      <c r="F12" s="628"/>
      <c r="G12" s="629"/>
      <c r="H12" s="98" t="s">
        <v>5073</v>
      </c>
    </row>
    <row r="13" spans="1:18">
      <c r="A13" s="322">
        <v>45780</v>
      </c>
      <c r="B13" s="324" t="s">
        <v>5080</v>
      </c>
      <c r="C13" s="325"/>
      <c r="D13" s="326">
        <v>577000</v>
      </c>
      <c r="E13" s="574" t="s">
        <v>5078</v>
      </c>
      <c r="F13" s="575"/>
      <c r="G13" s="575"/>
      <c r="H13" s="359" t="s">
        <v>5079</v>
      </c>
    </row>
    <row r="14" spans="1:18" ht="42.75" customHeight="1">
      <c r="A14" s="323"/>
      <c r="B14" s="325"/>
      <c r="C14" s="325"/>
      <c r="D14" s="326"/>
      <c r="E14" s="575"/>
      <c r="F14" s="575"/>
      <c r="G14" s="575"/>
      <c r="H14" s="359"/>
    </row>
    <row r="15" spans="1:18">
      <c r="A15" s="322">
        <v>45780</v>
      </c>
      <c r="B15" s="325" t="s">
        <v>5076</v>
      </c>
      <c r="C15" s="325"/>
      <c r="D15" s="326">
        <v>913000</v>
      </c>
      <c r="E15" s="337" t="s">
        <v>5077</v>
      </c>
      <c r="F15" s="326"/>
      <c r="G15" s="326"/>
      <c r="H15" s="359" t="s">
        <v>5074</v>
      </c>
    </row>
    <row r="16" spans="1:18" ht="30.75" customHeight="1">
      <c r="A16" s="323"/>
      <c r="B16" s="325"/>
      <c r="C16" s="325"/>
      <c r="D16" s="326"/>
      <c r="E16" s="326"/>
      <c r="F16" s="326"/>
      <c r="G16" s="326"/>
      <c r="H16" s="359"/>
    </row>
    <row r="17" spans="1:8">
      <c r="A17" s="322"/>
      <c r="B17" s="695" t="s">
        <v>5123</v>
      </c>
      <c r="C17" s="696"/>
      <c r="D17" s="696"/>
      <c r="E17" s="696"/>
      <c r="F17" s="696"/>
      <c r="G17" s="696"/>
      <c r="H17" s="697"/>
    </row>
    <row r="18" spans="1:8" s="227" customFormat="1" ht="27" customHeight="1">
      <c r="A18" s="323"/>
      <c r="B18" s="698"/>
      <c r="C18" s="699"/>
      <c r="D18" s="699"/>
      <c r="E18" s="699"/>
      <c r="F18" s="699"/>
      <c r="G18" s="699"/>
      <c r="H18" s="700"/>
    </row>
    <row r="19" spans="1:8">
      <c r="A19" s="322">
        <v>45783</v>
      </c>
      <c r="B19" s="324" t="s">
        <v>5094</v>
      </c>
      <c r="C19" s="325"/>
      <c r="D19" s="343">
        <v>1199000</v>
      </c>
      <c r="E19" s="337" t="s">
        <v>5097</v>
      </c>
      <c r="F19" s="326"/>
      <c r="G19" s="326"/>
      <c r="H19" s="359" t="s">
        <v>5095</v>
      </c>
    </row>
    <row r="20" spans="1:8" ht="28.5" customHeight="1">
      <c r="A20" s="323"/>
      <c r="B20" s="325"/>
      <c r="C20" s="325"/>
      <c r="D20" s="344"/>
      <c r="E20" s="326"/>
      <c r="F20" s="326"/>
      <c r="G20" s="326"/>
      <c r="H20" s="359"/>
    </row>
    <row r="21" spans="1:8" ht="16.5" customHeight="1">
      <c r="A21" s="336">
        <v>45784</v>
      </c>
      <c r="B21" s="324" t="s">
        <v>5098</v>
      </c>
      <c r="C21" s="325"/>
      <c r="D21" s="326">
        <v>500000</v>
      </c>
      <c r="E21" s="562" t="s">
        <v>5096</v>
      </c>
      <c r="F21" s="582"/>
      <c r="G21" s="583"/>
      <c r="H21" s="400" t="s">
        <v>5104</v>
      </c>
    </row>
    <row r="22" spans="1:8" ht="16.5" customHeight="1">
      <c r="A22" s="323"/>
      <c r="B22" s="325"/>
      <c r="C22" s="325"/>
      <c r="D22" s="326"/>
      <c r="E22" s="584"/>
      <c r="F22" s="585"/>
      <c r="G22" s="586"/>
      <c r="H22" s="401"/>
    </row>
    <row r="23" spans="1:8" ht="16.5" customHeight="1">
      <c r="A23" s="336">
        <v>45784</v>
      </c>
      <c r="B23" s="324" t="s">
        <v>5099</v>
      </c>
      <c r="C23" s="326"/>
      <c r="D23" s="326">
        <v>680000</v>
      </c>
      <c r="E23" s="562" t="s">
        <v>5096</v>
      </c>
      <c r="F23" s="582"/>
      <c r="G23" s="583"/>
      <c r="H23" s="333" t="s">
        <v>5106</v>
      </c>
    </row>
    <row r="24" spans="1:8" ht="16.5" customHeight="1">
      <c r="A24" s="323"/>
      <c r="B24" s="325"/>
      <c r="C24" s="326"/>
      <c r="D24" s="326"/>
      <c r="E24" s="584"/>
      <c r="F24" s="585"/>
      <c r="G24" s="586"/>
      <c r="H24" s="333"/>
    </row>
    <row r="25" spans="1:8">
      <c r="A25" s="322">
        <v>45784</v>
      </c>
      <c r="B25" s="324" t="s">
        <v>5093</v>
      </c>
      <c r="C25" s="325"/>
      <c r="D25" s="343">
        <v>740000</v>
      </c>
      <c r="E25" s="337" t="s">
        <v>3438</v>
      </c>
      <c r="F25" s="326"/>
      <c r="G25" s="326"/>
      <c r="H25" s="359" t="s">
        <v>5105</v>
      </c>
    </row>
    <row r="26" spans="1:8" ht="21.75" customHeight="1">
      <c r="A26" s="323"/>
      <c r="B26" s="325"/>
      <c r="C26" s="325"/>
      <c r="D26" s="344"/>
      <c r="E26" s="326"/>
      <c r="F26" s="326"/>
      <c r="G26" s="326"/>
      <c r="H26" s="359"/>
    </row>
    <row r="27" spans="1:8" ht="16.5" customHeight="1">
      <c r="A27" s="322">
        <v>45785</v>
      </c>
      <c r="B27" s="324" t="s">
        <v>5101</v>
      </c>
      <c r="C27" s="325"/>
      <c r="D27" s="326">
        <v>845000</v>
      </c>
      <c r="E27" s="575" t="s">
        <v>5113</v>
      </c>
      <c r="F27" s="575"/>
      <c r="G27" s="575"/>
      <c r="H27" s="359" t="s">
        <v>145</v>
      </c>
    </row>
    <row r="28" spans="1:8" ht="16.5" customHeight="1">
      <c r="A28" s="323"/>
      <c r="B28" s="325"/>
      <c r="C28" s="325"/>
      <c r="D28" s="326"/>
      <c r="E28" s="575"/>
      <c r="F28" s="575"/>
      <c r="G28" s="575"/>
      <c r="H28" s="359"/>
    </row>
    <row r="29" spans="1:8" ht="15.75" customHeight="1">
      <c r="A29" s="322">
        <v>45785</v>
      </c>
      <c r="B29" s="324" t="s">
        <v>5100</v>
      </c>
      <c r="C29" s="325"/>
      <c r="D29" s="326">
        <v>88000</v>
      </c>
      <c r="E29" s="326" t="s">
        <v>5112</v>
      </c>
      <c r="F29" s="326"/>
      <c r="G29" s="326"/>
      <c r="H29" s="359" t="s">
        <v>5102</v>
      </c>
    </row>
    <row r="30" spans="1:8">
      <c r="A30" s="323"/>
      <c r="B30" s="325"/>
      <c r="C30" s="325"/>
      <c r="D30" s="326"/>
      <c r="E30" s="326"/>
      <c r="F30" s="326"/>
      <c r="G30" s="326"/>
      <c r="H30" s="359"/>
    </row>
    <row r="31" spans="1:8" ht="16.5" customHeight="1">
      <c r="A31" s="322">
        <v>45786</v>
      </c>
      <c r="B31" s="324" t="s">
        <v>5107</v>
      </c>
      <c r="C31" s="325"/>
      <c r="D31" s="326">
        <v>90000</v>
      </c>
      <c r="E31" s="327" t="s">
        <v>5111</v>
      </c>
      <c r="F31" s="328"/>
      <c r="G31" s="329"/>
      <c r="H31" s="359" t="s">
        <v>5103</v>
      </c>
    </row>
    <row r="32" spans="1:8" ht="16.5" customHeight="1">
      <c r="A32" s="323"/>
      <c r="B32" s="325"/>
      <c r="C32" s="325"/>
      <c r="D32" s="326"/>
      <c r="E32" s="330"/>
      <c r="F32" s="331"/>
      <c r="G32" s="332"/>
      <c r="H32" s="359"/>
    </row>
    <row r="33" spans="1:8">
      <c r="A33" s="322">
        <v>45786</v>
      </c>
      <c r="B33" s="325" t="s">
        <v>5108</v>
      </c>
      <c r="C33" s="325"/>
      <c r="D33" s="326">
        <v>370000</v>
      </c>
      <c r="E33" s="326" t="s">
        <v>5109</v>
      </c>
      <c r="F33" s="326"/>
      <c r="G33" s="326"/>
      <c r="H33" s="359" t="s">
        <v>5110</v>
      </c>
    </row>
    <row r="34" spans="1:8">
      <c r="A34" s="323"/>
      <c r="B34" s="325"/>
      <c r="C34" s="325"/>
      <c r="D34" s="326"/>
      <c r="E34" s="326"/>
      <c r="F34" s="326"/>
      <c r="G34" s="326"/>
      <c r="H34" s="359"/>
    </row>
    <row r="35" spans="1:8" ht="33" customHeight="1">
      <c r="A35" s="223">
        <v>45786</v>
      </c>
      <c r="B35" s="229" t="s">
        <v>5120</v>
      </c>
      <c r="C35" s="229"/>
      <c r="D35" s="230">
        <v>200000</v>
      </c>
      <c r="E35" s="808" t="s">
        <v>5121</v>
      </c>
      <c r="F35" s="722"/>
      <c r="G35" s="723"/>
      <c r="H35" s="228" t="s">
        <v>5118</v>
      </c>
    </row>
    <row r="36" spans="1:8" ht="17.25" customHeight="1">
      <c r="A36" s="322">
        <v>45787</v>
      </c>
      <c r="B36" s="325" t="s">
        <v>5117</v>
      </c>
      <c r="C36" s="325"/>
      <c r="D36" s="326">
        <v>220000</v>
      </c>
      <c r="E36" s="337"/>
      <c r="F36" s="326"/>
      <c r="G36" s="326"/>
      <c r="H36" s="359" t="s">
        <v>5118</v>
      </c>
    </row>
    <row r="37" spans="1:8" ht="24.75" customHeight="1">
      <c r="A37" s="323"/>
      <c r="B37" s="325"/>
      <c r="C37" s="325"/>
      <c r="D37" s="326"/>
      <c r="E37" s="326"/>
      <c r="F37" s="326"/>
      <c r="G37" s="326"/>
      <c r="H37" s="359"/>
    </row>
    <row r="38" spans="1:8">
      <c r="A38" s="322">
        <v>45787</v>
      </c>
      <c r="B38" s="325" t="s">
        <v>5116</v>
      </c>
      <c r="C38" s="325"/>
      <c r="D38" s="326">
        <v>210000</v>
      </c>
      <c r="E38" s="337"/>
      <c r="F38" s="326"/>
      <c r="G38" s="326"/>
      <c r="H38" s="359" t="s">
        <v>5119</v>
      </c>
    </row>
    <row r="39" spans="1:8">
      <c r="A39" s="323"/>
      <c r="B39" s="325"/>
      <c r="C39" s="325"/>
      <c r="D39" s="326"/>
      <c r="E39" s="326"/>
      <c r="F39" s="326"/>
      <c r="G39" s="326"/>
      <c r="H39" s="359"/>
    </row>
    <row r="40" spans="1:8">
      <c r="A40" s="322">
        <v>45787</v>
      </c>
      <c r="B40" s="325" t="s">
        <v>5114</v>
      </c>
      <c r="C40" s="325"/>
      <c r="D40" s="326">
        <v>110000</v>
      </c>
      <c r="E40" s="326" t="s">
        <v>5115</v>
      </c>
      <c r="F40" s="326"/>
      <c r="G40" s="326"/>
      <c r="H40" s="359" t="s">
        <v>5122</v>
      </c>
    </row>
    <row r="41" spans="1:8">
      <c r="A41" s="323"/>
      <c r="B41" s="325"/>
      <c r="C41" s="325"/>
      <c r="D41" s="326"/>
      <c r="E41" s="326"/>
      <c r="F41" s="326"/>
      <c r="G41" s="326"/>
      <c r="H41" s="359"/>
    </row>
    <row r="42" spans="1:8">
      <c r="A42" s="322"/>
      <c r="B42" s="917" t="s">
        <v>5154</v>
      </c>
      <c r="C42" s="918"/>
      <c r="D42" s="918"/>
      <c r="E42" s="918"/>
      <c r="F42" s="918"/>
      <c r="G42" s="918"/>
      <c r="H42" s="919"/>
    </row>
    <row r="43" spans="1:8" ht="34.5" customHeight="1">
      <c r="A43" s="323"/>
      <c r="B43" s="920"/>
      <c r="C43" s="921"/>
      <c r="D43" s="921"/>
      <c r="E43" s="921"/>
      <c r="F43" s="921"/>
      <c r="G43" s="921"/>
      <c r="H43" s="922"/>
    </row>
    <row r="44" spans="1:8">
      <c r="A44" s="322">
        <v>45789</v>
      </c>
      <c r="B44" s="325" t="s">
        <v>5135</v>
      </c>
      <c r="C44" s="325"/>
      <c r="D44" s="326">
        <v>500000</v>
      </c>
      <c r="E44" s="575" t="s">
        <v>5136</v>
      </c>
      <c r="F44" s="575"/>
      <c r="G44" s="575"/>
      <c r="H44" s="333" t="s">
        <v>5137</v>
      </c>
    </row>
    <row r="45" spans="1:8">
      <c r="A45" s="323"/>
      <c r="B45" s="325"/>
      <c r="C45" s="325"/>
      <c r="D45" s="326"/>
      <c r="E45" s="575"/>
      <c r="F45" s="575"/>
      <c r="G45" s="575"/>
      <c r="H45" s="333"/>
    </row>
    <row r="46" spans="1:8">
      <c r="A46" s="322">
        <v>45789</v>
      </c>
      <c r="B46" s="325" t="s">
        <v>5132</v>
      </c>
      <c r="C46" s="325"/>
      <c r="D46" s="326">
        <v>280000</v>
      </c>
      <c r="E46" s="575" t="s">
        <v>5133</v>
      </c>
      <c r="F46" s="575"/>
      <c r="G46" s="575"/>
      <c r="H46" s="359" t="s">
        <v>5134</v>
      </c>
    </row>
    <row r="47" spans="1:8">
      <c r="A47" s="323"/>
      <c r="B47" s="325"/>
      <c r="C47" s="325"/>
      <c r="D47" s="326"/>
      <c r="E47" s="575"/>
      <c r="F47" s="575"/>
      <c r="G47" s="575"/>
      <c r="H47" s="359"/>
    </row>
    <row r="48" spans="1:8">
      <c r="A48" s="322">
        <v>45790</v>
      </c>
      <c r="B48" s="324" t="s">
        <v>5124</v>
      </c>
      <c r="C48" s="325"/>
      <c r="D48" s="326">
        <v>1560000</v>
      </c>
      <c r="E48" s="575" t="s">
        <v>5125</v>
      </c>
      <c r="F48" s="575"/>
      <c r="G48" s="575"/>
      <c r="H48" s="333" t="s">
        <v>5126</v>
      </c>
    </row>
    <row r="49" spans="1:8">
      <c r="A49" s="323"/>
      <c r="B49" s="325"/>
      <c r="C49" s="325"/>
      <c r="D49" s="326"/>
      <c r="E49" s="575"/>
      <c r="F49" s="575"/>
      <c r="G49" s="575"/>
      <c r="H49" s="333"/>
    </row>
    <row r="50" spans="1:8" ht="17.25" customHeight="1">
      <c r="A50" s="322">
        <v>45791</v>
      </c>
      <c r="B50" s="325" t="s">
        <v>5128</v>
      </c>
      <c r="C50" s="325"/>
      <c r="D50" s="326">
        <v>231000</v>
      </c>
      <c r="E50" s="326" t="s">
        <v>5131</v>
      </c>
      <c r="F50" s="326"/>
      <c r="G50" s="326"/>
      <c r="H50" s="359" t="s">
        <v>5127</v>
      </c>
    </row>
    <row r="51" spans="1:8" ht="17.25" customHeight="1">
      <c r="A51" s="323"/>
      <c r="B51" s="325"/>
      <c r="C51" s="325"/>
      <c r="D51" s="326"/>
      <c r="E51" s="326"/>
      <c r="F51" s="326"/>
      <c r="G51" s="326"/>
      <c r="H51" s="359"/>
    </row>
    <row r="52" spans="1:8" ht="17.25" customHeight="1">
      <c r="A52" s="322">
        <v>45792</v>
      </c>
      <c r="B52" s="325" t="s">
        <v>5128</v>
      </c>
      <c r="C52" s="325"/>
      <c r="D52" s="326">
        <v>50000</v>
      </c>
      <c r="E52" s="326" t="s">
        <v>5130</v>
      </c>
      <c r="F52" s="326"/>
      <c r="G52" s="326"/>
      <c r="H52" s="359" t="s">
        <v>5129</v>
      </c>
    </row>
    <row r="53" spans="1:8" ht="17.25" customHeight="1">
      <c r="A53" s="323"/>
      <c r="B53" s="325"/>
      <c r="C53" s="325"/>
      <c r="D53" s="326"/>
      <c r="E53" s="326"/>
      <c r="F53" s="326"/>
      <c r="G53" s="326"/>
      <c r="H53" s="359"/>
    </row>
    <row r="54" spans="1:8">
      <c r="A54" s="322">
        <v>45762</v>
      </c>
      <c r="B54" s="325" t="s">
        <v>5140</v>
      </c>
      <c r="C54" s="325"/>
      <c r="D54" s="326">
        <v>250000</v>
      </c>
      <c r="E54" s="326" t="s">
        <v>5153</v>
      </c>
      <c r="F54" s="326"/>
      <c r="G54" s="326"/>
      <c r="H54" s="359" t="s">
        <v>5141</v>
      </c>
    </row>
    <row r="55" spans="1:8">
      <c r="A55" s="323"/>
      <c r="B55" s="325"/>
      <c r="C55" s="325"/>
      <c r="D55" s="326"/>
      <c r="E55" s="326"/>
      <c r="F55" s="326"/>
      <c r="G55" s="326"/>
      <c r="H55" s="359"/>
    </row>
    <row r="56" spans="1:8" ht="17.25" customHeight="1">
      <c r="A56" s="322">
        <v>45762</v>
      </c>
      <c r="B56" s="325" t="s">
        <v>5138</v>
      </c>
      <c r="C56" s="325"/>
      <c r="D56" s="326">
        <v>680000</v>
      </c>
      <c r="E56" s="575" t="s">
        <v>3103</v>
      </c>
      <c r="F56" s="575"/>
      <c r="G56" s="575"/>
      <c r="H56" s="333" t="s">
        <v>5139</v>
      </c>
    </row>
    <row r="57" spans="1:8" ht="17.25" customHeight="1">
      <c r="A57" s="323"/>
      <c r="B57" s="325"/>
      <c r="C57" s="325"/>
      <c r="D57" s="326"/>
      <c r="E57" s="575"/>
      <c r="F57" s="575"/>
      <c r="G57" s="575"/>
      <c r="H57" s="333"/>
    </row>
    <row r="58" spans="1:8">
      <c r="A58" s="322">
        <v>45763</v>
      </c>
      <c r="B58" s="325" t="s">
        <v>5142</v>
      </c>
      <c r="C58" s="325"/>
      <c r="D58" s="326">
        <v>808000</v>
      </c>
      <c r="E58" s="575" t="s">
        <v>5152</v>
      </c>
      <c r="F58" s="575"/>
      <c r="G58" s="575"/>
      <c r="H58" s="359" t="s">
        <v>145</v>
      </c>
    </row>
    <row r="59" spans="1:8">
      <c r="A59" s="323"/>
      <c r="B59" s="325"/>
      <c r="C59" s="325"/>
      <c r="D59" s="326"/>
      <c r="E59" s="575"/>
      <c r="F59" s="575"/>
      <c r="G59" s="575"/>
      <c r="H59" s="359"/>
    </row>
    <row r="60" spans="1:8">
      <c r="A60" s="322">
        <v>45763</v>
      </c>
      <c r="B60" s="325" t="s">
        <v>5143</v>
      </c>
      <c r="C60" s="325"/>
      <c r="D60" s="326">
        <v>750000</v>
      </c>
      <c r="E60" s="575" t="s">
        <v>5144</v>
      </c>
      <c r="F60" s="575"/>
      <c r="G60" s="575"/>
      <c r="H60" s="359" t="s">
        <v>5145</v>
      </c>
    </row>
    <row r="61" spans="1:8">
      <c r="A61" s="323"/>
      <c r="B61" s="325"/>
      <c r="C61" s="325"/>
      <c r="D61" s="326"/>
      <c r="E61" s="575"/>
      <c r="F61" s="575"/>
      <c r="G61" s="575"/>
      <c r="H61" s="359"/>
    </row>
    <row r="62" spans="1:8">
      <c r="A62" s="322">
        <v>45763</v>
      </c>
      <c r="B62" s="325" t="s">
        <v>5146</v>
      </c>
      <c r="C62" s="325"/>
      <c r="D62" s="326">
        <v>610000</v>
      </c>
      <c r="E62" s="575" t="s">
        <v>5147</v>
      </c>
      <c r="F62" s="575"/>
      <c r="G62" s="575"/>
      <c r="H62" s="359" t="s">
        <v>5148</v>
      </c>
    </row>
    <row r="63" spans="1:8">
      <c r="A63" s="323"/>
      <c r="B63" s="325"/>
      <c r="C63" s="325"/>
      <c r="D63" s="326"/>
      <c r="E63" s="575"/>
      <c r="F63" s="575"/>
      <c r="G63" s="575"/>
      <c r="H63" s="359"/>
    </row>
    <row r="64" spans="1:8">
      <c r="A64" s="322">
        <v>45763</v>
      </c>
      <c r="B64" s="325" t="s">
        <v>5149</v>
      </c>
      <c r="C64" s="325"/>
      <c r="D64" s="326">
        <v>380000</v>
      </c>
      <c r="E64" s="326" t="s">
        <v>5150</v>
      </c>
      <c r="F64" s="326"/>
      <c r="G64" s="326"/>
      <c r="H64" s="359" t="s">
        <v>5151</v>
      </c>
    </row>
    <row r="65" spans="1:8">
      <c r="A65" s="323"/>
      <c r="B65" s="325"/>
      <c r="C65" s="325"/>
      <c r="D65" s="326"/>
      <c r="E65" s="326"/>
      <c r="F65" s="326"/>
      <c r="G65" s="326"/>
      <c r="H65" s="359"/>
    </row>
    <row r="66" spans="1:8">
      <c r="A66" s="313">
        <v>45795</v>
      </c>
      <c r="B66" s="325" t="s">
        <v>5155</v>
      </c>
      <c r="C66" s="325"/>
      <c r="D66" s="326">
        <v>132000</v>
      </c>
      <c r="E66" s="326" t="s">
        <v>5156</v>
      </c>
      <c r="F66" s="326"/>
      <c r="G66" s="326"/>
      <c r="H66" s="359" t="s">
        <v>5157</v>
      </c>
    </row>
    <row r="67" spans="1:8">
      <c r="A67" s="305"/>
      <c r="B67" s="325"/>
      <c r="C67" s="325"/>
      <c r="D67" s="326"/>
      <c r="E67" s="326"/>
      <c r="F67" s="326"/>
      <c r="G67" s="326"/>
      <c r="H67" s="359"/>
    </row>
    <row r="68" spans="1:8">
      <c r="A68" s="313"/>
      <c r="B68" s="862" t="s">
        <v>5192</v>
      </c>
      <c r="C68" s="863"/>
      <c r="D68" s="863"/>
      <c r="E68" s="863"/>
      <c r="F68" s="863"/>
      <c r="G68" s="863"/>
      <c r="H68" s="915"/>
    </row>
    <row r="69" spans="1:8" ht="21" customHeight="1">
      <c r="A69" s="305"/>
      <c r="B69" s="865"/>
      <c r="C69" s="866"/>
      <c r="D69" s="866"/>
      <c r="E69" s="866"/>
      <c r="F69" s="866"/>
      <c r="G69" s="866"/>
      <c r="H69" s="916"/>
    </row>
    <row r="70" spans="1:8">
      <c r="A70" s="313">
        <v>45796</v>
      </c>
      <c r="B70" s="325" t="s">
        <v>5158</v>
      </c>
      <c r="C70" s="325"/>
      <c r="D70" s="326">
        <v>1100000</v>
      </c>
      <c r="E70" s="326" t="s">
        <v>5159</v>
      </c>
      <c r="F70" s="326"/>
      <c r="G70" s="326"/>
      <c r="H70" s="359" t="s">
        <v>5160</v>
      </c>
    </row>
    <row r="71" spans="1:8">
      <c r="A71" s="305"/>
      <c r="B71" s="325"/>
      <c r="C71" s="325"/>
      <c r="D71" s="326"/>
      <c r="E71" s="326"/>
      <c r="F71" s="326"/>
      <c r="G71" s="326"/>
      <c r="H71" s="359"/>
    </row>
    <row r="72" spans="1:8">
      <c r="A72" s="313">
        <v>45796</v>
      </c>
      <c r="B72" s="325" t="s">
        <v>5161</v>
      </c>
      <c r="C72" s="325"/>
      <c r="D72" s="326">
        <v>460000</v>
      </c>
      <c r="E72" s="326"/>
      <c r="F72" s="326"/>
      <c r="G72" s="326"/>
      <c r="H72" s="398" t="s">
        <v>145</v>
      </c>
    </row>
    <row r="73" spans="1:8">
      <c r="A73" s="305"/>
      <c r="B73" s="325"/>
      <c r="C73" s="325"/>
      <c r="D73" s="326"/>
      <c r="E73" s="326"/>
      <c r="F73" s="326"/>
      <c r="G73" s="326"/>
      <c r="H73" s="399"/>
    </row>
    <row r="74" spans="1:8">
      <c r="A74" s="313">
        <v>45797</v>
      </c>
      <c r="B74" s="325" t="s">
        <v>5166</v>
      </c>
      <c r="C74" s="325"/>
      <c r="D74" s="326">
        <v>684860</v>
      </c>
      <c r="E74" s="326" t="s">
        <v>5167</v>
      </c>
      <c r="F74" s="326"/>
      <c r="G74" s="326"/>
      <c r="H74" s="333" t="s">
        <v>5162</v>
      </c>
    </row>
    <row r="75" spans="1:8">
      <c r="A75" s="305"/>
      <c r="B75" s="325"/>
      <c r="C75" s="325"/>
      <c r="D75" s="326"/>
      <c r="E75" s="326"/>
      <c r="F75" s="326"/>
      <c r="G75" s="326"/>
      <c r="H75" s="333"/>
    </row>
    <row r="76" spans="1:8">
      <c r="A76" s="313">
        <v>45797</v>
      </c>
      <c r="B76" s="325" t="s">
        <v>5164</v>
      </c>
      <c r="C76" s="325"/>
      <c r="D76" s="326">
        <v>1290000</v>
      </c>
      <c r="E76" s="575" t="s">
        <v>5165</v>
      </c>
      <c r="F76" s="575"/>
      <c r="G76" s="575"/>
      <c r="H76" s="398" t="s">
        <v>145</v>
      </c>
    </row>
    <row r="77" spans="1:8">
      <c r="A77" s="305"/>
      <c r="B77" s="325"/>
      <c r="C77" s="325"/>
      <c r="D77" s="326"/>
      <c r="E77" s="575"/>
      <c r="F77" s="575"/>
      <c r="G77" s="575"/>
      <c r="H77" s="399"/>
    </row>
    <row r="78" spans="1:8">
      <c r="A78" s="313">
        <v>45797</v>
      </c>
      <c r="B78" s="325" t="s">
        <v>5172</v>
      </c>
      <c r="C78" s="325"/>
      <c r="D78" s="326">
        <v>590000</v>
      </c>
      <c r="E78" s="575" t="s">
        <v>5171</v>
      </c>
      <c r="F78" s="575"/>
      <c r="G78" s="575"/>
      <c r="H78" s="398" t="s">
        <v>5163</v>
      </c>
    </row>
    <row r="79" spans="1:8">
      <c r="A79" s="305"/>
      <c r="B79" s="325"/>
      <c r="C79" s="325"/>
      <c r="D79" s="326"/>
      <c r="E79" s="575"/>
      <c r="F79" s="575"/>
      <c r="G79" s="575"/>
      <c r="H79" s="399"/>
    </row>
    <row r="80" spans="1:8">
      <c r="A80" s="313">
        <v>45798</v>
      </c>
      <c r="B80" s="325" t="s">
        <v>5173</v>
      </c>
      <c r="C80" s="325"/>
      <c r="D80" s="326">
        <v>500000</v>
      </c>
      <c r="E80" s="575" t="s">
        <v>5170</v>
      </c>
      <c r="F80" s="575"/>
      <c r="G80" s="575"/>
      <c r="H80" s="359" t="s">
        <v>5168</v>
      </c>
    </row>
    <row r="81" spans="1:8">
      <c r="A81" s="305"/>
      <c r="B81" s="325"/>
      <c r="C81" s="325"/>
      <c r="D81" s="326"/>
      <c r="E81" s="575"/>
      <c r="F81" s="575"/>
      <c r="G81" s="575"/>
      <c r="H81" s="359"/>
    </row>
    <row r="82" spans="1:8">
      <c r="A82" s="313">
        <v>45798</v>
      </c>
      <c r="B82" s="325" t="s">
        <v>5174</v>
      </c>
      <c r="C82" s="325"/>
      <c r="D82" s="326">
        <v>1150000</v>
      </c>
      <c r="E82" s="575" t="s">
        <v>5170</v>
      </c>
      <c r="F82" s="575"/>
      <c r="G82" s="575"/>
      <c r="H82" s="359" t="s">
        <v>5169</v>
      </c>
    </row>
    <row r="83" spans="1:8">
      <c r="A83" s="305"/>
      <c r="B83" s="325"/>
      <c r="C83" s="325"/>
      <c r="D83" s="326"/>
      <c r="E83" s="575"/>
      <c r="F83" s="575"/>
      <c r="G83" s="575"/>
      <c r="H83" s="359"/>
    </row>
    <row r="84" spans="1:8">
      <c r="A84" s="313">
        <v>45799</v>
      </c>
      <c r="B84" s="325"/>
      <c r="C84" s="325"/>
      <c r="D84" s="326">
        <v>136000</v>
      </c>
      <c r="E84" s="326" t="s">
        <v>5178</v>
      </c>
      <c r="F84" s="326"/>
      <c r="G84" s="326"/>
      <c r="H84" s="359" t="s">
        <v>5177</v>
      </c>
    </row>
    <row r="85" spans="1:8">
      <c r="A85" s="305"/>
      <c r="B85" s="325"/>
      <c r="C85" s="325"/>
      <c r="D85" s="326"/>
      <c r="E85" s="326"/>
      <c r="F85" s="326"/>
      <c r="G85" s="326"/>
      <c r="H85" s="359"/>
    </row>
    <row r="86" spans="1:8">
      <c r="A86" s="313">
        <v>45799</v>
      </c>
      <c r="B86" s="325" t="s">
        <v>5181</v>
      </c>
      <c r="C86" s="325"/>
      <c r="D86" s="326">
        <v>700000</v>
      </c>
      <c r="E86" s="575" t="s">
        <v>5175</v>
      </c>
      <c r="F86" s="575"/>
      <c r="G86" s="575"/>
      <c r="H86" s="359" t="s">
        <v>5182</v>
      </c>
    </row>
    <row r="87" spans="1:8">
      <c r="A87" s="305"/>
      <c r="B87" s="325"/>
      <c r="C87" s="325"/>
      <c r="D87" s="326"/>
      <c r="E87" s="575"/>
      <c r="F87" s="575"/>
      <c r="G87" s="575"/>
      <c r="H87" s="359"/>
    </row>
    <row r="88" spans="1:8">
      <c r="A88" s="313">
        <v>45799</v>
      </c>
      <c r="B88" s="325" t="s">
        <v>5176</v>
      </c>
      <c r="C88" s="325"/>
      <c r="D88" s="326">
        <v>60000</v>
      </c>
      <c r="E88" s="326" t="s">
        <v>5179</v>
      </c>
      <c r="F88" s="326"/>
      <c r="G88" s="326"/>
      <c r="H88" s="359" t="s">
        <v>5180</v>
      </c>
    </row>
    <row r="89" spans="1:8">
      <c r="A89" s="305"/>
      <c r="B89" s="325"/>
      <c r="C89" s="325"/>
      <c r="D89" s="326"/>
      <c r="E89" s="326"/>
      <c r="F89" s="326"/>
      <c r="G89" s="326"/>
      <c r="H89" s="359"/>
    </row>
    <row r="90" spans="1:8">
      <c r="A90" s="313">
        <v>45800</v>
      </c>
      <c r="B90" s="325" t="s">
        <v>5187</v>
      </c>
      <c r="C90" s="325"/>
      <c r="D90" s="326">
        <v>798000</v>
      </c>
      <c r="E90" s="574" t="s">
        <v>5217</v>
      </c>
      <c r="F90" s="575"/>
      <c r="G90" s="575"/>
      <c r="H90" s="333" t="s">
        <v>5191</v>
      </c>
    </row>
    <row r="91" spans="1:8">
      <c r="A91" s="305"/>
      <c r="B91" s="325"/>
      <c r="C91" s="325"/>
      <c r="D91" s="326"/>
      <c r="E91" s="575"/>
      <c r="F91" s="575"/>
      <c r="G91" s="575"/>
      <c r="H91" s="333"/>
    </row>
    <row r="92" spans="1:8">
      <c r="A92" s="313">
        <v>45800</v>
      </c>
      <c r="B92" s="325" t="s">
        <v>5186</v>
      </c>
      <c r="C92" s="325"/>
      <c r="D92" s="326">
        <v>490000</v>
      </c>
      <c r="E92" s="575"/>
      <c r="F92" s="575"/>
      <c r="G92" s="575"/>
      <c r="H92" s="359" t="s">
        <v>145</v>
      </c>
    </row>
    <row r="93" spans="1:8">
      <c r="A93" s="305"/>
      <c r="B93" s="325"/>
      <c r="C93" s="325"/>
      <c r="D93" s="326"/>
      <c r="E93" s="575"/>
      <c r="F93" s="575"/>
      <c r="G93" s="575"/>
      <c r="H93" s="359"/>
    </row>
    <row r="94" spans="1:8">
      <c r="A94" s="313">
        <v>45800</v>
      </c>
      <c r="B94" s="325" t="s">
        <v>5184</v>
      </c>
      <c r="C94" s="325"/>
      <c r="D94" s="326">
        <v>970000</v>
      </c>
      <c r="E94" s="574" t="s">
        <v>5185</v>
      </c>
      <c r="F94" s="575"/>
      <c r="G94" s="575"/>
      <c r="H94" s="359" t="s">
        <v>5183</v>
      </c>
    </row>
    <row r="95" spans="1:8">
      <c r="A95" s="305"/>
      <c r="B95" s="325"/>
      <c r="C95" s="325"/>
      <c r="D95" s="326"/>
      <c r="E95" s="575"/>
      <c r="F95" s="575"/>
      <c r="G95" s="575"/>
      <c r="H95" s="359"/>
    </row>
    <row r="96" spans="1:8">
      <c r="A96" s="313">
        <v>45803</v>
      </c>
      <c r="B96" s="325" t="s">
        <v>5188</v>
      </c>
      <c r="C96" s="325"/>
      <c r="D96" s="326">
        <v>50000</v>
      </c>
      <c r="E96" s="326" t="s">
        <v>5189</v>
      </c>
      <c r="F96" s="326"/>
      <c r="G96" s="326"/>
      <c r="H96" s="359" t="s">
        <v>5190</v>
      </c>
    </row>
    <row r="97" spans="1:8">
      <c r="A97" s="305"/>
      <c r="B97" s="325"/>
      <c r="C97" s="325"/>
      <c r="D97" s="326"/>
      <c r="E97" s="326"/>
      <c r="F97" s="326"/>
      <c r="G97" s="326"/>
      <c r="H97" s="359"/>
    </row>
    <row r="98" spans="1:8">
      <c r="A98" s="313"/>
      <c r="B98" s="884" t="s">
        <v>5295</v>
      </c>
      <c r="C98" s="671"/>
      <c r="D98" s="671"/>
      <c r="E98" s="671"/>
      <c r="F98" s="671"/>
      <c r="G98" s="671"/>
      <c r="H98" s="672"/>
    </row>
    <row r="99" spans="1:8">
      <c r="A99" s="305"/>
      <c r="B99" s="673"/>
      <c r="C99" s="674"/>
      <c r="D99" s="674"/>
      <c r="E99" s="674"/>
      <c r="F99" s="674"/>
      <c r="G99" s="674"/>
      <c r="H99" s="675"/>
    </row>
    <row r="100" spans="1:8">
      <c r="A100" s="313">
        <v>45804</v>
      </c>
      <c r="B100" s="325" t="s">
        <v>5193</v>
      </c>
      <c r="C100" s="325"/>
      <c r="D100" s="326">
        <v>1100000</v>
      </c>
      <c r="E100" s="326" t="s">
        <v>5194</v>
      </c>
      <c r="F100" s="326"/>
      <c r="G100" s="326"/>
      <c r="H100" s="359" t="s">
        <v>5195</v>
      </c>
    </row>
    <row r="101" spans="1:8">
      <c r="A101" s="305"/>
      <c r="B101" s="325"/>
      <c r="C101" s="325"/>
      <c r="D101" s="326"/>
      <c r="E101" s="326"/>
      <c r="F101" s="326"/>
      <c r="G101" s="326"/>
      <c r="H101" s="359"/>
    </row>
    <row r="102" spans="1:8">
      <c r="A102" s="313">
        <v>45804</v>
      </c>
      <c r="B102" s="325" t="s">
        <v>5196</v>
      </c>
      <c r="C102" s="325"/>
      <c r="D102" s="326">
        <v>680000</v>
      </c>
      <c r="E102" s="326" t="s">
        <v>5197</v>
      </c>
      <c r="F102" s="326"/>
      <c r="G102" s="326"/>
      <c r="H102" s="359" t="s">
        <v>5198</v>
      </c>
    </row>
    <row r="103" spans="1:8">
      <c r="A103" s="305"/>
      <c r="B103" s="325"/>
      <c r="C103" s="325"/>
      <c r="D103" s="326"/>
      <c r="E103" s="326"/>
      <c r="F103" s="326"/>
      <c r="G103" s="326"/>
      <c r="H103" s="359"/>
    </row>
    <row r="104" spans="1:8" ht="35.25" customHeight="1">
      <c r="A104" s="226">
        <v>45805</v>
      </c>
      <c r="B104" s="231" t="s">
        <v>5199</v>
      </c>
      <c r="C104" s="229"/>
      <c r="D104" s="230">
        <v>570000</v>
      </c>
      <c r="E104" s="808" t="s">
        <v>5200</v>
      </c>
      <c r="F104" s="722"/>
      <c r="G104" s="723"/>
      <c r="H104" s="359" t="s">
        <v>145</v>
      </c>
    </row>
    <row r="105" spans="1:8" ht="33" customHeight="1">
      <c r="A105" s="226">
        <v>45805</v>
      </c>
      <c r="B105" s="229" t="s">
        <v>5201</v>
      </c>
      <c r="C105" s="229"/>
      <c r="D105" s="230">
        <v>130000</v>
      </c>
      <c r="E105" s="650" t="s">
        <v>5202</v>
      </c>
      <c r="F105" s="628"/>
      <c r="G105" s="629"/>
      <c r="H105" s="359"/>
    </row>
    <row r="106" spans="1:8">
      <c r="A106" s="313">
        <v>45807</v>
      </c>
      <c r="B106" s="325" t="s">
        <v>5203</v>
      </c>
      <c r="C106" s="325"/>
      <c r="D106" s="326">
        <v>1270000</v>
      </c>
      <c r="E106" s="575" t="s">
        <v>5204</v>
      </c>
      <c r="F106" s="575"/>
      <c r="G106" s="575"/>
      <c r="H106" s="359" t="s">
        <v>5205</v>
      </c>
    </row>
    <row r="107" spans="1:8">
      <c r="A107" s="305"/>
      <c r="B107" s="325"/>
      <c r="C107" s="325"/>
      <c r="D107" s="326"/>
      <c r="E107" s="575"/>
      <c r="F107" s="575"/>
      <c r="G107" s="575"/>
      <c r="H107" s="359"/>
    </row>
    <row r="108" spans="1:8">
      <c r="A108" s="313">
        <v>45807</v>
      </c>
      <c r="B108" s="324" t="s">
        <v>5206</v>
      </c>
      <c r="C108" s="325"/>
      <c r="D108" s="326">
        <v>770000</v>
      </c>
      <c r="E108" s="575" t="s">
        <v>5207</v>
      </c>
      <c r="F108" s="575"/>
      <c r="G108" s="575"/>
      <c r="H108" s="359" t="s">
        <v>5208</v>
      </c>
    </row>
    <row r="109" spans="1:8">
      <c r="A109" s="305"/>
      <c r="B109" s="325"/>
      <c r="C109" s="325"/>
      <c r="D109" s="326"/>
      <c r="E109" s="575"/>
      <c r="F109" s="575"/>
      <c r="G109" s="575"/>
      <c r="H109" s="359"/>
    </row>
    <row r="110" spans="1:8">
      <c r="A110" s="313">
        <v>45807</v>
      </c>
      <c r="B110" s="325" t="s">
        <v>5209</v>
      </c>
      <c r="C110" s="325"/>
      <c r="D110" s="326">
        <v>600000</v>
      </c>
      <c r="E110" s="326" t="s">
        <v>5210</v>
      </c>
      <c r="F110" s="326"/>
      <c r="G110" s="326"/>
      <c r="H110" s="359" t="s">
        <v>5205</v>
      </c>
    </row>
    <row r="111" spans="1:8">
      <c r="A111" s="305"/>
      <c r="B111" s="325"/>
      <c r="C111" s="325"/>
      <c r="D111" s="326"/>
      <c r="E111" s="326"/>
      <c r="F111" s="326"/>
      <c r="G111" s="326"/>
      <c r="H111" s="359"/>
    </row>
    <row r="112" spans="1:8">
      <c r="A112" s="313">
        <v>45807</v>
      </c>
      <c r="B112" s="324" t="s">
        <v>5211</v>
      </c>
      <c r="C112" s="325"/>
      <c r="D112" s="343">
        <v>590000</v>
      </c>
      <c r="E112" s="575" t="s">
        <v>5212</v>
      </c>
      <c r="F112" s="575"/>
      <c r="G112" s="575"/>
      <c r="H112" s="359" t="s">
        <v>5213</v>
      </c>
    </row>
    <row r="113" spans="1:8">
      <c r="A113" s="305"/>
      <c r="B113" s="325"/>
      <c r="C113" s="325"/>
      <c r="D113" s="344"/>
      <c r="E113" s="575"/>
      <c r="F113" s="575"/>
      <c r="G113" s="575"/>
      <c r="H113" s="359"/>
    </row>
    <row r="114" spans="1:8">
      <c r="A114" s="765"/>
      <c r="B114" s="644" t="s">
        <v>5299</v>
      </c>
      <c r="C114" s="645"/>
      <c r="D114" s="645"/>
      <c r="E114" s="645"/>
      <c r="F114" s="645"/>
      <c r="G114" s="645"/>
      <c r="H114" s="646"/>
    </row>
    <row r="115" spans="1:8" ht="42.75" customHeight="1">
      <c r="A115" s="766"/>
      <c r="B115" s="647"/>
      <c r="C115" s="648"/>
      <c r="D115" s="648"/>
      <c r="E115" s="648"/>
      <c r="F115" s="648"/>
      <c r="G115" s="648"/>
      <c r="H115" s="649"/>
    </row>
    <row r="116" spans="1:8">
      <c r="A116" s="313"/>
      <c r="B116" s="325"/>
      <c r="C116" s="325"/>
      <c r="D116" s="326"/>
      <c r="E116" s="326"/>
      <c r="F116" s="326"/>
      <c r="G116" s="326"/>
      <c r="H116" s="333"/>
    </row>
    <row r="117" spans="1:8">
      <c r="A117" s="305"/>
      <c r="B117" s="325"/>
      <c r="C117" s="325"/>
      <c r="D117" s="326"/>
      <c r="E117" s="326"/>
      <c r="F117" s="326"/>
      <c r="G117" s="326"/>
      <c r="H117" s="333"/>
    </row>
    <row r="118" spans="1:8">
      <c r="A118" s="313"/>
      <c r="B118" s="325"/>
      <c r="C118" s="325"/>
      <c r="D118" s="326"/>
      <c r="E118" s="326"/>
      <c r="F118" s="326"/>
      <c r="G118" s="326"/>
      <c r="H118" s="333"/>
    </row>
    <row r="119" spans="1:8">
      <c r="A119" s="305"/>
      <c r="B119" s="325"/>
      <c r="C119" s="325"/>
      <c r="D119" s="326"/>
      <c r="E119" s="326"/>
      <c r="F119" s="326"/>
      <c r="G119" s="326"/>
      <c r="H119" s="333"/>
    </row>
    <row r="120" spans="1:8">
      <c r="A120" s="313"/>
      <c r="B120" s="324"/>
      <c r="C120" s="325"/>
      <c r="D120" s="343"/>
      <c r="E120" s="326"/>
      <c r="F120" s="326"/>
      <c r="G120" s="326"/>
      <c r="H120" s="359"/>
    </row>
    <row r="121" spans="1:8">
      <c r="A121" s="305"/>
      <c r="B121" s="325"/>
      <c r="C121" s="325"/>
      <c r="D121" s="344"/>
      <c r="E121" s="326"/>
      <c r="F121" s="326"/>
      <c r="G121" s="326"/>
      <c r="H121" s="359"/>
    </row>
    <row r="122" spans="1:8">
      <c r="A122" s="313"/>
      <c r="B122" s="324"/>
      <c r="C122" s="325"/>
      <c r="D122" s="326"/>
      <c r="E122" s="326"/>
      <c r="F122" s="326"/>
      <c r="G122" s="326"/>
      <c r="H122" s="359"/>
    </row>
    <row r="123" spans="1:8">
      <c r="A123" s="305"/>
      <c r="B123" s="325"/>
      <c r="C123" s="325"/>
      <c r="D123" s="326"/>
      <c r="E123" s="326"/>
      <c r="F123" s="326"/>
      <c r="G123" s="326"/>
      <c r="H123" s="359"/>
    </row>
    <row r="124" spans="1:8">
      <c r="A124" s="313"/>
      <c r="B124" s="325"/>
      <c r="C124" s="325"/>
      <c r="D124" s="326"/>
      <c r="E124" s="326"/>
      <c r="F124" s="326"/>
      <c r="G124" s="326"/>
      <c r="H124" s="333"/>
    </row>
    <row r="125" spans="1:8">
      <c r="A125" s="305"/>
      <c r="B125" s="325"/>
      <c r="C125" s="325"/>
      <c r="D125" s="326"/>
      <c r="E125" s="326"/>
      <c r="F125" s="326"/>
      <c r="G125" s="326"/>
      <c r="H125" s="333"/>
    </row>
  </sheetData>
  <mergeCells count="353">
    <mergeCell ref="A124:A125"/>
    <mergeCell ref="B124:B125"/>
    <mergeCell ref="C124:C125"/>
    <mergeCell ref="D124:D125"/>
    <mergeCell ref="E124:G125"/>
    <mergeCell ref="H124:H125"/>
    <mergeCell ref="A122:A123"/>
    <mergeCell ref="B122:B123"/>
    <mergeCell ref="C122:C123"/>
    <mergeCell ref="D122:D123"/>
    <mergeCell ref="E122:G123"/>
    <mergeCell ref="H122:H123"/>
    <mergeCell ref="A120:A121"/>
    <mergeCell ref="B120:B121"/>
    <mergeCell ref="C120:C121"/>
    <mergeCell ref="D120:D121"/>
    <mergeCell ref="E120:G121"/>
    <mergeCell ref="H120:H121"/>
    <mergeCell ref="A118:A119"/>
    <mergeCell ref="B118:B119"/>
    <mergeCell ref="C118:C119"/>
    <mergeCell ref="D118:D119"/>
    <mergeCell ref="E118:G119"/>
    <mergeCell ref="H118:H119"/>
    <mergeCell ref="A116:A117"/>
    <mergeCell ref="B116:B117"/>
    <mergeCell ref="C116:C117"/>
    <mergeCell ref="D116:D117"/>
    <mergeCell ref="E116:G117"/>
    <mergeCell ref="H116:H117"/>
    <mergeCell ref="A114:A115"/>
    <mergeCell ref="B114:H115"/>
    <mergeCell ref="A112:A113"/>
    <mergeCell ref="B112:B113"/>
    <mergeCell ref="C112:C113"/>
    <mergeCell ref="D112:D113"/>
    <mergeCell ref="E112:G113"/>
    <mergeCell ref="H112:H113"/>
    <mergeCell ref="A110:A111"/>
    <mergeCell ref="B110:B111"/>
    <mergeCell ref="C110:C111"/>
    <mergeCell ref="D110:D111"/>
    <mergeCell ref="E110:G111"/>
    <mergeCell ref="H110:H111"/>
    <mergeCell ref="H106:H107"/>
    <mergeCell ref="A108:A109"/>
    <mergeCell ref="B108:B109"/>
    <mergeCell ref="C108:C109"/>
    <mergeCell ref="D108:D109"/>
    <mergeCell ref="E108:G109"/>
    <mergeCell ref="H108:H109"/>
    <mergeCell ref="E104:G104"/>
    <mergeCell ref="E105:G105"/>
    <mergeCell ref="A106:A107"/>
    <mergeCell ref="B106:B107"/>
    <mergeCell ref="C106:C107"/>
    <mergeCell ref="D106:D107"/>
    <mergeCell ref="E106:G107"/>
    <mergeCell ref="H104:H105"/>
    <mergeCell ref="A98:A99"/>
    <mergeCell ref="A96:A97"/>
    <mergeCell ref="B96:B97"/>
    <mergeCell ref="C96:C97"/>
    <mergeCell ref="D96:D97"/>
    <mergeCell ref="E96:G97"/>
    <mergeCell ref="H96:H97"/>
    <mergeCell ref="B98:H99"/>
    <mergeCell ref="A102:A103"/>
    <mergeCell ref="B102:B103"/>
    <mergeCell ref="C102:C103"/>
    <mergeCell ref="D102:D103"/>
    <mergeCell ref="E102:G103"/>
    <mergeCell ref="H102:H103"/>
    <mergeCell ref="A100:A101"/>
    <mergeCell ref="B100:B101"/>
    <mergeCell ref="C100:C101"/>
    <mergeCell ref="D100:D101"/>
    <mergeCell ref="E100:G101"/>
    <mergeCell ref="H100:H101"/>
    <mergeCell ref="A94:A95"/>
    <mergeCell ref="B94:B95"/>
    <mergeCell ref="C94:C95"/>
    <mergeCell ref="D94:D95"/>
    <mergeCell ref="E94:G95"/>
    <mergeCell ref="H94:H95"/>
    <mergeCell ref="A92:A93"/>
    <mergeCell ref="B92:B93"/>
    <mergeCell ref="C92:C93"/>
    <mergeCell ref="D92:D93"/>
    <mergeCell ref="E92:G93"/>
    <mergeCell ref="H92:H93"/>
    <mergeCell ref="A90:A91"/>
    <mergeCell ref="B90:B91"/>
    <mergeCell ref="C90:C91"/>
    <mergeCell ref="D90:D91"/>
    <mergeCell ref="E90:G91"/>
    <mergeCell ref="H90:H91"/>
    <mergeCell ref="A88:A89"/>
    <mergeCell ref="B88:B89"/>
    <mergeCell ref="C88:C89"/>
    <mergeCell ref="D88:D89"/>
    <mergeCell ref="E88:G89"/>
    <mergeCell ref="H88:H89"/>
    <mergeCell ref="A86:A87"/>
    <mergeCell ref="B86:B87"/>
    <mergeCell ref="C86:C87"/>
    <mergeCell ref="D86:D87"/>
    <mergeCell ref="E86:G87"/>
    <mergeCell ref="H86:H87"/>
    <mergeCell ref="A84:A85"/>
    <mergeCell ref="B84:B85"/>
    <mergeCell ref="C84:C85"/>
    <mergeCell ref="D84:D85"/>
    <mergeCell ref="E84:G85"/>
    <mergeCell ref="H84:H85"/>
    <mergeCell ref="A82:A83"/>
    <mergeCell ref="B82:B83"/>
    <mergeCell ref="C82:C83"/>
    <mergeCell ref="D82:D83"/>
    <mergeCell ref="E82:G83"/>
    <mergeCell ref="H82:H83"/>
    <mergeCell ref="A80:A81"/>
    <mergeCell ref="B80:B81"/>
    <mergeCell ref="C80:C81"/>
    <mergeCell ref="D80:D81"/>
    <mergeCell ref="E80:G81"/>
    <mergeCell ref="H80:H81"/>
    <mergeCell ref="A78:A79"/>
    <mergeCell ref="B78:B79"/>
    <mergeCell ref="C78:C79"/>
    <mergeCell ref="D78:D79"/>
    <mergeCell ref="E78:G79"/>
    <mergeCell ref="H78:H79"/>
    <mergeCell ref="A76:A77"/>
    <mergeCell ref="B76:B77"/>
    <mergeCell ref="C76:C77"/>
    <mergeCell ref="D76:D77"/>
    <mergeCell ref="E76:G77"/>
    <mergeCell ref="H76:H77"/>
    <mergeCell ref="A74:A75"/>
    <mergeCell ref="B74:B75"/>
    <mergeCell ref="C74:C75"/>
    <mergeCell ref="D74:D75"/>
    <mergeCell ref="E74:G75"/>
    <mergeCell ref="H74:H75"/>
    <mergeCell ref="A72:A73"/>
    <mergeCell ref="B72:B73"/>
    <mergeCell ref="C72:C73"/>
    <mergeCell ref="D72:D73"/>
    <mergeCell ref="E72:G73"/>
    <mergeCell ref="H72:H73"/>
    <mergeCell ref="A66:A67"/>
    <mergeCell ref="A64:A65"/>
    <mergeCell ref="B64:B65"/>
    <mergeCell ref="C64:C65"/>
    <mergeCell ref="D64:D65"/>
    <mergeCell ref="E64:G65"/>
    <mergeCell ref="H64:H65"/>
    <mergeCell ref="A70:A71"/>
    <mergeCell ref="B70:B71"/>
    <mergeCell ref="C70:C71"/>
    <mergeCell ref="D70:D71"/>
    <mergeCell ref="E70:G71"/>
    <mergeCell ref="H70:H71"/>
    <mergeCell ref="A68:A69"/>
    <mergeCell ref="B66:B67"/>
    <mergeCell ref="C66:C67"/>
    <mergeCell ref="D66:D67"/>
    <mergeCell ref="E66:G67"/>
    <mergeCell ref="H66:H67"/>
    <mergeCell ref="B68:H69"/>
    <mergeCell ref="A62:A63"/>
    <mergeCell ref="B62:B63"/>
    <mergeCell ref="C62:C63"/>
    <mergeCell ref="D62:D63"/>
    <mergeCell ref="E62:G63"/>
    <mergeCell ref="H62:H63"/>
    <mergeCell ref="A60:A61"/>
    <mergeCell ref="B60:B61"/>
    <mergeCell ref="C60:C61"/>
    <mergeCell ref="D60:D61"/>
    <mergeCell ref="E60:G61"/>
    <mergeCell ref="H60:H61"/>
    <mergeCell ref="A58:A59"/>
    <mergeCell ref="B58:B59"/>
    <mergeCell ref="C58:C59"/>
    <mergeCell ref="D58:D59"/>
    <mergeCell ref="E58:G59"/>
    <mergeCell ref="H58:H59"/>
    <mergeCell ref="A56:A57"/>
    <mergeCell ref="B56:B57"/>
    <mergeCell ref="C56:C57"/>
    <mergeCell ref="D56:D57"/>
    <mergeCell ref="E56:G57"/>
    <mergeCell ref="H56:H57"/>
    <mergeCell ref="A54:A55"/>
    <mergeCell ref="B54:B55"/>
    <mergeCell ref="C54:C55"/>
    <mergeCell ref="D54:D55"/>
    <mergeCell ref="E54:G55"/>
    <mergeCell ref="H54:H55"/>
    <mergeCell ref="A52:A53"/>
    <mergeCell ref="B52:B53"/>
    <mergeCell ref="C52:C53"/>
    <mergeCell ref="D52:D53"/>
    <mergeCell ref="E52:G53"/>
    <mergeCell ref="H52:H53"/>
    <mergeCell ref="A50:A51"/>
    <mergeCell ref="B50:B51"/>
    <mergeCell ref="C50:C51"/>
    <mergeCell ref="D50:D51"/>
    <mergeCell ref="E50:G51"/>
    <mergeCell ref="H50:H51"/>
    <mergeCell ref="A48:A49"/>
    <mergeCell ref="B48:B49"/>
    <mergeCell ref="C48:C49"/>
    <mergeCell ref="D48:D49"/>
    <mergeCell ref="E48:G49"/>
    <mergeCell ref="H48:H49"/>
    <mergeCell ref="A40:A41"/>
    <mergeCell ref="B40:B41"/>
    <mergeCell ref="C40:C41"/>
    <mergeCell ref="D40:D41"/>
    <mergeCell ref="E40:G41"/>
    <mergeCell ref="H40:H41"/>
    <mergeCell ref="A46:A47"/>
    <mergeCell ref="B46:B47"/>
    <mergeCell ref="C46:C47"/>
    <mergeCell ref="D46:D47"/>
    <mergeCell ref="E46:G47"/>
    <mergeCell ref="H46:H47"/>
    <mergeCell ref="A42:A43"/>
    <mergeCell ref="B42:H43"/>
    <mergeCell ref="A44:A45"/>
    <mergeCell ref="B44:B45"/>
    <mergeCell ref="C44:C45"/>
    <mergeCell ref="D44:D45"/>
    <mergeCell ref="E44:G45"/>
    <mergeCell ref="H44:H45"/>
    <mergeCell ref="H36:H37"/>
    <mergeCell ref="A38:A39"/>
    <mergeCell ref="B38:B39"/>
    <mergeCell ref="C38:C39"/>
    <mergeCell ref="D38:D39"/>
    <mergeCell ref="E38:G39"/>
    <mergeCell ref="H38:H39"/>
    <mergeCell ref="E35:G35"/>
    <mergeCell ref="A36:A37"/>
    <mergeCell ref="B36:B37"/>
    <mergeCell ref="C36:C37"/>
    <mergeCell ref="D36:D37"/>
    <mergeCell ref="E36:G37"/>
    <mergeCell ref="A33:A34"/>
    <mergeCell ref="B33:B34"/>
    <mergeCell ref="C33:C34"/>
    <mergeCell ref="D33:D34"/>
    <mergeCell ref="E33:G34"/>
    <mergeCell ref="H33:H34"/>
    <mergeCell ref="A31:A32"/>
    <mergeCell ref="B31:B32"/>
    <mergeCell ref="C31:C32"/>
    <mergeCell ref="D31:D32"/>
    <mergeCell ref="E31:G32"/>
    <mergeCell ref="H31:H32"/>
    <mergeCell ref="A29:A30"/>
    <mergeCell ref="B29:B30"/>
    <mergeCell ref="C29:C30"/>
    <mergeCell ref="D29:D30"/>
    <mergeCell ref="E29:G30"/>
    <mergeCell ref="H29:H30"/>
    <mergeCell ref="A27:A28"/>
    <mergeCell ref="B27:B28"/>
    <mergeCell ref="C27:C28"/>
    <mergeCell ref="D27:D28"/>
    <mergeCell ref="E27:G28"/>
    <mergeCell ref="H27:H28"/>
    <mergeCell ref="A25:A26"/>
    <mergeCell ref="B25:B26"/>
    <mergeCell ref="C25:C26"/>
    <mergeCell ref="D25:D26"/>
    <mergeCell ref="E25:G26"/>
    <mergeCell ref="H25:H26"/>
    <mergeCell ref="A23:A24"/>
    <mergeCell ref="B23:B24"/>
    <mergeCell ref="C23:C24"/>
    <mergeCell ref="D23:D24"/>
    <mergeCell ref="E23:G24"/>
    <mergeCell ref="H23:H24"/>
    <mergeCell ref="D21:D22"/>
    <mergeCell ref="E21:G22"/>
    <mergeCell ref="H21:H22"/>
    <mergeCell ref="A19:A20"/>
    <mergeCell ref="B19:B20"/>
    <mergeCell ref="C19:C20"/>
    <mergeCell ref="D19:D20"/>
    <mergeCell ref="E19:G20"/>
    <mergeCell ref="H19:H20"/>
    <mergeCell ref="A21:A22"/>
    <mergeCell ref="B21:B22"/>
    <mergeCell ref="C21:C22"/>
    <mergeCell ref="A6:A7"/>
    <mergeCell ref="B6:B7"/>
    <mergeCell ref="C6:C7"/>
    <mergeCell ref="D6:D7"/>
    <mergeCell ref="E6:G7"/>
    <mergeCell ref="H6:H7"/>
    <mergeCell ref="E12:G12"/>
    <mergeCell ref="A13:A14"/>
    <mergeCell ref="B13:B14"/>
    <mergeCell ref="C13:C14"/>
    <mergeCell ref="D13:D14"/>
    <mergeCell ref="E13:G14"/>
    <mergeCell ref="A10:A11"/>
    <mergeCell ref="B10:B11"/>
    <mergeCell ref="C10:C11"/>
    <mergeCell ref="D10:D11"/>
    <mergeCell ref="E10:G11"/>
    <mergeCell ref="H13:H14"/>
    <mergeCell ref="H10:H11"/>
    <mergeCell ref="A8:A9"/>
    <mergeCell ref="B8:B9"/>
    <mergeCell ref="C8:C9"/>
    <mergeCell ref="D8:D9"/>
    <mergeCell ref="E8:G9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  <mergeCell ref="A3:H3"/>
    <mergeCell ref="A4:A5"/>
    <mergeCell ref="B4:B5"/>
    <mergeCell ref="C4:C5"/>
    <mergeCell ref="D4:D5"/>
    <mergeCell ref="E4:G5"/>
    <mergeCell ref="H4:H5"/>
    <mergeCell ref="M1:M2"/>
    <mergeCell ref="N1:N2"/>
    <mergeCell ref="H8:H9"/>
    <mergeCell ref="A17:A18"/>
    <mergeCell ref="A15:A16"/>
    <mergeCell ref="B15:B16"/>
    <mergeCell ref="C15:C16"/>
    <mergeCell ref="D15:D16"/>
    <mergeCell ref="E15:G16"/>
    <mergeCell ref="H15:H16"/>
    <mergeCell ref="B17:H18"/>
  </mergeCells>
  <phoneticPr fontId="1" type="noConversion"/>
  <pageMargins left="0" right="0" top="0" bottom="0" header="0" footer="0"/>
  <pageSetup paperSize="9" scale="36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22"/>
  <sheetViews>
    <sheetView showGridLines="0" zoomScale="115" zoomScaleNormal="115" workbookViewId="0">
      <pane xSplit="8" ySplit="2" topLeftCell="I69" activePane="bottomRight" state="frozen"/>
      <selection pane="topRight" activeCell="I1" sqref="I1"/>
      <selection pane="bottomLeft" activeCell="A3" sqref="A3"/>
      <selection pane="bottomRight" activeCell="E102" sqref="E102:G102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9" max="9" width="8.625" customWidth="1"/>
    <col min="10" max="10" width="13.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  <col min="18" max="18" width="9.5" bestFit="1" customWidth="1"/>
  </cols>
  <sheetData>
    <row r="1" spans="1:18" ht="35.25" customHeight="1" thickBot="1">
      <c r="A1" s="388" t="s">
        <v>5255</v>
      </c>
      <c r="B1" s="389"/>
      <c r="C1" s="402" t="s">
        <v>27</v>
      </c>
      <c r="D1" s="403"/>
      <c r="E1" s="21" t="s">
        <v>26</v>
      </c>
      <c r="F1" s="20">
        <f>H1/31</f>
        <v>884935.48387096776</v>
      </c>
      <c r="G1" s="21" t="s">
        <v>4</v>
      </c>
      <c r="H1" s="22">
        <f>SUM(D4:D122)</f>
        <v>27433000</v>
      </c>
      <c r="I1" s="392"/>
      <c r="J1" s="338"/>
      <c r="K1" s="394"/>
      <c r="L1" s="396"/>
      <c r="M1" s="377"/>
      <c r="N1" s="379"/>
      <c r="O1" s="381"/>
      <c r="P1" s="383"/>
      <c r="Q1" s="377"/>
      <c r="R1" s="376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385" t="s">
        <v>25</v>
      </c>
      <c r="F2" s="386"/>
      <c r="G2" s="387"/>
      <c r="H2" s="25" t="s">
        <v>5</v>
      </c>
      <c r="I2" s="393"/>
      <c r="J2" s="333"/>
      <c r="K2" s="395"/>
      <c r="L2" s="397"/>
      <c r="M2" s="378"/>
      <c r="N2" s="380"/>
      <c r="O2" s="382"/>
      <c r="P2" s="384"/>
      <c r="Q2" s="378"/>
      <c r="R2" s="376"/>
    </row>
    <row r="3" spans="1:18" ht="57.75" customHeight="1">
      <c r="A3" s="441" t="s">
        <v>5233</v>
      </c>
      <c r="B3" s="442"/>
      <c r="C3" s="442"/>
      <c r="D3" s="442"/>
      <c r="E3" s="442"/>
      <c r="F3" s="442"/>
      <c r="G3" s="442"/>
      <c r="H3" s="443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322">
        <v>45809</v>
      </c>
      <c r="B4" s="341" t="s">
        <v>5214</v>
      </c>
      <c r="C4" s="341"/>
      <c r="D4" s="326">
        <v>1150000</v>
      </c>
      <c r="E4" s="562" t="s">
        <v>1980</v>
      </c>
      <c r="F4" s="582"/>
      <c r="G4" s="583"/>
      <c r="H4" s="398" t="s">
        <v>5220</v>
      </c>
      <c r="J4" s="43"/>
    </row>
    <row r="5" spans="1:18" ht="16.5" customHeight="1">
      <c r="A5" s="323"/>
      <c r="B5" s="342"/>
      <c r="C5" s="342"/>
      <c r="D5" s="326"/>
      <c r="E5" s="584"/>
      <c r="F5" s="585"/>
      <c r="G5" s="586"/>
      <c r="H5" s="399"/>
      <c r="J5" s="43"/>
    </row>
    <row r="6" spans="1:18" ht="16.5" customHeight="1">
      <c r="A6" s="322">
        <v>45809</v>
      </c>
      <c r="B6" s="341" t="s">
        <v>5215</v>
      </c>
      <c r="C6" s="341"/>
      <c r="D6" s="343">
        <v>200000</v>
      </c>
      <c r="E6" s="562" t="s">
        <v>2849</v>
      </c>
      <c r="F6" s="563"/>
      <c r="G6" s="564"/>
      <c r="H6" s="610" t="s">
        <v>5216</v>
      </c>
    </row>
    <row r="7" spans="1:18" ht="51" customHeight="1">
      <c r="A7" s="323"/>
      <c r="B7" s="342"/>
      <c r="C7" s="342"/>
      <c r="D7" s="344"/>
      <c r="E7" s="565"/>
      <c r="F7" s="566"/>
      <c r="G7" s="567"/>
      <c r="H7" s="611"/>
    </row>
    <row r="8" spans="1:18" ht="16.5" customHeight="1">
      <c r="A8" s="322">
        <v>45811</v>
      </c>
      <c r="B8" s="324" t="s">
        <v>5218</v>
      </c>
      <c r="C8" s="341"/>
      <c r="D8" s="326">
        <v>570000</v>
      </c>
      <c r="E8" s="327" t="s">
        <v>5221</v>
      </c>
      <c r="F8" s="328"/>
      <c r="G8" s="329"/>
      <c r="H8" s="400" t="s">
        <v>5219</v>
      </c>
      <c r="J8" s="48"/>
    </row>
    <row r="9" spans="1:18" ht="33.75" customHeight="1">
      <c r="A9" s="323"/>
      <c r="B9" s="325"/>
      <c r="C9" s="342"/>
      <c r="D9" s="326"/>
      <c r="E9" s="330"/>
      <c r="F9" s="331"/>
      <c r="G9" s="332"/>
      <c r="H9" s="401"/>
    </row>
    <row r="10" spans="1:18" ht="16.5" customHeight="1">
      <c r="A10" s="322">
        <v>45813</v>
      </c>
      <c r="B10" s="324" t="s">
        <v>5230</v>
      </c>
      <c r="C10" s="341"/>
      <c r="D10" s="326">
        <v>1370000</v>
      </c>
      <c r="E10" s="562" t="s">
        <v>5222</v>
      </c>
      <c r="F10" s="582"/>
      <c r="G10" s="583"/>
      <c r="H10" s="398" t="s">
        <v>2732</v>
      </c>
    </row>
    <row r="11" spans="1:18" ht="26.25" customHeight="1">
      <c r="A11" s="323"/>
      <c r="B11" s="325"/>
      <c r="C11" s="342"/>
      <c r="D11" s="326"/>
      <c r="E11" s="584"/>
      <c r="F11" s="585"/>
      <c r="G11" s="586"/>
      <c r="H11" s="399"/>
    </row>
    <row r="12" spans="1:18" ht="45" customHeight="1">
      <c r="A12" s="232">
        <v>45813</v>
      </c>
      <c r="B12" s="233" t="s">
        <v>5231</v>
      </c>
      <c r="C12" s="233"/>
      <c r="D12" s="234">
        <v>720000</v>
      </c>
      <c r="E12" s="721" t="s">
        <v>5223</v>
      </c>
      <c r="F12" s="722"/>
      <c r="G12" s="723"/>
      <c r="H12" s="98" t="s">
        <v>5228</v>
      </c>
    </row>
    <row r="13" spans="1:18">
      <c r="A13" s="322">
        <v>45813</v>
      </c>
      <c r="B13" s="324" t="s">
        <v>5232</v>
      </c>
      <c r="C13" s="325"/>
      <c r="D13" s="326">
        <v>1090000</v>
      </c>
      <c r="E13" s="574" t="s">
        <v>5224</v>
      </c>
      <c r="F13" s="575"/>
      <c r="G13" s="575"/>
      <c r="H13" s="359" t="s">
        <v>5227</v>
      </c>
    </row>
    <row r="14" spans="1:18" ht="42.75" customHeight="1">
      <c r="A14" s="323"/>
      <c r="B14" s="325"/>
      <c r="C14" s="325"/>
      <c r="D14" s="326"/>
      <c r="E14" s="575"/>
      <c r="F14" s="575"/>
      <c r="G14" s="575"/>
      <c r="H14" s="359"/>
    </row>
    <row r="15" spans="1:18">
      <c r="A15" s="322">
        <v>45814</v>
      </c>
      <c r="B15" s="325" t="s">
        <v>5226</v>
      </c>
      <c r="C15" s="325"/>
      <c r="D15" s="326">
        <v>660000</v>
      </c>
      <c r="E15" s="337" t="s">
        <v>5225</v>
      </c>
      <c r="F15" s="326"/>
      <c r="G15" s="326"/>
      <c r="H15" s="359" t="s">
        <v>5229</v>
      </c>
    </row>
    <row r="16" spans="1:18" ht="30.75" customHeight="1">
      <c r="A16" s="323"/>
      <c r="B16" s="325"/>
      <c r="C16" s="325"/>
      <c r="D16" s="326"/>
      <c r="E16" s="326"/>
      <c r="F16" s="326"/>
      <c r="G16" s="326"/>
      <c r="H16" s="359"/>
    </row>
    <row r="17" spans="1:8">
      <c r="A17" s="322"/>
      <c r="B17" s="695" t="s">
        <v>5279</v>
      </c>
      <c r="C17" s="696"/>
      <c r="D17" s="696"/>
      <c r="E17" s="696"/>
      <c r="F17" s="696"/>
      <c r="G17" s="696"/>
      <c r="H17" s="697"/>
    </row>
    <row r="18" spans="1:8" s="239" customFormat="1" ht="27" customHeight="1">
      <c r="A18" s="323"/>
      <c r="B18" s="698"/>
      <c r="C18" s="699"/>
      <c r="D18" s="699"/>
      <c r="E18" s="699"/>
      <c r="F18" s="699"/>
      <c r="G18" s="699"/>
      <c r="H18" s="700"/>
    </row>
    <row r="19" spans="1:8">
      <c r="A19" s="322">
        <v>45818</v>
      </c>
      <c r="B19" s="324" t="s">
        <v>5234</v>
      </c>
      <c r="C19" s="325"/>
      <c r="D19" s="343">
        <v>1510000</v>
      </c>
      <c r="E19" s="574" t="s">
        <v>5235</v>
      </c>
      <c r="F19" s="575"/>
      <c r="G19" s="575"/>
      <c r="H19" s="359" t="s">
        <v>8</v>
      </c>
    </row>
    <row r="20" spans="1:8" ht="28.5" customHeight="1">
      <c r="A20" s="323"/>
      <c r="B20" s="325"/>
      <c r="C20" s="325"/>
      <c r="D20" s="344"/>
      <c r="E20" s="575"/>
      <c r="F20" s="575"/>
      <c r="G20" s="575"/>
      <c r="H20" s="359"/>
    </row>
    <row r="21" spans="1:8" ht="16.5" customHeight="1">
      <c r="A21" s="336">
        <v>45818</v>
      </c>
      <c r="B21" s="324" t="s">
        <v>5236</v>
      </c>
      <c r="C21" s="325"/>
      <c r="D21" s="326">
        <v>1040000</v>
      </c>
      <c r="E21" s="562" t="s">
        <v>5235</v>
      </c>
      <c r="F21" s="582"/>
      <c r="G21" s="583"/>
      <c r="H21" s="400" t="s">
        <v>5237</v>
      </c>
    </row>
    <row r="22" spans="1:8" ht="16.5" customHeight="1">
      <c r="A22" s="323"/>
      <c r="B22" s="325"/>
      <c r="C22" s="325"/>
      <c r="D22" s="326"/>
      <c r="E22" s="584"/>
      <c r="F22" s="585"/>
      <c r="G22" s="586"/>
      <c r="H22" s="401"/>
    </row>
    <row r="23" spans="1:8" ht="16.5" customHeight="1">
      <c r="A23" s="336">
        <v>45818</v>
      </c>
      <c r="B23" s="324" t="s">
        <v>5239</v>
      </c>
      <c r="C23" s="326"/>
      <c r="D23" s="326">
        <v>440000</v>
      </c>
      <c r="E23" s="327" t="s">
        <v>5242</v>
      </c>
      <c r="F23" s="328"/>
      <c r="G23" s="329"/>
      <c r="H23" s="359" t="s">
        <v>5238</v>
      </c>
    </row>
    <row r="24" spans="1:8" ht="16.5" customHeight="1">
      <c r="A24" s="323"/>
      <c r="B24" s="325"/>
      <c r="C24" s="326"/>
      <c r="D24" s="326"/>
      <c r="E24" s="330"/>
      <c r="F24" s="331"/>
      <c r="G24" s="332"/>
      <c r="H24" s="359"/>
    </row>
    <row r="25" spans="1:8">
      <c r="A25" s="322">
        <v>45818</v>
      </c>
      <c r="B25" s="324" t="s">
        <v>5243</v>
      </c>
      <c r="C25" s="325"/>
      <c r="D25" s="343">
        <v>190000</v>
      </c>
      <c r="E25" s="337" t="s">
        <v>5241</v>
      </c>
      <c r="F25" s="326"/>
      <c r="G25" s="326"/>
      <c r="H25" s="359" t="s">
        <v>5240</v>
      </c>
    </row>
    <row r="26" spans="1:8" ht="21.75" customHeight="1">
      <c r="A26" s="323"/>
      <c r="B26" s="325"/>
      <c r="C26" s="325"/>
      <c r="D26" s="344"/>
      <c r="E26" s="326"/>
      <c r="F26" s="326"/>
      <c r="G26" s="326"/>
      <c r="H26" s="359"/>
    </row>
    <row r="27" spans="1:8" ht="16.5" customHeight="1">
      <c r="A27" s="322">
        <v>45819</v>
      </c>
      <c r="B27" s="324" t="s">
        <v>5254</v>
      </c>
      <c r="C27" s="325"/>
      <c r="D27" s="326">
        <v>976000</v>
      </c>
      <c r="E27" s="575" t="s">
        <v>5246</v>
      </c>
      <c r="F27" s="575"/>
      <c r="G27" s="575"/>
      <c r="H27" s="359" t="s">
        <v>5265</v>
      </c>
    </row>
    <row r="28" spans="1:8" ht="16.5" customHeight="1">
      <c r="A28" s="323"/>
      <c r="B28" s="325"/>
      <c r="C28" s="325"/>
      <c r="D28" s="326"/>
      <c r="E28" s="575"/>
      <c r="F28" s="575"/>
      <c r="G28" s="575"/>
      <c r="H28" s="359"/>
    </row>
    <row r="29" spans="1:8" ht="15.75" customHeight="1">
      <c r="A29" s="322">
        <v>45819</v>
      </c>
      <c r="B29" s="324" t="s">
        <v>5252</v>
      </c>
      <c r="C29" s="325"/>
      <c r="D29" s="326">
        <v>540000</v>
      </c>
      <c r="E29" s="575" t="s">
        <v>5244</v>
      </c>
      <c r="F29" s="575"/>
      <c r="G29" s="575"/>
      <c r="H29" s="359" t="s">
        <v>5264</v>
      </c>
    </row>
    <row r="30" spans="1:8">
      <c r="A30" s="323"/>
      <c r="B30" s="325"/>
      <c r="C30" s="325"/>
      <c r="D30" s="326"/>
      <c r="E30" s="575"/>
      <c r="F30" s="575"/>
      <c r="G30" s="575"/>
      <c r="H30" s="359"/>
    </row>
    <row r="31" spans="1:8" ht="16.5" customHeight="1">
      <c r="A31" s="322">
        <v>45819</v>
      </c>
      <c r="B31" s="324" t="s">
        <v>5253</v>
      </c>
      <c r="C31" s="325"/>
      <c r="D31" s="326">
        <v>310000</v>
      </c>
      <c r="E31" s="327" t="s">
        <v>5245</v>
      </c>
      <c r="F31" s="328"/>
      <c r="G31" s="329"/>
      <c r="H31" s="359" t="s">
        <v>5263</v>
      </c>
    </row>
    <row r="32" spans="1:8" ht="16.5" customHeight="1">
      <c r="A32" s="323"/>
      <c r="B32" s="325"/>
      <c r="C32" s="325"/>
      <c r="D32" s="326"/>
      <c r="E32" s="330"/>
      <c r="F32" s="331"/>
      <c r="G32" s="332"/>
      <c r="H32" s="359"/>
    </row>
    <row r="33" spans="1:8">
      <c r="A33" s="322">
        <v>45819</v>
      </c>
      <c r="B33" s="325" t="s">
        <v>5247</v>
      </c>
      <c r="C33" s="325"/>
      <c r="D33" s="326">
        <v>120000</v>
      </c>
      <c r="E33" s="326" t="s">
        <v>5249</v>
      </c>
      <c r="F33" s="326"/>
      <c r="G33" s="326"/>
      <c r="H33" s="359" t="s">
        <v>5250</v>
      </c>
    </row>
    <row r="34" spans="1:8">
      <c r="A34" s="323"/>
      <c r="B34" s="325"/>
      <c r="C34" s="325"/>
      <c r="D34" s="326"/>
      <c r="E34" s="326"/>
      <c r="F34" s="326"/>
      <c r="G34" s="326"/>
      <c r="H34" s="359"/>
    </row>
    <row r="35" spans="1:8" ht="33" customHeight="1">
      <c r="A35" s="232">
        <v>45819</v>
      </c>
      <c r="B35" s="235" t="s">
        <v>5248</v>
      </c>
      <c r="C35" s="235"/>
      <c r="D35" s="236">
        <v>60000</v>
      </c>
      <c r="E35" s="627" t="s">
        <v>5249</v>
      </c>
      <c r="F35" s="628"/>
      <c r="G35" s="629"/>
      <c r="H35" s="240" t="s">
        <v>5251</v>
      </c>
    </row>
    <row r="36" spans="1:8" ht="17.25" customHeight="1">
      <c r="A36" s="322">
        <v>45820</v>
      </c>
      <c r="B36" s="325" t="s">
        <v>5261</v>
      </c>
      <c r="C36" s="325"/>
      <c r="D36" s="326">
        <v>780000</v>
      </c>
      <c r="E36" s="574" t="s">
        <v>5262</v>
      </c>
      <c r="F36" s="575"/>
      <c r="G36" s="575"/>
      <c r="H36" s="359" t="s">
        <v>2732</v>
      </c>
    </row>
    <row r="37" spans="1:8" ht="24.75" customHeight="1">
      <c r="A37" s="323"/>
      <c r="B37" s="325"/>
      <c r="C37" s="325"/>
      <c r="D37" s="326"/>
      <c r="E37" s="575"/>
      <c r="F37" s="575"/>
      <c r="G37" s="575"/>
      <c r="H37" s="359"/>
    </row>
    <row r="38" spans="1:8">
      <c r="A38" s="322">
        <v>45820</v>
      </c>
      <c r="B38" s="325" t="s">
        <v>5260</v>
      </c>
      <c r="C38" s="325"/>
      <c r="D38" s="326">
        <v>490000</v>
      </c>
      <c r="E38" s="337" t="s">
        <v>5266</v>
      </c>
      <c r="F38" s="326"/>
      <c r="G38" s="326"/>
      <c r="H38" s="359" t="s">
        <v>2732</v>
      </c>
    </row>
    <row r="39" spans="1:8">
      <c r="A39" s="323"/>
      <c r="B39" s="325"/>
      <c r="C39" s="325"/>
      <c r="D39" s="326"/>
      <c r="E39" s="326"/>
      <c r="F39" s="326"/>
      <c r="G39" s="326"/>
      <c r="H39" s="359"/>
    </row>
    <row r="40" spans="1:8">
      <c r="A40" s="322">
        <v>45821</v>
      </c>
      <c r="B40" s="325" t="s">
        <v>5271</v>
      </c>
      <c r="C40" s="325"/>
      <c r="D40" s="326">
        <v>780000</v>
      </c>
      <c r="E40" s="326" t="s">
        <v>5267</v>
      </c>
      <c r="F40" s="326"/>
      <c r="G40" s="326"/>
      <c r="H40" s="359" t="s">
        <v>5270</v>
      </c>
    </row>
    <row r="41" spans="1:8">
      <c r="A41" s="323"/>
      <c r="B41" s="325"/>
      <c r="C41" s="325"/>
      <c r="D41" s="326"/>
      <c r="E41" s="326"/>
      <c r="F41" s="326"/>
      <c r="G41" s="326"/>
      <c r="H41" s="359"/>
    </row>
    <row r="42" spans="1:8">
      <c r="A42" s="322">
        <v>45821</v>
      </c>
      <c r="B42" s="325" t="s">
        <v>5272</v>
      </c>
      <c r="C42" s="325"/>
      <c r="D42" s="326">
        <v>125000</v>
      </c>
      <c r="E42" s="326" t="s">
        <v>5268</v>
      </c>
      <c r="F42" s="326"/>
      <c r="G42" s="326"/>
      <c r="H42" s="359" t="s">
        <v>5270</v>
      </c>
    </row>
    <row r="43" spans="1:8">
      <c r="A43" s="323"/>
      <c r="B43" s="325"/>
      <c r="C43" s="325"/>
      <c r="D43" s="326"/>
      <c r="E43" s="326"/>
      <c r="F43" s="326"/>
      <c r="G43" s="326"/>
      <c r="H43" s="359"/>
    </row>
    <row r="44" spans="1:8">
      <c r="A44" s="322">
        <v>45821</v>
      </c>
      <c r="B44" s="325" t="s">
        <v>5273</v>
      </c>
      <c r="C44" s="325"/>
      <c r="D44" s="326">
        <v>280000</v>
      </c>
      <c r="E44" s="326" t="s">
        <v>5269</v>
      </c>
      <c r="F44" s="326"/>
      <c r="G44" s="326"/>
      <c r="H44" s="359" t="s">
        <v>5270</v>
      </c>
    </row>
    <row r="45" spans="1:8">
      <c r="A45" s="323"/>
      <c r="B45" s="325"/>
      <c r="C45" s="325"/>
      <c r="D45" s="326"/>
      <c r="E45" s="326"/>
      <c r="F45" s="326"/>
      <c r="G45" s="326"/>
      <c r="H45" s="359"/>
    </row>
    <row r="46" spans="1:8">
      <c r="A46" s="322"/>
      <c r="B46" s="644" t="s">
        <v>5298</v>
      </c>
      <c r="C46" s="645"/>
      <c r="D46" s="645"/>
      <c r="E46" s="645"/>
      <c r="F46" s="645"/>
      <c r="G46" s="693"/>
      <c r="H46" s="333"/>
    </row>
    <row r="47" spans="1:8" ht="32.25" customHeight="1">
      <c r="A47" s="323"/>
      <c r="B47" s="647"/>
      <c r="C47" s="648"/>
      <c r="D47" s="648"/>
      <c r="E47" s="648"/>
      <c r="F47" s="648"/>
      <c r="G47" s="694"/>
      <c r="H47" s="333"/>
    </row>
    <row r="48" spans="1:8" ht="17.25" customHeight="1">
      <c r="A48" s="322">
        <v>45825</v>
      </c>
      <c r="B48" s="325" t="s">
        <v>5274</v>
      </c>
      <c r="C48" s="325"/>
      <c r="D48" s="326">
        <v>119000</v>
      </c>
      <c r="E48" s="326" t="s">
        <v>5278</v>
      </c>
      <c r="F48" s="326"/>
      <c r="G48" s="326"/>
      <c r="H48" s="359" t="s">
        <v>5275</v>
      </c>
    </row>
    <row r="49" spans="1:8" ht="17.25" customHeight="1">
      <c r="A49" s="323"/>
      <c r="B49" s="325"/>
      <c r="C49" s="325"/>
      <c r="D49" s="326"/>
      <c r="E49" s="326"/>
      <c r="F49" s="326"/>
      <c r="G49" s="326"/>
      <c r="H49" s="359"/>
    </row>
    <row r="50" spans="1:8" ht="17.25" customHeight="1">
      <c r="A50" s="322">
        <v>45825</v>
      </c>
      <c r="B50" s="325" t="s">
        <v>5277</v>
      </c>
      <c r="C50" s="325"/>
      <c r="D50" s="326">
        <v>210000</v>
      </c>
      <c r="E50" s="923" t="s">
        <v>5278</v>
      </c>
      <c r="F50" s="326"/>
      <c r="G50" s="326"/>
      <c r="H50" s="359" t="s">
        <v>5276</v>
      </c>
    </row>
    <row r="51" spans="1:8" ht="17.25" customHeight="1">
      <c r="A51" s="323"/>
      <c r="B51" s="325"/>
      <c r="C51" s="325"/>
      <c r="D51" s="326"/>
      <c r="E51" s="326"/>
      <c r="F51" s="326"/>
      <c r="G51" s="326"/>
      <c r="H51" s="359"/>
    </row>
    <row r="52" spans="1:8" ht="31.5" customHeight="1">
      <c r="A52" s="241">
        <v>45825</v>
      </c>
      <c r="B52" s="243" t="s">
        <v>5280</v>
      </c>
      <c r="C52" s="243"/>
      <c r="D52" s="244">
        <v>60000</v>
      </c>
      <c r="E52" s="627" t="s">
        <v>5281</v>
      </c>
      <c r="F52" s="628"/>
      <c r="G52" s="629"/>
      <c r="H52" s="242" t="s">
        <v>5282</v>
      </c>
    </row>
    <row r="53" spans="1:8">
      <c r="A53" s="322">
        <v>45826</v>
      </c>
      <c r="B53" s="325" t="s">
        <v>5283</v>
      </c>
      <c r="C53" s="325"/>
      <c r="D53" s="326">
        <v>1320000</v>
      </c>
      <c r="E53" s="575" t="s">
        <v>5288</v>
      </c>
      <c r="F53" s="575"/>
      <c r="G53" s="575"/>
      <c r="H53" s="359" t="s">
        <v>5291</v>
      </c>
    </row>
    <row r="54" spans="1:8">
      <c r="A54" s="323"/>
      <c r="B54" s="325"/>
      <c r="C54" s="325"/>
      <c r="D54" s="326"/>
      <c r="E54" s="575"/>
      <c r="F54" s="575"/>
      <c r="G54" s="575"/>
      <c r="H54" s="359"/>
    </row>
    <row r="55" spans="1:8" ht="17.25" customHeight="1">
      <c r="A55" s="322">
        <v>45826</v>
      </c>
      <c r="B55" s="325" t="s">
        <v>5287</v>
      </c>
      <c r="C55" s="325"/>
      <c r="D55" s="343">
        <v>1170000</v>
      </c>
      <c r="E55" s="575" t="s">
        <v>5284</v>
      </c>
      <c r="F55" s="575"/>
      <c r="G55" s="575"/>
      <c r="H55" s="359" t="s">
        <v>2914</v>
      </c>
    </row>
    <row r="56" spans="1:8" ht="17.25" customHeight="1">
      <c r="A56" s="323"/>
      <c r="B56" s="325"/>
      <c r="C56" s="325"/>
      <c r="D56" s="344"/>
      <c r="E56" s="575"/>
      <c r="F56" s="575"/>
      <c r="G56" s="575"/>
      <c r="H56" s="359"/>
    </row>
    <row r="57" spans="1:8">
      <c r="A57" s="322">
        <v>45826</v>
      </c>
      <c r="B57" s="325" t="s">
        <v>5286</v>
      </c>
      <c r="C57" s="325"/>
      <c r="D57" s="343">
        <v>400000</v>
      </c>
      <c r="E57" s="326" t="s">
        <v>5285</v>
      </c>
      <c r="F57" s="326"/>
      <c r="G57" s="326"/>
      <c r="H57" s="359" t="s">
        <v>5296</v>
      </c>
    </row>
    <row r="58" spans="1:8">
      <c r="A58" s="323"/>
      <c r="B58" s="325"/>
      <c r="C58" s="325"/>
      <c r="D58" s="344"/>
      <c r="E58" s="326"/>
      <c r="F58" s="326"/>
      <c r="G58" s="326"/>
      <c r="H58" s="359"/>
    </row>
    <row r="59" spans="1:8">
      <c r="A59" s="322">
        <v>45827</v>
      </c>
      <c r="B59" s="325" t="s">
        <v>5293</v>
      </c>
      <c r="C59" s="325"/>
      <c r="D59" s="343">
        <v>1840000</v>
      </c>
      <c r="E59" s="575" t="s">
        <v>5289</v>
      </c>
      <c r="F59" s="575"/>
      <c r="G59" s="575"/>
      <c r="H59" s="359" t="s">
        <v>171</v>
      </c>
    </row>
    <row r="60" spans="1:8">
      <c r="A60" s="323"/>
      <c r="B60" s="325"/>
      <c r="C60" s="325"/>
      <c r="D60" s="344"/>
      <c r="E60" s="575"/>
      <c r="F60" s="575"/>
      <c r="G60" s="575"/>
      <c r="H60" s="359"/>
    </row>
    <row r="61" spans="1:8">
      <c r="A61" s="322">
        <v>45827</v>
      </c>
      <c r="B61" s="325" t="s">
        <v>5294</v>
      </c>
      <c r="C61" s="325"/>
      <c r="D61" s="343">
        <v>450000</v>
      </c>
      <c r="E61" s="575" t="s">
        <v>5290</v>
      </c>
      <c r="F61" s="575"/>
      <c r="G61" s="575"/>
      <c r="H61" s="359" t="s">
        <v>5297</v>
      </c>
    </row>
    <row r="62" spans="1:8">
      <c r="A62" s="323"/>
      <c r="B62" s="325"/>
      <c r="C62" s="325"/>
      <c r="D62" s="344"/>
      <c r="E62" s="575"/>
      <c r="F62" s="575"/>
      <c r="G62" s="575"/>
      <c r="H62" s="359"/>
    </row>
    <row r="63" spans="1:8">
      <c r="A63" s="322">
        <v>45827</v>
      </c>
      <c r="B63" s="325"/>
      <c r="C63" s="325"/>
      <c r="D63" s="326">
        <v>545000</v>
      </c>
      <c r="E63" s="326"/>
      <c r="F63" s="326"/>
      <c r="G63" s="326"/>
      <c r="H63" s="359" t="s">
        <v>171</v>
      </c>
    </row>
    <row r="64" spans="1:8">
      <c r="A64" s="323"/>
      <c r="B64" s="325"/>
      <c r="C64" s="325"/>
      <c r="D64" s="326"/>
      <c r="E64" s="326"/>
      <c r="F64" s="326"/>
      <c r="G64" s="326"/>
      <c r="H64" s="359"/>
    </row>
    <row r="65" spans="1:8">
      <c r="A65" s="313">
        <v>45827</v>
      </c>
      <c r="B65" s="325" t="s">
        <v>5292</v>
      </c>
      <c r="C65" s="325"/>
      <c r="D65" s="326">
        <v>75000</v>
      </c>
      <c r="E65" s="326"/>
      <c r="F65" s="326"/>
      <c r="G65" s="326"/>
      <c r="H65" s="359"/>
    </row>
    <row r="66" spans="1:8">
      <c r="A66" s="305"/>
      <c r="B66" s="325"/>
      <c r="C66" s="325"/>
      <c r="D66" s="326"/>
      <c r="E66" s="326"/>
      <c r="F66" s="326"/>
      <c r="G66" s="326"/>
      <c r="H66" s="359"/>
    </row>
    <row r="67" spans="1:8">
      <c r="A67" s="313"/>
      <c r="B67" s="862"/>
      <c r="C67" s="863"/>
      <c r="D67" s="863"/>
      <c r="E67" s="863"/>
      <c r="F67" s="863"/>
      <c r="G67" s="863"/>
      <c r="H67" s="915"/>
    </row>
    <row r="68" spans="1:8" ht="33.75" customHeight="1">
      <c r="A68" s="305"/>
      <c r="B68" s="865"/>
      <c r="C68" s="866"/>
      <c r="D68" s="866"/>
      <c r="E68" s="866"/>
      <c r="F68" s="866"/>
      <c r="G68" s="866"/>
      <c r="H68" s="916"/>
    </row>
    <row r="69" spans="1:8">
      <c r="A69" s="313">
        <v>45832</v>
      </c>
      <c r="B69" s="325"/>
      <c r="C69" s="325"/>
      <c r="D69" s="326">
        <v>600000</v>
      </c>
      <c r="E69" s="326" t="s">
        <v>5305</v>
      </c>
      <c r="F69" s="326"/>
      <c r="G69" s="326"/>
      <c r="H69" s="359" t="s">
        <v>5302</v>
      </c>
    </row>
    <row r="70" spans="1:8">
      <c r="A70" s="305"/>
      <c r="B70" s="325"/>
      <c r="C70" s="325"/>
      <c r="D70" s="326"/>
      <c r="E70" s="326"/>
      <c r="F70" s="326"/>
      <c r="G70" s="326"/>
      <c r="H70" s="359"/>
    </row>
    <row r="71" spans="1:8">
      <c r="A71" s="313">
        <v>45832</v>
      </c>
      <c r="B71" s="325" t="s">
        <v>5301</v>
      </c>
      <c r="C71" s="325"/>
      <c r="D71" s="326">
        <v>125000</v>
      </c>
      <c r="E71" s="326" t="s">
        <v>5304</v>
      </c>
      <c r="F71" s="326"/>
      <c r="G71" s="326"/>
      <c r="H71" s="398" t="s">
        <v>5308</v>
      </c>
    </row>
    <row r="72" spans="1:8">
      <c r="A72" s="305"/>
      <c r="B72" s="325"/>
      <c r="C72" s="325"/>
      <c r="D72" s="326"/>
      <c r="E72" s="326"/>
      <c r="F72" s="326"/>
      <c r="G72" s="326"/>
      <c r="H72" s="399"/>
    </row>
    <row r="73" spans="1:8">
      <c r="A73" s="313">
        <v>45832</v>
      </c>
      <c r="B73" s="325" t="s">
        <v>5300</v>
      </c>
      <c r="C73" s="325"/>
      <c r="D73" s="326">
        <v>92000</v>
      </c>
      <c r="E73" s="326" t="s">
        <v>5303</v>
      </c>
      <c r="F73" s="326"/>
      <c r="G73" s="326"/>
      <c r="H73" s="359" t="s">
        <v>3064</v>
      </c>
    </row>
    <row r="74" spans="1:8">
      <c r="A74" s="305"/>
      <c r="B74" s="325"/>
      <c r="C74" s="325"/>
      <c r="D74" s="326"/>
      <c r="E74" s="326"/>
      <c r="F74" s="326"/>
      <c r="G74" s="326"/>
      <c r="H74" s="359"/>
    </row>
    <row r="75" spans="1:8">
      <c r="A75" s="313">
        <v>45833</v>
      </c>
      <c r="B75" s="325" t="s">
        <v>5306</v>
      </c>
      <c r="C75" s="325"/>
      <c r="D75" s="326">
        <v>1460000</v>
      </c>
      <c r="E75" s="575" t="s">
        <v>5310</v>
      </c>
      <c r="F75" s="575"/>
      <c r="G75" s="575"/>
      <c r="H75" s="398" t="s">
        <v>5307</v>
      </c>
    </row>
    <row r="76" spans="1:8">
      <c r="A76" s="305"/>
      <c r="B76" s="325"/>
      <c r="C76" s="325"/>
      <c r="D76" s="326"/>
      <c r="E76" s="575"/>
      <c r="F76" s="575"/>
      <c r="G76" s="575"/>
      <c r="H76" s="399"/>
    </row>
    <row r="77" spans="1:8">
      <c r="A77" s="313">
        <v>45833</v>
      </c>
      <c r="B77" s="325" t="s">
        <v>5309</v>
      </c>
      <c r="C77" s="325"/>
      <c r="D77" s="326">
        <v>380000</v>
      </c>
      <c r="E77" s="575" t="s">
        <v>5310</v>
      </c>
      <c r="F77" s="575"/>
      <c r="G77" s="575"/>
      <c r="H77" s="398" t="s">
        <v>5313</v>
      </c>
    </row>
    <row r="78" spans="1:8">
      <c r="A78" s="305"/>
      <c r="B78" s="325"/>
      <c r="C78" s="325"/>
      <c r="D78" s="326"/>
      <c r="E78" s="575"/>
      <c r="F78" s="575"/>
      <c r="G78" s="575"/>
      <c r="H78" s="399"/>
    </row>
    <row r="79" spans="1:8">
      <c r="A79" s="313">
        <v>45833</v>
      </c>
      <c r="B79" s="325" t="s">
        <v>5311</v>
      </c>
      <c r="C79" s="325"/>
      <c r="D79" s="326">
        <v>680000</v>
      </c>
      <c r="E79" s="575" t="s">
        <v>5310</v>
      </c>
      <c r="F79" s="575"/>
      <c r="G79" s="575"/>
      <c r="H79" s="359" t="s">
        <v>5312</v>
      </c>
    </row>
    <row r="80" spans="1:8">
      <c r="A80" s="305"/>
      <c r="B80" s="325"/>
      <c r="C80" s="325"/>
      <c r="D80" s="326"/>
      <c r="E80" s="575"/>
      <c r="F80" s="575"/>
      <c r="G80" s="575"/>
      <c r="H80" s="359"/>
    </row>
    <row r="81" spans="1:8">
      <c r="A81" s="313">
        <v>45833</v>
      </c>
      <c r="B81" s="325" t="s">
        <v>5314</v>
      </c>
      <c r="C81" s="325"/>
      <c r="D81" s="326">
        <v>560000</v>
      </c>
      <c r="E81" s="575" t="s">
        <v>5310</v>
      </c>
      <c r="F81" s="575"/>
      <c r="G81" s="575"/>
      <c r="H81" s="359" t="s">
        <v>5312</v>
      </c>
    </row>
    <row r="82" spans="1:8">
      <c r="A82" s="305"/>
      <c r="B82" s="325"/>
      <c r="C82" s="325"/>
      <c r="D82" s="326"/>
      <c r="E82" s="575"/>
      <c r="F82" s="575"/>
      <c r="G82" s="575"/>
      <c r="H82" s="359"/>
    </row>
    <row r="83" spans="1:8">
      <c r="A83" s="313">
        <v>45833</v>
      </c>
      <c r="B83" s="325" t="s">
        <v>5315</v>
      </c>
      <c r="C83" s="325"/>
      <c r="D83" s="326">
        <v>140000</v>
      </c>
      <c r="E83" s="326" t="s">
        <v>5316</v>
      </c>
      <c r="F83" s="326"/>
      <c r="G83" s="326"/>
      <c r="H83" s="333" t="s">
        <v>5312</v>
      </c>
    </row>
    <row r="84" spans="1:8">
      <c r="A84" s="305"/>
      <c r="B84" s="325"/>
      <c r="C84" s="325"/>
      <c r="D84" s="326"/>
      <c r="E84" s="326"/>
      <c r="F84" s="326"/>
      <c r="G84" s="326"/>
      <c r="H84" s="333"/>
    </row>
    <row r="85" spans="1:8">
      <c r="A85" s="313">
        <v>1</v>
      </c>
      <c r="B85" s="325" t="s">
        <v>5317</v>
      </c>
      <c r="C85" s="325"/>
      <c r="D85" s="326">
        <v>1210000</v>
      </c>
      <c r="E85" s="575" t="s">
        <v>5338</v>
      </c>
      <c r="F85" s="575"/>
      <c r="G85" s="575"/>
      <c r="H85" s="359" t="s">
        <v>5339</v>
      </c>
    </row>
    <row r="86" spans="1:8">
      <c r="A86" s="305"/>
      <c r="B86" s="325"/>
      <c r="C86" s="325"/>
      <c r="D86" s="326"/>
      <c r="E86" s="575"/>
      <c r="F86" s="575"/>
      <c r="G86" s="575"/>
      <c r="H86" s="359"/>
    </row>
    <row r="87" spans="1:8">
      <c r="A87" s="313">
        <v>45836</v>
      </c>
      <c r="B87" s="325" t="s">
        <v>5318</v>
      </c>
      <c r="C87" s="325"/>
      <c r="D87" s="326">
        <v>100000</v>
      </c>
      <c r="E87" s="326" t="s">
        <v>5319</v>
      </c>
      <c r="F87" s="326"/>
      <c r="G87" s="326"/>
      <c r="H87" s="359" t="s">
        <v>5320</v>
      </c>
    </row>
    <row r="88" spans="1:8">
      <c r="A88" s="305"/>
      <c r="B88" s="325"/>
      <c r="C88" s="325"/>
      <c r="D88" s="326"/>
      <c r="E88" s="326"/>
      <c r="F88" s="326"/>
      <c r="G88" s="326"/>
      <c r="H88" s="359"/>
    </row>
    <row r="89" spans="1:8">
      <c r="A89" s="313">
        <v>45836</v>
      </c>
      <c r="B89" s="325" t="s">
        <v>5321</v>
      </c>
      <c r="C89" s="325"/>
      <c r="D89" s="326">
        <v>286000</v>
      </c>
      <c r="E89" s="337" t="s">
        <v>5319</v>
      </c>
      <c r="F89" s="326"/>
      <c r="G89" s="326"/>
      <c r="H89" s="359" t="s">
        <v>5322</v>
      </c>
    </row>
    <row r="90" spans="1:8">
      <c r="A90" s="305"/>
      <c r="B90" s="325"/>
      <c r="C90" s="325"/>
      <c r="D90" s="326"/>
      <c r="E90" s="326"/>
      <c r="F90" s="326"/>
      <c r="G90" s="326"/>
      <c r="H90" s="359"/>
    </row>
    <row r="91" spans="1:8">
      <c r="A91" s="313">
        <v>45836</v>
      </c>
      <c r="B91" s="325" t="s">
        <v>5325</v>
      </c>
      <c r="C91" s="325"/>
      <c r="D91" s="326">
        <v>480000</v>
      </c>
      <c r="E91" s="326" t="s">
        <v>5324</v>
      </c>
      <c r="F91" s="326"/>
      <c r="G91" s="326"/>
      <c r="H91" s="359" t="s">
        <v>5323</v>
      </c>
    </row>
    <row r="92" spans="1:8">
      <c r="A92" s="305"/>
      <c r="B92" s="325"/>
      <c r="C92" s="325"/>
      <c r="D92" s="326"/>
      <c r="E92" s="326"/>
      <c r="F92" s="326"/>
      <c r="G92" s="326"/>
      <c r="H92" s="359"/>
    </row>
    <row r="93" spans="1:8">
      <c r="A93" s="313">
        <v>45836</v>
      </c>
      <c r="B93" s="325" t="s">
        <v>5327</v>
      </c>
      <c r="C93" s="325"/>
      <c r="D93" s="326">
        <v>420000</v>
      </c>
      <c r="E93" s="574" t="s">
        <v>5326</v>
      </c>
      <c r="F93" s="575"/>
      <c r="G93" s="575"/>
      <c r="H93" s="333" t="s">
        <v>5331</v>
      </c>
    </row>
    <row r="94" spans="1:8">
      <c r="A94" s="305"/>
      <c r="B94" s="325"/>
      <c r="C94" s="325"/>
      <c r="D94" s="326"/>
      <c r="E94" s="575"/>
      <c r="F94" s="575"/>
      <c r="G94" s="575"/>
      <c r="H94" s="333"/>
    </row>
    <row r="95" spans="1:8">
      <c r="A95" s="313">
        <v>45836</v>
      </c>
      <c r="B95" s="325" t="s">
        <v>5328</v>
      </c>
      <c r="C95" s="325"/>
      <c r="D95" s="326">
        <v>250000</v>
      </c>
      <c r="E95" s="326" t="s">
        <v>5337</v>
      </c>
      <c r="F95" s="326"/>
      <c r="G95" s="326"/>
      <c r="H95" s="359" t="s">
        <v>5329</v>
      </c>
    </row>
    <row r="96" spans="1:8">
      <c r="A96" s="305"/>
      <c r="B96" s="325"/>
      <c r="C96" s="325"/>
      <c r="D96" s="326"/>
      <c r="E96" s="326"/>
      <c r="F96" s="326"/>
      <c r="G96" s="326"/>
      <c r="H96" s="359"/>
    </row>
    <row r="97" spans="1:8">
      <c r="A97" s="313">
        <v>45836</v>
      </c>
      <c r="B97" s="325" t="s">
        <v>5332</v>
      </c>
      <c r="C97" s="325"/>
      <c r="D97" s="326">
        <v>170000</v>
      </c>
      <c r="E97" s="326" t="s">
        <v>5336</v>
      </c>
      <c r="F97" s="326"/>
      <c r="G97" s="326"/>
      <c r="H97" s="359" t="s">
        <v>5330</v>
      </c>
    </row>
    <row r="98" spans="1:8">
      <c r="A98" s="305"/>
      <c r="B98" s="325"/>
      <c r="C98" s="325"/>
      <c r="D98" s="326"/>
      <c r="E98" s="326"/>
      <c r="F98" s="326"/>
      <c r="G98" s="326"/>
      <c r="H98" s="359"/>
    </row>
    <row r="99" spans="1:8">
      <c r="A99" s="313">
        <v>45836</v>
      </c>
      <c r="B99" s="325" t="s">
        <v>5333</v>
      </c>
      <c r="C99" s="325"/>
      <c r="D99" s="326">
        <v>180000</v>
      </c>
      <c r="E99" s="326" t="s">
        <v>5319</v>
      </c>
      <c r="F99" s="326"/>
      <c r="G99" s="326"/>
      <c r="H99" s="398" t="s">
        <v>5334</v>
      </c>
    </row>
    <row r="100" spans="1:8">
      <c r="A100" s="305"/>
      <c r="B100" s="325"/>
      <c r="C100" s="325"/>
      <c r="D100" s="326"/>
      <c r="E100" s="326"/>
      <c r="F100" s="326"/>
      <c r="G100" s="326"/>
      <c r="H100" s="399"/>
    </row>
    <row r="101" spans="1:8" ht="35.25" customHeight="1">
      <c r="A101" s="238">
        <v>45836</v>
      </c>
      <c r="B101" s="237" t="s">
        <v>5335</v>
      </c>
      <c r="C101" s="235"/>
      <c r="D101" s="236">
        <v>80000</v>
      </c>
      <c r="E101" s="627" t="s">
        <v>5324</v>
      </c>
      <c r="F101" s="628"/>
      <c r="G101" s="629"/>
      <c r="H101" s="245" t="s">
        <v>5331</v>
      </c>
    </row>
    <row r="102" spans="1:8" ht="33" customHeight="1">
      <c r="A102" s="238">
        <v>45837</v>
      </c>
      <c r="B102" s="235"/>
      <c r="C102" s="235"/>
      <c r="D102" s="236">
        <v>300000</v>
      </c>
      <c r="E102" s="650"/>
      <c r="F102" s="628"/>
      <c r="G102" s="629"/>
      <c r="H102" s="245"/>
    </row>
    <row r="103" spans="1:8">
      <c r="A103" s="313">
        <v>45837</v>
      </c>
      <c r="B103" s="325"/>
      <c r="C103" s="325"/>
      <c r="D103" s="326">
        <v>330000</v>
      </c>
      <c r="E103" s="326"/>
      <c r="F103" s="326"/>
      <c r="G103" s="326"/>
      <c r="H103" s="359"/>
    </row>
    <row r="104" spans="1:8">
      <c r="A104" s="305"/>
      <c r="B104" s="325"/>
      <c r="C104" s="325"/>
      <c r="D104" s="326"/>
      <c r="E104" s="326"/>
      <c r="F104" s="326"/>
      <c r="G104" s="326"/>
      <c r="H104" s="359"/>
    </row>
    <row r="105" spans="1:8">
      <c r="A105" s="313"/>
      <c r="B105" s="644">
        <v>50</v>
      </c>
      <c r="C105" s="645"/>
      <c r="D105" s="645"/>
      <c r="E105" s="645"/>
      <c r="F105" s="645"/>
      <c r="G105" s="645"/>
      <c r="H105" s="646"/>
    </row>
    <row r="106" spans="1:8" ht="29.25" customHeight="1">
      <c r="A106" s="305"/>
      <c r="B106" s="647"/>
      <c r="C106" s="648"/>
      <c r="D106" s="648"/>
      <c r="E106" s="648"/>
      <c r="F106" s="648"/>
      <c r="G106" s="648"/>
      <c r="H106" s="649"/>
    </row>
    <row r="107" spans="1:8">
      <c r="A107" s="313"/>
      <c r="B107" s="325"/>
      <c r="C107" s="325"/>
      <c r="D107" s="326"/>
      <c r="E107" s="326"/>
      <c r="F107" s="326"/>
      <c r="G107" s="326"/>
      <c r="H107" s="359"/>
    </row>
    <row r="108" spans="1:8">
      <c r="A108" s="305"/>
      <c r="B108" s="325"/>
      <c r="C108" s="325"/>
      <c r="D108" s="326"/>
      <c r="E108" s="326"/>
      <c r="F108" s="326"/>
      <c r="G108" s="326"/>
      <c r="H108" s="359"/>
    </row>
    <row r="109" spans="1:8">
      <c r="A109" s="313"/>
      <c r="B109" s="324"/>
      <c r="C109" s="325"/>
      <c r="D109" s="343"/>
      <c r="E109" s="326"/>
      <c r="F109" s="326"/>
      <c r="G109" s="326"/>
      <c r="H109" s="359"/>
    </row>
    <row r="110" spans="1:8">
      <c r="A110" s="305"/>
      <c r="B110" s="325"/>
      <c r="C110" s="325"/>
      <c r="D110" s="344"/>
      <c r="E110" s="326"/>
      <c r="F110" s="326"/>
      <c r="G110" s="326"/>
      <c r="H110" s="359"/>
    </row>
    <row r="111" spans="1:8">
      <c r="A111" s="765"/>
      <c r="B111" s="324"/>
      <c r="C111" s="325"/>
      <c r="D111" s="343"/>
      <c r="E111" s="326"/>
      <c r="F111" s="326"/>
      <c r="G111" s="326"/>
      <c r="H111" s="359"/>
    </row>
    <row r="112" spans="1:8">
      <c r="A112" s="766"/>
      <c r="B112" s="325"/>
      <c r="C112" s="325"/>
      <c r="D112" s="344"/>
      <c r="E112" s="326"/>
      <c r="F112" s="326"/>
      <c r="G112" s="326"/>
      <c r="H112" s="359"/>
    </row>
    <row r="113" spans="1:8">
      <c r="A113" s="313"/>
      <c r="B113" s="325"/>
      <c r="C113" s="325"/>
      <c r="D113" s="326"/>
      <c r="E113" s="326"/>
      <c r="F113" s="326"/>
      <c r="G113" s="326"/>
      <c r="H113" s="333"/>
    </row>
    <row r="114" spans="1:8">
      <c r="A114" s="305"/>
      <c r="B114" s="325"/>
      <c r="C114" s="325"/>
      <c r="D114" s="326"/>
      <c r="E114" s="326"/>
      <c r="F114" s="326"/>
      <c r="G114" s="326"/>
      <c r="H114" s="333"/>
    </row>
    <row r="115" spans="1:8">
      <c r="A115" s="313"/>
      <c r="B115" s="325"/>
      <c r="C115" s="325"/>
      <c r="D115" s="326"/>
      <c r="E115" s="326"/>
      <c r="F115" s="326"/>
      <c r="G115" s="326"/>
      <c r="H115" s="333"/>
    </row>
    <row r="116" spans="1:8">
      <c r="A116" s="305"/>
      <c r="B116" s="325"/>
      <c r="C116" s="325"/>
      <c r="D116" s="326"/>
      <c r="E116" s="326"/>
      <c r="F116" s="326"/>
      <c r="G116" s="326"/>
      <c r="H116" s="333"/>
    </row>
    <row r="117" spans="1:8">
      <c r="A117" s="313"/>
      <c r="B117" s="324"/>
      <c r="C117" s="325"/>
      <c r="D117" s="343"/>
      <c r="E117" s="326"/>
      <c r="F117" s="326"/>
      <c r="G117" s="326"/>
      <c r="H117" s="359"/>
    </row>
    <row r="118" spans="1:8">
      <c r="A118" s="305"/>
      <c r="B118" s="325"/>
      <c r="C118" s="325"/>
      <c r="D118" s="344"/>
      <c r="E118" s="326"/>
      <c r="F118" s="326"/>
      <c r="G118" s="326"/>
      <c r="H118" s="359"/>
    </row>
    <row r="119" spans="1:8">
      <c r="A119" s="313"/>
      <c r="B119" s="324"/>
      <c r="C119" s="325"/>
      <c r="D119" s="326"/>
      <c r="E119" s="326"/>
      <c r="F119" s="326"/>
      <c r="G119" s="326"/>
      <c r="H119" s="359"/>
    </row>
    <row r="120" spans="1:8">
      <c r="A120" s="305"/>
      <c r="B120" s="325"/>
      <c r="C120" s="325"/>
      <c r="D120" s="326"/>
      <c r="E120" s="326"/>
      <c r="F120" s="326"/>
      <c r="G120" s="326"/>
      <c r="H120" s="359"/>
    </row>
    <row r="121" spans="1:8">
      <c r="A121" s="313"/>
      <c r="B121" s="325"/>
      <c r="C121" s="325"/>
      <c r="D121" s="326"/>
      <c r="E121" s="326"/>
      <c r="F121" s="326"/>
      <c r="G121" s="326"/>
      <c r="H121" s="333"/>
    </row>
    <row r="122" spans="1:8">
      <c r="A122" s="305"/>
      <c r="B122" s="325"/>
      <c r="C122" s="325"/>
      <c r="D122" s="326"/>
      <c r="E122" s="326"/>
      <c r="F122" s="326"/>
      <c r="G122" s="326"/>
      <c r="H122" s="333"/>
    </row>
  </sheetData>
  <mergeCells count="346">
    <mergeCell ref="A121:A122"/>
    <mergeCell ref="B121:B122"/>
    <mergeCell ref="C121:C122"/>
    <mergeCell ref="D121:D122"/>
    <mergeCell ref="E121:G122"/>
    <mergeCell ref="H121:H122"/>
    <mergeCell ref="A119:A120"/>
    <mergeCell ref="B119:B120"/>
    <mergeCell ref="C119:C120"/>
    <mergeCell ref="D119:D120"/>
    <mergeCell ref="E119:G120"/>
    <mergeCell ref="H119:H120"/>
    <mergeCell ref="A117:A118"/>
    <mergeCell ref="B117:B118"/>
    <mergeCell ref="C117:C118"/>
    <mergeCell ref="D117:D118"/>
    <mergeCell ref="E117:G118"/>
    <mergeCell ref="H117:H118"/>
    <mergeCell ref="A115:A116"/>
    <mergeCell ref="B115:B116"/>
    <mergeCell ref="C115:C116"/>
    <mergeCell ref="D115:D116"/>
    <mergeCell ref="E115:G116"/>
    <mergeCell ref="H115:H116"/>
    <mergeCell ref="A113:A114"/>
    <mergeCell ref="B113:B114"/>
    <mergeCell ref="C113:C114"/>
    <mergeCell ref="D113:D114"/>
    <mergeCell ref="E113:G114"/>
    <mergeCell ref="H113:H114"/>
    <mergeCell ref="A111:A112"/>
    <mergeCell ref="B111:B112"/>
    <mergeCell ref="C111:C112"/>
    <mergeCell ref="D111:D112"/>
    <mergeCell ref="E111:G112"/>
    <mergeCell ref="H111:H112"/>
    <mergeCell ref="A109:A110"/>
    <mergeCell ref="B109:B110"/>
    <mergeCell ref="C109:C110"/>
    <mergeCell ref="D109:D110"/>
    <mergeCell ref="E109:G110"/>
    <mergeCell ref="H109:H110"/>
    <mergeCell ref="A107:A108"/>
    <mergeCell ref="B107:B108"/>
    <mergeCell ref="C107:C108"/>
    <mergeCell ref="D107:D108"/>
    <mergeCell ref="E107:G108"/>
    <mergeCell ref="H107:H108"/>
    <mergeCell ref="A105:A106"/>
    <mergeCell ref="E101:G101"/>
    <mergeCell ref="E102:G102"/>
    <mergeCell ref="A103:A104"/>
    <mergeCell ref="B103:B104"/>
    <mergeCell ref="C103:C104"/>
    <mergeCell ref="D103:D104"/>
    <mergeCell ref="E103:G104"/>
    <mergeCell ref="H103:H104"/>
    <mergeCell ref="B105:H106"/>
    <mergeCell ref="A99:A100"/>
    <mergeCell ref="B99:B100"/>
    <mergeCell ref="C99:C100"/>
    <mergeCell ref="D99:D100"/>
    <mergeCell ref="E99:G100"/>
    <mergeCell ref="H99:H100"/>
    <mergeCell ref="A97:A98"/>
    <mergeCell ref="B97:B98"/>
    <mergeCell ref="C97:C98"/>
    <mergeCell ref="D97:D98"/>
    <mergeCell ref="E97:G98"/>
    <mergeCell ref="H97:H98"/>
    <mergeCell ref="A95:A96"/>
    <mergeCell ref="B95:B96"/>
    <mergeCell ref="C95:C96"/>
    <mergeCell ref="D95:D96"/>
    <mergeCell ref="E95:G96"/>
    <mergeCell ref="H95:H96"/>
    <mergeCell ref="A93:A94"/>
    <mergeCell ref="B93:B94"/>
    <mergeCell ref="C93:C94"/>
    <mergeCell ref="D93:D94"/>
    <mergeCell ref="E93:G94"/>
    <mergeCell ref="H93:H94"/>
    <mergeCell ref="A91:A92"/>
    <mergeCell ref="B91:B92"/>
    <mergeCell ref="C91:C92"/>
    <mergeCell ref="D91:D92"/>
    <mergeCell ref="E91:G92"/>
    <mergeCell ref="H91:H92"/>
    <mergeCell ref="A89:A90"/>
    <mergeCell ref="B89:B90"/>
    <mergeCell ref="C89:C90"/>
    <mergeCell ref="D89:D90"/>
    <mergeCell ref="E89:G90"/>
    <mergeCell ref="H89:H90"/>
    <mergeCell ref="A87:A88"/>
    <mergeCell ref="B87:B88"/>
    <mergeCell ref="C87:C88"/>
    <mergeCell ref="D87:D88"/>
    <mergeCell ref="E87:G88"/>
    <mergeCell ref="H87:H88"/>
    <mergeCell ref="A85:A86"/>
    <mergeCell ref="B85:B86"/>
    <mergeCell ref="C85:C86"/>
    <mergeCell ref="D85:D86"/>
    <mergeCell ref="E85:G86"/>
    <mergeCell ref="H85:H86"/>
    <mergeCell ref="A83:A84"/>
    <mergeCell ref="B83:B84"/>
    <mergeCell ref="C83:C84"/>
    <mergeCell ref="D83:D84"/>
    <mergeCell ref="E83:G84"/>
    <mergeCell ref="H83:H84"/>
    <mergeCell ref="A81:A82"/>
    <mergeCell ref="B81:B82"/>
    <mergeCell ref="C81:C82"/>
    <mergeCell ref="D81:D82"/>
    <mergeCell ref="E81:G82"/>
    <mergeCell ref="H81:H82"/>
    <mergeCell ref="A79:A80"/>
    <mergeCell ref="B79:B80"/>
    <mergeCell ref="C79:C80"/>
    <mergeCell ref="D79:D80"/>
    <mergeCell ref="E79:G80"/>
    <mergeCell ref="H79:H80"/>
    <mergeCell ref="A77:A78"/>
    <mergeCell ref="B77:B78"/>
    <mergeCell ref="C77:C78"/>
    <mergeCell ref="D77:D78"/>
    <mergeCell ref="E77:G78"/>
    <mergeCell ref="H77:H78"/>
    <mergeCell ref="A75:A76"/>
    <mergeCell ref="B75:B76"/>
    <mergeCell ref="C75:C76"/>
    <mergeCell ref="D75:D76"/>
    <mergeCell ref="E75:G76"/>
    <mergeCell ref="H75:H76"/>
    <mergeCell ref="A73:A74"/>
    <mergeCell ref="B73:B74"/>
    <mergeCell ref="C73:C74"/>
    <mergeCell ref="D73:D74"/>
    <mergeCell ref="E73:G74"/>
    <mergeCell ref="H73:H74"/>
    <mergeCell ref="A71:A72"/>
    <mergeCell ref="B71:B72"/>
    <mergeCell ref="C71:C72"/>
    <mergeCell ref="D71:D72"/>
    <mergeCell ref="E71:G72"/>
    <mergeCell ref="H71:H72"/>
    <mergeCell ref="A67:A68"/>
    <mergeCell ref="B67:H68"/>
    <mergeCell ref="A69:A70"/>
    <mergeCell ref="B69:B70"/>
    <mergeCell ref="C69:C70"/>
    <mergeCell ref="D69:D70"/>
    <mergeCell ref="E69:G70"/>
    <mergeCell ref="H69:H70"/>
    <mergeCell ref="A65:A66"/>
    <mergeCell ref="B65:B66"/>
    <mergeCell ref="C65:C66"/>
    <mergeCell ref="D65:D66"/>
    <mergeCell ref="E65:G66"/>
    <mergeCell ref="H65:H66"/>
    <mergeCell ref="A63:A64"/>
    <mergeCell ref="B63:B64"/>
    <mergeCell ref="C63:C64"/>
    <mergeCell ref="D63:D64"/>
    <mergeCell ref="E63:G64"/>
    <mergeCell ref="H63:H64"/>
    <mergeCell ref="A61:A62"/>
    <mergeCell ref="B61:B62"/>
    <mergeCell ref="C61:C62"/>
    <mergeCell ref="D61:D62"/>
    <mergeCell ref="E61:G62"/>
    <mergeCell ref="H61:H62"/>
    <mergeCell ref="A59:A60"/>
    <mergeCell ref="B59:B60"/>
    <mergeCell ref="C59:C60"/>
    <mergeCell ref="D59:D60"/>
    <mergeCell ref="E59:G60"/>
    <mergeCell ref="H59:H60"/>
    <mergeCell ref="A57:A58"/>
    <mergeCell ref="B57:B58"/>
    <mergeCell ref="C57:C58"/>
    <mergeCell ref="D57:D58"/>
    <mergeCell ref="E57:G58"/>
    <mergeCell ref="H57:H58"/>
    <mergeCell ref="A55:A56"/>
    <mergeCell ref="B55:B56"/>
    <mergeCell ref="C55:C56"/>
    <mergeCell ref="D55:D56"/>
    <mergeCell ref="E55:G56"/>
    <mergeCell ref="H55:H56"/>
    <mergeCell ref="A53:A54"/>
    <mergeCell ref="B53:B54"/>
    <mergeCell ref="C53:C54"/>
    <mergeCell ref="D53:D54"/>
    <mergeCell ref="E53:G54"/>
    <mergeCell ref="H53:H54"/>
    <mergeCell ref="A50:A51"/>
    <mergeCell ref="B50:B51"/>
    <mergeCell ref="C50:C51"/>
    <mergeCell ref="D50:D51"/>
    <mergeCell ref="E50:G51"/>
    <mergeCell ref="H50:H51"/>
    <mergeCell ref="E52:G52"/>
    <mergeCell ref="A48:A49"/>
    <mergeCell ref="B48:B49"/>
    <mergeCell ref="C48:C49"/>
    <mergeCell ref="D48:D49"/>
    <mergeCell ref="E48:G49"/>
    <mergeCell ref="H48:H49"/>
    <mergeCell ref="A46:A47"/>
    <mergeCell ref="H46:H47"/>
    <mergeCell ref="B46:G47"/>
    <mergeCell ref="A44:A45"/>
    <mergeCell ref="B44:B45"/>
    <mergeCell ref="C44:C45"/>
    <mergeCell ref="D44:D45"/>
    <mergeCell ref="E44:G45"/>
    <mergeCell ref="H44:H45"/>
    <mergeCell ref="A42:A43"/>
    <mergeCell ref="B42:B43"/>
    <mergeCell ref="C42:C43"/>
    <mergeCell ref="D42:D43"/>
    <mergeCell ref="E42:G43"/>
    <mergeCell ref="H42:H43"/>
    <mergeCell ref="A40:A41"/>
    <mergeCell ref="B40:B41"/>
    <mergeCell ref="C40:C41"/>
    <mergeCell ref="D40:D41"/>
    <mergeCell ref="E40:G41"/>
    <mergeCell ref="H40:H41"/>
    <mergeCell ref="H36:H37"/>
    <mergeCell ref="A38:A39"/>
    <mergeCell ref="B38:B39"/>
    <mergeCell ref="C38:C39"/>
    <mergeCell ref="D38:D39"/>
    <mergeCell ref="E38:G39"/>
    <mergeCell ref="H38:H39"/>
    <mergeCell ref="E35:G35"/>
    <mergeCell ref="A36:A37"/>
    <mergeCell ref="B36:B37"/>
    <mergeCell ref="C36:C37"/>
    <mergeCell ref="D36:D37"/>
    <mergeCell ref="E36:G37"/>
    <mergeCell ref="A33:A34"/>
    <mergeCell ref="B33:B34"/>
    <mergeCell ref="C33:C34"/>
    <mergeCell ref="D33:D34"/>
    <mergeCell ref="E33:G34"/>
    <mergeCell ref="H33:H34"/>
    <mergeCell ref="A31:A32"/>
    <mergeCell ref="B31:B32"/>
    <mergeCell ref="C31:C32"/>
    <mergeCell ref="D31:D32"/>
    <mergeCell ref="E31:G32"/>
    <mergeCell ref="H31:H32"/>
    <mergeCell ref="A29:A30"/>
    <mergeCell ref="B29:B30"/>
    <mergeCell ref="C29:C30"/>
    <mergeCell ref="D29:D30"/>
    <mergeCell ref="E29:G30"/>
    <mergeCell ref="H29:H30"/>
    <mergeCell ref="A27:A28"/>
    <mergeCell ref="B27:B28"/>
    <mergeCell ref="C27:C28"/>
    <mergeCell ref="D27:D28"/>
    <mergeCell ref="E27:G28"/>
    <mergeCell ref="H27:H28"/>
    <mergeCell ref="A25:A26"/>
    <mergeCell ref="B25:B26"/>
    <mergeCell ref="C25:C26"/>
    <mergeCell ref="D25:D26"/>
    <mergeCell ref="E25:G26"/>
    <mergeCell ref="H25:H26"/>
    <mergeCell ref="A23:A24"/>
    <mergeCell ref="B23:B24"/>
    <mergeCell ref="C23:C24"/>
    <mergeCell ref="D23:D24"/>
    <mergeCell ref="E23:G24"/>
    <mergeCell ref="H23:H24"/>
    <mergeCell ref="A21:A22"/>
    <mergeCell ref="B21:B22"/>
    <mergeCell ref="C21:C22"/>
    <mergeCell ref="D21:D22"/>
    <mergeCell ref="E21:G22"/>
    <mergeCell ref="H21:H22"/>
    <mergeCell ref="A17:A18"/>
    <mergeCell ref="B17:H18"/>
    <mergeCell ref="A19:A20"/>
    <mergeCell ref="B19:B20"/>
    <mergeCell ref="C19:C20"/>
    <mergeCell ref="D19:D20"/>
    <mergeCell ref="E19:G20"/>
    <mergeCell ref="H19:H20"/>
    <mergeCell ref="H13:H14"/>
    <mergeCell ref="A15:A16"/>
    <mergeCell ref="B15:B16"/>
    <mergeCell ref="C15:C16"/>
    <mergeCell ref="D15:D16"/>
    <mergeCell ref="E15:G16"/>
    <mergeCell ref="H15:H16"/>
    <mergeCell ref="E12:G12"/>
    <mergeCell ref="A13:A14"/>
    <mergeCell ref="B13:B14"/>
    <mergeCell ref="C13:C14"/>
    <mergeCell ref="D13:D14"/>
    <mergeCell ref="E13:G14"/>
    <mergeCell ref="A10:A11"/>
    <mergeCell ref="B10:B11"/>
    <mergeCell ref="C10:C11"/>
    <mergeCell ref="D10:D11"/>
    <mergeCell ref="E10:G11"/>
    <mergeCell ref="H10:H11"/>
    <mergeCell ref="A8:A9"/>
    <mergeCell ref="B8:B9"/>
    <mergeCell ref="C8:C9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A3:H3"/>
    <mergeCell ref="A4:A5"/>
    <mergeCell ref="B4:B5"/>
    <mergeCell ref="C4:C5"/>
    <mergeCell ref="D4:D5"/>
    <mergeCell ref="E4:G5"/>
    <mergeCell ref="H4:H5"/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</mergeCells>
  <phoneticPr fontId="1" type="noConversion"/>
  <pageMargins left="0" right="0" top="0" bottom="0" header="0" footer="0"/>
  <pageSetup paperSize="9" scale="36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14"/>
  <sheetViews>
    <sheetView showGridLines="0" zoomScale="115" zoomScaleNormal="115" workbookViewId="0">
      <pane xSplit="8" ySplit="2" topLeftCell="I93" activePane="bottomRight" state="frozen"/>
      <selection pane="topRight" activeCell="I1" sqref="I1"/>
      <selection pane="bottomLeft" activeCell="A3" sqref="A3"/>
      <selection pane="bottomRight" activeCell="H53" sqref="H53:H54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9" max="9" width="8.625" customWidth="1"/>
    <col min="10" max="10" width="13.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  <col min="18" max="18" width="9.5" bestFit="1" customWidth="1"/>
  </cols>
  <sheetData>
    <row r="1" spans="1:18" ht="35.25" customHeight="1" thickBot="1">
      <c r="A1" s="388" t="s">
        <v>5255</v>
      </c>
      <c r="B1" s="389"/>
      <c r="C1" s="402" t="s">
        <v>27</v>
      </c>
      <c r="D1" s="403"/>
      <c r="E1" s="21" t="s">
        <v>26</v>
      </c>
      <c r="F1" s="20">
        <f>H1/31</f>
        <v>800838.70967741939</v>
      </c>
      <c r="G1" s="21" t="s">
        <v>4</v>
      </c>
      <c r="H1" s="22">
        <f>SUM(D4:D111)</f>
        <v>24826000</v>
      </c>
      <c r="I1" s="392"/>
      <c r="J1" s="338"/>
      <c r="K1" s="394"/>
      <c r="L1" s="396"/>
      <c r="M1" s="377"/>
      <c r="N1" s="379"/>
      <c r="O1" s="381"/>
      <c r="P1" s="383"/>
      <c r="Q1" s="377"/>
      <c r="R1" s="376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385" t="s">
        <v>25</v>
      </c>
      <c r="F2" s="386"/>
      <c r="G2" s="387"/>
      <c r="H2" s="25" t="s">
        <v>5</v>
      </c>
      <c r="I2" s="393"/>
      <c r="J2" s="333"/>
      <c r="K2" s="395"/>
      <c r="L2" s="397"/>
      <c r="M2" s="378"/>
      <c r="N2" s="380"/>
      <c r="O2" s="382"/>
      <c r="P2" s="384"/>
      <c r="Q2" s="378"/>
      <c r="R2" s="376"/>
    </row>
    <row r="3" spans="1:18" ht="57.75" customHeight="1">
      <c r="A3" s="441" t="s">
        <v>5370</v>
      </c>
      <c r="B3" s="442"/>
      <c r="C3" s="442"/>
      <c r="D3" s="442"/>
      <c r="E3" s="442"/>
      <c r="F3" s="442"/>
      <c r="G3" s="442"/>
      <c r="H3" s="443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322">
        <v>45839</v>
      </c>
      <c r="B4" s="341" t="s">
        <v>5340</v>
      </c>
      <c r="C4" s="341"/>
      <c r="D4" s="326">
        <v>630000</v>
      </c>
      <c r="E4" s="562" t="s">
        <v>5338</v>
      </c>
      <c r="F4" s="582"/>
      <c r="G4" s="583"/>
      <c r="H4" s="398" t="s">
        <v>5344</v>
      </c>
      <c r="J4" s="43"/>
    </row>
    <row r="5" spans="1:18" ht="16.5" customHeight="1">
      <c r="A5" s="323"/>
      <c r="B5" s="342"/>
      <c r="C5" s="342"/>
      <c r="D5" s="326"/>
      <c r="E5" s="584"/>
      <c r="F5" s="585"/>
      <c r="G5" s="586"/>
      <c r="H5" s="399"/>
      <c r="J5" s="43"/>
    </row>
    <row r="6" spans="1:18" ht="16.5" customHeight="1">
      <c r="A6" s="322">
        <v>45839</v>
      </c>
      <c r="B6" s="341" t="s">
        <v>5341</v>
      </c>
      <c r="C6" s="341"/>
      <c r="D6" s="343">
        <v>200000</v>
      </c>
      <c r="E6" s="562" t="s">
        <v>5342</v>
      </c>
      <c r="F6" s="563"/>
      <c r="G6" s="564"/>
      <c r="H6" s="610" t="s">
        <v>5343</v>
      </c>
    </row>
    <row r="7" spans="1:18" ht="51" customHeight="1">
      <c r="A7" s="323"/>
      <c r="B7" s="342"/>
      <c r="C7" s="342"/>
      <c r="D7" s="344"/>
      <c r="E7" s="565"/>
      <c r="F7" s="566"/>
      <c r="G7" s="567"/>
      <c r="H7" s="611"/>
    </row>
    <row r="8" spans="1:18" ht="16.5" customHeight="1">
      <c r="A8" s="322">
        <v>45839</v>
      </c>
      <c r="B8" s="324" t="s">
        <v>5345</v>
      </c>
      <c r="C8" s="341"/>
      <c r="D8" s="326">
        <v>210000</v>
      </c>
      <c r="E8" s="562" t="s">
        <v>5346</v>
      </c>
      <c r="F8" s="582"/>
      <c r="G8" s="583"/>
      <c r="H8" s="350" t="s">
        <v>5343</v>
      </c>
      <c r="J8" s="48"/>
    </row>
    <row r="9" spans="1:18" ht="33.75" customHeight="1">
      <c r="A9" s="323"/>
      <c r="B9" s="325"/>
      <c r="C9" s="342"/>
      <c r="D9" s="326"/>
      <c r="E9" s="584"/>
      <c r="F9" s="585"/>
      <c r="G9" s="586"/>
      <c r="H9" s="351"/>
    </row>
    <row r="10" spans="1:18" ht="16.5" customHeight="1">
      <c r="A10" s="322">
        <v>45840</v>
      </c>
      <c r="B10" s="324" t="s">
        <v>5347</v>
      </c>
      <c r="C10" s="341"/>
      <c r="D10" s="326">
        <v>720000</v>
      </c>
      <c r="E10" s="562" t="s">
        <v>5348</v>
      </c>
      <c r="F10" s="582"/>
      <c r="G10" s="583"/>
      <c r="H10" s="398" t="s">
        <v>5349</v>
      </c>
    </row>
    <row r="11" spans="1:18" ht="26.25" customHeight="1">
      <c r="A11" s="323"/>
      <c r="B11" s="325"/>
      <c r="C11" s="342"/>
      <c r="D11" s="326"/>
      <c r="E11" s="584"/>
      <c r="F11" s="585"/>
      <c r="G11" s="586"/>
      <c r="H11" s="399"/>
    </row>
    <row r="12" spans="1:18" ht="45" customHeight="1">
      <c r="A12" s="246">
        <v>45840</v>
      </c>
      <c r="B12" s="247" t="s">
        <v>5350</v>
      </c>
      <c r="C12" s="247"/>
      <c r="D12" s="248">
        <v>1000000</v>
      </c>
      <c r="E12" s="721" t="s">
        <v>5351</v>
      </c>
      <c r="F12" s="722"/>
      <c r="G12" s="723"/>
      <c r="H12" s="98" t="s">
        <v>5357</v>
      </c>
    </row>
    <row r="13" spans="1:18">
      <c r="A13" s="322">
        <v>45840</v>
      </c>
      <c r="B13" s="324" t="s">
        <v>5352</v>
      </c>
      <c r="C13" s="325"/>
      <c r="D13" s="326">
        <v>250000</v>
      </c>
      <c r="E13" s="337" t="s">
        <v>5369</v>
      </c>
      <c r="F13" s="326"/>
      <c r="G13" s="326"/>
      <c r="H13" s="398" t="s">
        <v>145</v>
      </c>
    </row>
    <row r="14" spans="1:18" ht="42.75" customHeight="1">
      <c r="A14" s="323"/>
      <c r="B14" s="325"/>
      <c r="C14" s="325"/>
      <c r="D14" s="326"/>
      <c r="E14" s="326"/>
      <c r="F14" s="326"/>
      <c r="G14" s="326"/>
      <c r="H14" s="399"/>
    </row>
    <row r="15" spans="1:18">
      <c r="A15" s="322">
        <v>45840</v>
      </c>
      <c r="B15" s="325" t="s">
        <v>5358</v>
      </c>
      <c r="C15" s="325"/>
      <c r="D15" s="326">
        <v>215000</v>
      </c>
      <c r="E15" s="337" t="s">
        <v>5359</v>
      </c>
      <c r="F15" s="326"/>
      <c r="G15" s="326"/>
      <c r="H15" s="359" t="s">
        <v>5360</v>
      </c>
    </row>
    <row r="16" spans="1:18" ht="30.75" customHeight="1">
      <c r="A16" s="323"/>
      <c r="B16" s="325"/>
      <c r="C16" s="325"/>
      <c r="D16" s="326"/>
      <c r="E16" s="326"/>
      <c r="F16" s="326"/>
      <c r="G16" s="326"/>
      <c r="H16" s="359"/>
    </row>
    <row r="17" spans="1:10">
      <c r="A17" s="322">
        <v>45840</v>
      </c>
      <c r="B17" s="322" t="s">
        <v>5361</v>
      </c>
      <c r="C17" s="325"/>
      <c r="D17" s="343">
        <v>40000</v>
      </c>
      <c r="E17" s="337" t="s">
        <v>5353</v>
      </c>
      <c r="F17" s="326"/>
      <c r="G17" s="326"/>
      <c r="H17" s="359" t="s">
        <v>5356</v>
      </c>
    </row>
    <row r="18" spans="1:10" ht="28.5" customHeight="1">
      <c r="A18" s="323"/>
      <c r="B18" s="323"/>
      <c r="C18" s="325"/>
      <c r="D18" s="344"/>
      <c r="E18" s="326"/>
      <c r="F18" s="326"/>
      <c r="G18" s="326"/>
      <c r="H18" s="359"/>
    </row>
    <row r="19" spans="1:10" ht="16.5" customHeight="1">
      <c r="A19" s="322">
        <v>45840</v>
      </c>
      <c r="B19" s="324" t="s">
        <v>5361</v>
      </c>
      <c r="C19" s="325"/>
      <c r="D19" s="326">
        <v>72000</v>
      </c>
      <c r="E19" s="327" t="s">
        <v>5354</v>
      </c>
      <c r="F19" s="328"/>
      <c r="G19" s="329"/>
      <c r="H19" s="400" t="s">
        <v>5355</v>
      </c>
    </row>
    <row r="20" spans="1:10" ht="16.5" customHeight="1">
      <c r="A20" s="323"/>
      <c r="B20" s="325"/>
      <c r="C20" s="325"/>
      <c r="D20" s="326"/>
      <c r="E20" s="330"/>
      <c r="F20" s="331"/>
      <c r="G20" s="332"/>
      <c r="H20" s="401"/>
    </row>
    <row r="21" spans="1:10" ht="16.5" customHeight="1">
      <c r="A21" s="336">
        <v>45842</v>
      </c>
      <c r="B21" s="324" t="s">
        <v>5367</v>
      </c>
      <c r="C21" s="326"/>
      <c r="D21" s="326">
        <v>750000</v>
      </c>
      <c r="E21" s="327" t="s">
        <v>5368</v>
      </c>
      <c r="F21" s="328"/>
      <c r="G21" s="329"/>
      <c r="H21" s="333" t="s">
        <v>5363</v>
      </c>
    </row>
    <row r="22" spans="1:10" ht="16.5" customHeight="1">
      <c r="A22" s="323"/>
      <c r="B22" s="325"/>
      <c r="C22" s="326"/>
      <c r="D22" s="326"/>
      <c r="E22" s="330"/>
      <c r="F22" s="331"/>
      <c r="G22" s="332"/>
      <c r="H22" s="333"/>
    </row>
    <row r="23" spans="1:10">
      <c r="A23" s="322">
        <v>45842</v>
      </c>
      <c r="B23" s="324" t="s">
        <v>5365</v>
      </c>
      <c r="C23" s="325"/>
      <c r="D23" s="343">
        <v>1050000</v>
      </c>
      <c r="E23" s="574" t="s">
        <v>5362</v>
      </c>
      <c r="F23" s="575"/>
      <c r="G23" s="575"/>
      <c r="H23" s="333" t="s">
        <v>5366</v>
      </c>
    </row>
    <row r="24" spans="1:10" ht="21.75" customHeight="1">
      <c r="A24" s="323"/>
      <c r="B24" s="325"/>
      <c r="C24" s="325"/>
      <c r="D24" s="344"/>
      <c r="E24" s="575"/>
      <c r="F24" s="575"/>
      <c r="G24" s="575"/>
      <c r="H24" s="333"/>
    </row>
    <row r="25" spans="1:10" ht="16.5" customHeight="1">
      <c r="A25" s="322">
        <v>45843</v>
      </c>
      <c r="B25" s="324" t="s">
        <v>5364</v>
      </c>
      <c r="C25" s="325"/>
      <c r="D25" s="326">
        <v>860000</v>
      </c>
      <c r="E25" s="575" t="s">
        <v>5362</v>
      </c>
      <c r="F25" s="575"/>
      <c r="G25" s="575"/>
      <c r="H25" s="333" t="s">
        <v>5363</v>
      </c>
    </row>
    <row r="26" spans="1:10" ht="16.5" customHeight="1">
      <c r="A26" s="323"/>
      <c r="B26" s="325"/>
      <c r="C26" s="325"/>
      <c r="D26" s="326"/>
      <c r="E26" s="575"/>
      <c r="F26" s="575"/>
      <c r="G26" s="575"/>
      <c r="H26" s="333"/>
    </row>
    <row r="27" spans="1:10" ht="15.75" customHeight="1">
      <c r="A27" s="322"/>
      <c r="B27" s="644" t="s">
        <v>5394</v>
      </c>
      <c r="C27" s="645"/>
      <c r="D27" s="645"/>
      <c r="E27" s="645"/>
      <c r="F27" s="645"/>
      <c r="G27" s="645"/>
      <c r="H27" s="646"/>
    </row>
    <row r="28" spans="1:10" ht="44.25" customHeight="1">
      <c r="A28" s="323"/>
      <c r="B28" s="647"/>
      <c r="C28" s="648"/>
      <c r="D28" s="648"/>
      <c r="E28" s="648"/>
      <c r="F28" s="648"/>
      <c r="G28" s="648"/>
      <c r="H28" s="649"/>
    </row>
    <row r="29" spans="1:10" ht="16.5" customHeight="1">
      <c r="A29" s="322">
        <v>45846</v>
      </c>
      <c r="B29" s="324" t="s">
        <v>5375</v>
      </c>
      <c r="C29" s="325"/>
      <c r="D29" s="326">
        <v>1374000</v>
      </c>
      <c r="E29" s="327" t="s">
        <v>5373</v>
      </c>
      <c r="F29" s="328"/>
      <c r="G29" s="329"/>
      <c r="H29" s="359" t="s">
        <v>145</v>
      </c>
    </row>
    <row r="30" spans="1:10" ht="16.5" customHeight="1">
      <c r="A30" s="323"/>
      <c r="B30" s="325"/>
      <c r="C30" s="325"/>
      <c r="D30" s="326"/>
      <c r="E30" s="330"/>
      <c r="F30" s="331"/>
      <c r="G30" s="332"/>
      <c r="H30" s="359"/>
    </row>
    <row r="31" spans="1:10">
      <c r="A31" s="322">
        <v>45846</v>
      </c>
      <c r="B31" s="325" t="s">
        <v>5371</v>
      </c>
      <c r="C31" s="325"/>
      <c r="D31" s="326">
        <v>510000</v>
      </c>
      <c r="E31" s="326" t="s">
        <v>5374</v>
      </c>
      <c r="F31" s="326"/>
      <c r="G31" s="326"/>
      <c r="H31" s="359" t="s">
        <v>5451</v>
      </c>
    </row>
    <row r="32" spans="1:10">
      <c r="A32" s="323"/>
      <c r="B32" s="325"/>
      <c r="C32" s="325"/>
      <c r="D32" s="326"/>
      <c r="E32" s="326"/>
      <c r="F32" s="326"/>
      <c r="G32" s="326"/>
      <c r="H32" s="359"/>
      <c r="J32">
        <v>2200</v>
      </c>
    </row>
    <row r="33" spans="1:10" ht="33" customHeight="1">
      <c r="A33" s="246">
        <v>45846</v>
      </c>
      <c r="B33" s="250" t="s">
        <v>5372</v>
      </c>
      <c r="C33" s="250"/>
      <c r="D33" s="251">
        <v>450000</v>
      </c>
      <c r="E33" s="627" t="s">
        <v>5373</v>
      </c>
      <c r="F33" s="628"/>
      <c r="G33" s="629"/>
      <c r="H33" s="249" t="s">
        <v>5452</v>
      </c>
      <c r="J33">
        <v>2000</v>
      </c>
    </row>
    <row r="34" spans="1:10" ht="17.25" customHeight="1">
      <c r="A34" s="322">
        <v>45846</v>
      </c>
      <c r="B34" s="325" t="s">
        <v>5376</v>
      </c>
      <c r="C34" s="325"/>
      <c r="D34" s="326">
        <v>235000</v>
      </c>
      <c r="E34" s="337" t="s">
        <v>5381</v>
      </c>
      <c r="F34" s="326"/>
      <c r="G34" s="326"/>
      <c r="H34" s="359" t="s">
        <v>5380</v>
      </c>
      <c r="J34">
        <v>3100</v>
      </c>
    </row>
    <row r="35" spans="1:10" ht="24.75" customHeight="1">
      <c r="A35" s="323"/>
      <c r="B35" s="325"/>
      <c r="C35" s="325"/>
      <c r="D35" s="326"/>
      <c r="E35" s="326"/>
      <c r="F35" s="326"/>
      <c r="G35" s="326"/>
      <c r="H35" s="359"/>
      <c r="J35">
        <v>1800</v>
      </c>
    </row>
    <row r="36" spans="1:10">
      <c r="A36" s="322">
        <v>45847</v>
      </c>
      <c r="B36" s="325" t="s">
        <v>5384</v>
      </c>
      <c r="C36" s="325"/>
      <c r="D36" s="326">
        <v>605000</v>
      </c>
      <c r="E36" s="337" t="s">
        <v>5374</v>
      </c>
      <c r="F36" s="326"/>
      <c r="G36" s="326"/>
      <c r="H36" s="359" t="s">
        <v>5379</v>
      </c>
      <c r="J36">
        <v>1000</v>
      </c>
    </row>
    <row r="37" spans="1:10">
      <c r="A37" s="323"/>
      <c r="B37" s="325"/>
      <c r="C37" s="325"/>
      <c r="D37" s="326"/>
      <c r="E37" s="326"/>
      <c r="F37" s="326"/>
      <c r="G37" s="326"/>
      <c r="H37" s="359"/>
      <c r="J37">
        <v>1000</v>
      </c>
    </row>
    <row r="38" spans="1:10">
      <c r="A38" s="322">
        <v>45848</v>
      </c>
      <c r="B38" s="325" t="s">
        <v>5385</v>
      </c>
      <c r="C38" s="325"/>
      <c r="D38" s="326">
        <v>1060000</v>
      </c>
      <c r="E38" s="326" t="s">
        <v>5377</v>
      </c>
      <c r="F38" s="326"/>
      <c r="G38" s="326"/>
      <c r="H38" s="359" t="s">
        <v>5378</v>
      </c>
      <c r="J38">
        <v>1000</v>
      </c>
    </row>
    <row r="39" spans="1:10">
      <c r="A39" s="323"/>
      <c r="B39" s="325"/>
      <c r="C39" s="325"/>
      <c r="D39" s="326"/>
      <c r="E39" s="326"/>
      <c r="F39" s="326"/>
      <c r="G39" s="326"/>
      <c r="H39" s="359"/>
      <c r="J39">
        <v>2000</v>
      </c>
    </row>
    <row r="40" spans="1:10">
      <c r="A40" s="322">
        <v>45848</v>
      </c>
      <c r="B40" s="325"/>
      <c r="C40" s="325"/>
      <c r="D40" s="326">
        <v>290000</v>
      </c>
      <c r="E40" s="326" t="s">
        <v>5387</v>
      </c>
      <c r="F40" s="326"/>
      <c r="G40" s="326"/>
      <c r="H40" s="359" t="s">
        <v>5388</v>
      </c>
    </row>
    <row r="41" spans="1:10">
      <c r="A41" s="323"/>
      <c r="B41" s="325"/>
      <c r="C41" s="325"/>
      <c r="D41" s="326"/>
      <c r="E41" s="326"/>
      <c r="F41" s="326"/>
      <c r="G41" s="326"/>
      <c r="H41" s="359"/>
    </row>
    <row r="42" spans="1:10">
      <c r="A42" s="322">
        <v>45850</v>
      </c>
      <c r="B42" s="325" t="s">
        <v>5386</v>
      </c>
      <c r="C42" s="325"/>
      <c r="D42" s="326">
        <v>920000</v>
      </c>
      <c r="E42" s="326" t="s">
        <v>5383</v>
      </c>
      <c r="F42" s="326"/>
      <c r="G42" s="326"/>
      <c r="H42" s="359" t="s">
        <v>5382</v>
      </c>
    </row>
    <row r="43" spans="1:10">
      <c r="A43" s="323"/>
      <c r="B43" s="325"/>
      <c r="C43" s="325"/>
      <c r="D43" s="326"/>
      <c r="E43" s="326"/>
      <c r="F43" s="326"/>
      <c r="G43" s="326"/>
      <c r="H43" s="359"/>
    </row>
    <row r="44" spans="1:10" ht="17.25" customHeight="1">
      <c r="A44" s="322"/>
      <c r="B44" s="924" t="s">
        <v>5431</v>
      </c>
      <c r="C44" s="925"/>
      <c r="D44" s="925"/>
      <c r="E44" s="925"/>
      <c r="F44" s="925"/>
      <c r="G44" s="925"/>
      <c r="H44" s="926"/>
    </row>
    <row r="45" spans="1:10" ht="32.25" customHeight="1">
      <c r="A45" s="323"/>
      <c r="B45" s="927"/>
      <c r="C45" s="928"/>
      <c r="D45" s="928"/>
      <c r="E45" s="928"/>
      <c r="F45" s="928"/>
      <c r="G45" s="928"/>
      <c r="H45" s="929"/>
    </row>
    <row r="46" spans="1:10" ht="17.25" customHeight="1">
      <c r="A46" s="322">
        <v>45852</v>
      </c>
      <c r="B46" s="325" t="s">
        <v>5389</v>
      </c>
      <c r="C46" s="325"/>
      <c r="D46" s="326">
        <v>998000</v>
      </c>
      <c r="E46" s="923" t="s">
        <v>5390</v>
      </c>
      <c r="F46" s="326"/>
      <c r="G46" s="326"/>
      <c r="H46" s="359" t="s">
        <v>5408</v>
      </c>
    </row>
    <row r="47" spans="1:10" ht="17.25" customHeight="1">
      <c r="A47" s="323"/>
      <c r="B47" s="325"/>
      <c r="C47" s="325"/>
      <c r="D47" s="326"/>
      <c r="E47" s="326"/>
      <c r="F47" s="326"/>
      <c r="G47" s="326"/>
      <c r="H47" s="359"/>
    </row>
    <row r="48" spans="1:10" ht="31.5" customHeight="1">
      <c r="A48" s="246">
        <v>45852</v>
      </c>
      <c r="B48" s="250" t="s">
        <v>5391</v>
      </c>
      <c r="C48" s="250"/>
      <c r="D48" s="251">
        <v>300000</v>
      </c>
      <c r="E48" s="808" t="s">
        <v>5392</v>
      </c>
      <c r="F48" s="722"/>
      <c r="G48" s="723"/>
      <c r="H48" s="254" t="s">
        <v>5393</v>
      </c>
    </row>
    <row r="49" spans="1:8">
      <c r="A49" s="322">
        <v>45853</v>
      </c>
      <c r="B49" s="325" t="s">
        <v>5398</v>
      </c>
      <c r="C49" s="325"/>
      <c r="D49" s="326">
        <v>253000</v>
      </c>
      <c r="E49" s="326" t="s">
        <v>5407</v>
      </c>
      <c r="F49" s="326"/>
      <c r="G49" s="326"/>
      <c r="H49" s="359" t="s">
        <v>5408</v>
      </c>
    </row>
    <row r="50" spans="1:8">
      <c r="A50" s="323"/>
      <c r="B50" s="325"/>
      <c r="C50" s="325"/>
      <c r="D50" s="326"/>
      <c r="E50" s="326"/>
      <c r="F50" s="326"/>
      <c r="G50" s="326"/>
      <c r="H50" s="359"/>
    </row>
    <row r="51" spans="1:8" ht="17.25" customHeight="1">
      <c r="A51" s="322">
        <v>45853</v>
      </c>
      <c r="B51" s="325" t="s">
        <v>5399</v>
      </c>
      <c r="C51" s="325"/>
      <c r="D51" s="343">
        <v>320000</v>
      </c>
      <c r="E51" s="575" t="s">
        <v>5400</v>
      </c>
      <c r="F51" s="575"/>
      <c r="G51" s="575"/>
      <c r="H51" s="359" t="s">
        <v>5406</v>
      </c>
    </row>
    <row r="52" spans="1:8" ht="17.25" customHeight="1">
      <c r="A52" s="323"/>
      <c r="B52" s="325"/>
      <c r="C52" s="325"/>
      <c r="D52" s="344"/>
      <c r="E52" s="575"/>
      <c r="F52" s="575"/>
      <c r="G52" s="575"/>
      <c r="H52" s="359"/>
    </row>
    <row r="53" spans="1:8">
      <c r="A53" s="322">
        <v>45853</v>
      </c>
      <c r="B53" s="325" t="s">
        <v>5401</v>
      </c>
      <c r="C53" s="325"/>
      <c r="D53" s="343">
        <v>980000</v>
      </c>
      <c r="E53" s="575" t="s">
        <v>5400</v>
      </c>
      <c r="F53" s="575"/>
      <c r="G53" s="575"/>
      <c r="H53" s="333" t="s">
        <v>5405</v>
      </c>
    </row>
    <row r="54" spans="1:8">
      <c r="A54" s="323"/>
      <c r="B54" s="325"/>
      <c r="C54" s="325"/>
      <c r="D54" s="344"/>
      <c r="E54" s="575"/>
      <c r="F54" s="575"/>
      <c r="G54" s="575"/>
      <c r="H54" s="333"/>
    </row>
    <row r="55" spans="1:8">
      <c r="A55" s="322">
        <v>45853</v>
      </c>
      <c r="B55" s="325" t="s">
        <v>5395</v>
      </c>
      <c r="C55" s="325"/>
      <c r="D55" s="343">
        <v>115000</v>
      </c>
      <c r="E55" s="326" t="s">
        <v>5402</v>
      </c>
      <c r="F55" s="326"/>
      <c r="G55" s="326"/>
      <c r="H55" s="359" t="s">
        <v>5396</v>
      </c>
    </row>
    <row r="56" spans="1:8">
      <c r="A56" s="323"/>
      <c r="B56" s="325"/>
      <c r="C56" s="325"/>
      <c r="D56" s="344"/>
      <c r="E56" s="326"/>
      <c r="F56" s="326"/>
      <c r="G56" s="326"/>
      <c r="H56" s="359"/>
    </row>
    <row r="57" spans="1:8">
      <c r="A57" s="322">
        <v>45854</v>
      </c>
      <c r="B57" s="325" t="s">
        <v>5395</v>
      </c>
      <c r="C57" s="325"/>
      <c r="D57" s="343">
        <v>170000</v>
      </c>
      <c r="E57" s="326" t="s">
        <v>5424</v>
      </c>
      <c r="F57" s="326"/>
      <c r="G57" s="326"/>
      <c r="H57" s="359" t="s">
        <v>5397</v>
      </c>
    </row>
    <row r="58" spans="1:8">
      <c r="A58" s="323"/>
      <c r="B58" s="325"/>
      <c r="C58" s="325"/>
      <c r="D58" s="344"/>
      <c r="E58" s="326"/>
      <c r="F58" s="326"/>
      <c r="G58" s="326"/>
      <c r="H58" s="359"/>
    </row>
    <row r="59" spans="1:8">
      <c r="A59" s="322">
        <v>45854</v>
      </c>
      <c r="B59" s="325" t="s">
        <v>5403</v>
      </c>
      <c r="C59" s="325"/>
      <c r="D59" s="326">
        <v>500000</v>
      </c>
      <c r="E59" s="326" t="s">
        <v>5404</v>
      </c>
      <c r="F59" s="326"/>
      <c r="G59" s="326"/>
      <c r="H59" s="359" t="s">
        <v>3955</v>
      </c>
    </row>
    <row r="60" spans="1:8">
      <c r="A60" s="323"/>
      <c r="B60" s="325"/>
      <c r="C60" s="325"/>
      <c r="D60" s="326"/>
      <c r="E60" s="326"/>
      <c r="F60" s="326"/>
      <c r="G60" s="326"/>
      <c r="H60" s="359"/>
    </row>
    <row r="61" spans="1:8">
      <c r="A61" s="313">
        <v>45854</v>
      </c>
      <c r="B61" s="325" t="s">
        <v>5411</v>
      </c>
      <c r="C61" s="325"/>
      <c r="D61" s="326">
        <v>250000</v>
      </c>
      <c r="E61" s="326"/>
      <c r="F61" s="326"/>
      <c r="G61" s="326"/>
      <c r="H61" s="359" t="s">
        <v>3955</v>
      </c>
    </row>
    <row r="62" spans="1:8">
      <c r="A62" s="305"/>
      <c r="B62" s="325"/>
      <c r="C62" s="325"/>
      <c r="D62" s="326"/>
      <c r="E62" s="326"/>
      <c r="F62" s="326"/>
      <c r="G62" s="326"/>
      <c r="H62" s="359"/>
    </row>
    <row r="63" spans="1:8">
      <c r="A63" s="313">
        <v>45854</v>
      </c>
      <c r="B63" s="325" t="s">
        <v>5415</v>
      </c>
      <c r="C63" s="325"/>
      <c r="D63" s="326">
        <v>200000</v>
      </c>
      <c r="E63" s="326"/>
      <c r="F63" s="326"/>
      <c r="G63" s="326"/>
      <c r="H63" s="359" t="s">
        <v>1661</v>
      </c>
    </row>
    <row r="64" spans="1:8">
      <c r="A64" s="305"/>
      <c r="B64" s="325"/>
      <c r="C64" s="325"/>
      <c r="D64" s="326"/>
      <c r="E64" s="326"/>
      <c r="F64" s="326"/>
      <c r="G64" s="326"/>
      <c r="H64" s="359"/>
    </row>
    <row r="65" spans="1:8">
      <c r="A65" s="313">
        <v>45854</v>
      </c>
      <c r="B65" s="325" t="s">
        <v>5410</v>
      </c>
      <c r="C65" s="325"/>
      <c r="D65" s="326">
        <v>143000</v>
      </c>
      <c r="E65" s="326" t="s">
        <v>5407</v>
      </c>
      <c r="F65" s="326"/>
      <c r="G65" s="326"/>
      <c r="H65" s="398" t="s">
        <v>5409</v>
      </c>
    </row>
    <row r="66" spans="1:8">
      <c r="A66" s="305"/>
      <c r="B66" s="325"/>
      <c r="C66" s="325"/>
      <c r="D66" s="326"/>
      <c r="E66" s="326"/>
      <c r="F66" s="326"/>
      <c r="G66" s="326"/>
      <c r="H66" s="399"/>
    </row>
    <row r="67" spans="1:8">
      <c r="A67" s="313">
        <v>45854</v>
      </c>
      <c r="B67" s="325" t="s">
        <v>5412</v>
      </c>
      <c r="C67" s="325"/>
      <c r="D67" s="326">
        <v>400000</v>
      </c>
      <c r="E67" s="326" t="s">
        <v>5413</v>
      </c>
      <c r="F67" s="326"/>
      <c r="G67" s="326"/>
      <c r="H67" s="359" t="s">
        <v>5414</v>
      </c>
    </row>
    <row r="68" spans="1:8">
      <c r="A68" s="305"/>
      <c r="B68" s="325"/>
      <c r="C68" s="325"/>
      <c r="D68" s="326"/>
      <c r="E68" s="326"/>
      <c r="F68" s="326"/>
      <c r="G68" s="326"/>
      <c r="H68" s="359"/>
    </row>
    <row r="69" spans="1:8">
      <c r="A69" s="313">
        <v>45855</v>
      </c>
      <c r="B69" s="325" t="s">
        <v>5416</v>
      </c>
      <c r="C69" s="325"/>
      <c r="D69" s="326">
        <v>143000</v>
      </c>
      <c r="E69" s="326" t="s">
        <v>5418</v>
      </c>
      <c r="F69" s="326"/>
      <c r="G69" s="326"/>
      <c r="H69" s="398" t="s">
        <v>5417</v>
      </c>
    </row>
    <row r="70" spans="1:8">
      <c r="A70" s="305"/>
      <c r="B70" s="325"/>
      <c r="C70" s="325"/>
      <c r="D70" s="326"/>
      <c r="E70" s="326"/>
      <c r="F70" s="326"/>
      <c r="G70" s="326"/>
      <c r="H70" s="399"/>
    </row>
    <row r="71" spans="1:8">
      <c r="A71" s="313">
        <v>45856</v>
      </c>
      <c r="B71" s="325" t="s">
        <v>5419</v>
      </c>
      <c r="C71" s="325"/>
      <c r="D71" s="326">
        <v>326000</v>
      </c>
      <c r="E71" s="326" t="s">
        <v>5420</v>
      </c>
      <c r="F71" s="326"/>
      <c r="G71" s="326"/>
      <c r="H71" s="398" t="s">
        <v>5421</v>
      </c>
    </row>
    <row r="72" spans="1:8">
      <c r="A72" s="305"/>
      <c r="B72" s="325"/>
      <c r="C72" s="325"/>
      <c r="D72" s="326"/>
      <c r="E72" s="326"/>
      <c r="F72" s="326"/>
      <c r="G72" s="326"/>
      <c r="H72" s="399"/>
    </row>
    <row r="73" spans="1:8">
      <c r="A73" s="313">
        <v>45856</v>
      </c>
      <c r="B73" s="325" t="s">
        <v>5460</v>
      </c>
      <c r="C73" s="325"/>
      <c r="D73" s="326">
        <v>200000</v>
      </c>
      <c r="E73" s="326" t="s">
        <v>5422</v>
      </c>
      <c r="F73" s="326"/>
      <c r="G73" s="326"/>
      <c r="H73" s="333" t="s">
        <v>5423</v>
      </c>
    </row>
    <row r="74" spans="1:8">
      <c r="A74" s="305"/>
      <c r="B74" s="325"/>
      <c r="C74" s="325"/>
      <c r="D74" s="326"/>
      <c r="E74" s="326"/>
      <c r="F74" s="326"/>
      <c r="G74" s="326"/>
      <c r="H74" s="333"/>
    </row>
    <row r="75" spans="1:8">
      <c r="A75" s="313">
        <v>45857</v>
      </c>
      <c r="B75" s="325" t="s">
        <v>5425</v>
      </c>
      <c r="C75" s="325"/>
      <c r="D75" s="326">
        <v>304000</v>
      </c>
      <c r="E75" s="326" t="s">
        <v>5427</v>
      </c>
      <c r="F75" s="326"/>
      <c r="G75" s="326"/>
      <c r="H75" s="333" t="s">
        <v>5426</v>
      </c>
    </row>
    <row r="76" spans="1:8">
      <c r="A76" s="305"/>
      <c r="B76" s="325"/>
      <c r="C76" s="325"/>
      <c r="D76" s="326"/>
      <c r="E76" s="326"/>
      <c r="F76" s="326"/>
      <c r="G76" s="326"/>
      <c r="H76" s="333"/>
    </row>
    <row r="77" spans="1:8">
      <c r="A77" s="313">
        <v>45857</v>
      </c>
      <c r="B77" s="325" t="s">
        <v>5430</v>
      </c>
      <c r="C77" s="325"/>
      <c r="D77" s="326">
        <v>270000</v>
      </c>
      <c r="E77" s="575" t="s">
        <v>5428</v>
      </c>
      <c r="F77" s="575"/>
      <c r="G77" s="575"/>
      <c r="H77" s="359" t="s">
        <v>5429</v>
      </c>
    </row>
    <row r="78" spans="1:8">
      <c r="A78" s="305"/>
      <c r="B78" s="325"/>
      <c r="C78" s="325"/>
      <c r="D78" s="326"/>
      <c r="E78" s="575"/>
      <c r="F78" s="575"/>
      <c r="G78" s="575"/>
      <c r="H78" s="359"/>
    </row>
    <row r="79" spans="1:8">
      <c r="A79" s="313"/>
      <c r="B79" s="884" t="s">
        <v>5432</v>
      </c>
      <c r="C79" s="671"/>
      <c r="D79" s="671"/>
      <c r="E79" s="671"/>
      <c r="F79" s="671"/>
      <c r="G79" s="912"/>
      <c r="H79" s="359"/>
    </row>
    <row r="80" spans="1:8" ht="42" customHeight="1">
      <c r="A80" s="305"/>
      <c r="B80" s="673"/>
      <c r="C80" s="674"/>
      <c r="D80" s="674"/>
      <c r="E80" s="674"/>
      <c r="F80" s="674"/>
      <c r="G80" s="913"/>
      <c r="H80" s="359"/>
    </row>
    <row r="81" spans="1:8">
      <c r="A81" s="313">
        <v>45860</v>
      </c>
      <c r="B81" s="325" t="s">
        <v>5450</v>
      </c>
      <c r="C81" s="325"/>
      <c r="D81" s="326">
        <v>120000</v>
      </c>
      <c r="E81" s="326" t="s">
        <v>5437</v>
      </c>
      <c r="F81" s="326"/>
      <c r="G81" s="326"/>
      <c r="H81" s="359" t="s">
        <v>5438</v>
      </c>
    </row>
    <row r="82" spans="1:8">
      <c r="A82" s="305"/>
      <c r="B82" s="325"/>
      <c r="C82" s="325"/>
      <c r="D82" s="326"/>
      <c r="E82" s="326"/>
      <c r="F82" s="326"/>
      <c r="G82" s="326"/>
      <c r="H82" s="359"/>
    </row>
    <row r="83" spans="1:8">
      <c r="A83" s="313">
        <v>45861</v>
      </c>
      <c r="B83" s="325" t="s">
        <v>5433</v>
      </c>
      <c r="C83" s="325"/>
      <c r="D83" s="326">
        <v>1040000</v>
      </c>
      <c r="E83" s="574" t="s">
        <v>5435</v>
      </c>
      <c r="F83" s="575"/>
      <c r="G83" s="575"/>
      <c r="H83" s="333" t="s">
        <v>5447</v>
      </c>
    </row>
    <row r="84" spans="1:8">
      <c r="A84" s="305"/>
      <c r="B84" s="325"/>
      <c r="C84" s="325"/>
      <c r="D84" s="326"/>
      <c r="E84" s="575"/>
      <c r="F84" s="575"/>
      <c r="G84" s="575"/>
      <c r="H84" s="333"/>
    </row>
    <row r="85" spans="1:8">
      <c r="A85" s="313">
        <v>45861</v>
      </c>
      <c r="B85" s="325" t="s">
        <v>5434</v>
      </c>
      <c r="C85" s="325"/>
      <c r="D85" s="326">
        <v>1200000</v>
      </c>
      <c r="E85" s="575" t="s">
        <v>5436</v>
      </c>
      <c r="F85" s="575"/>
      <c r="G85" s="575"/>
      <c r="H85" s="359" t="s">
        <v>145</v>
      </c>
    </row>
    <row r="86" spans="1:8">
      <c r="A86" s="305"/>
      <c r="B86" s="325"/>
      <c r="C86" s="325"/>
      <c r="D86" s="326"/>
      <c r="E86" s="575"/>
      <c r="F86" s="575"/>
      <c r="G86" s="575"/>
      <c r="H86" s="359"/>
    </row>
    <row r="87" spans="1:8">
      <c r="A87" s="313">
        <v>45862</v>
      </c>
      <c r="B87" s="325" t="s">
        <v>5440</v>
      </c>
      <c r="C87" s="325"/>
      <c r="D87" s="326">
        <v>660000</v>
      </c>
      <c r="E87" s="574" t="s">
        <v>5445</v>
      </c>
      <c r="F87" s="575"/>
      <c r="G87" s="575"/>
      <c r="H87" s="359" t="s">
        <v>5446</v>
      </c>
    </row>
    <row r="88" spans="1:8">
      <c r="A88" s="305"/>
      <c r="B88" s="325"/>
      <c r="C88" s="325"/>
      <c r="D88" s="326"/>
      <c r="E88" s="575"/>
      <c r="F88" s="575"/>
      <c r="G88" s="575"/>
      <c r="H88" s="359"/>
    </row>
    <row r="89" spans="1:8">
      <c r="A89" s="313">
        <v>45862</v>
      </c>
      <c r="B89" s="325" t="s">
        <v>5439</v>
      </c>
      <c r="C89" s="325"/>
      <c r="D89" s="326">
        <v>607000</v>
      </c>
      <c r="E89" s="575" t="s">
        <v>5444</v>
      </c>
      <c r="F89" s="575"/>
      <c r="G89" s="575"/>
      <c r="H89" s="359" t="s">
        <v>5446</v>
      </c>
    </row>
    <row r="90" spans="1:8">
      <c r="A90" s="305"/>
      <c r="B90" s="325"/>
      <c r="C90" s="325"/>
      <c r="D90" s="326"/>
      <c r="E90" s="575"/>
      <c r="F90" s="575"/>
      <c r="G90" s="575"/>
      <c r="H90" s="359"/>
    </row>
    <row r="91" spans="1:8">
      <c r="A91" s="313">
        <v>45863</v>
      </c>
      <c r="B91" s="325" t="s">
        <v>5441</v>
      </c>
      <c r="C91" s="325"/>
      <c r="D91" s="326">
        <v>524000</v>
      </c>
      <c r="E91" s="326" t="s">
        <v>5442</v>
      </c>
      <c r="F91" s="326"/>
      <c r="G91" s="326"/>
      <c r="H91" s="398" t="s">
        <v>5443</v>
      </c>
    </row>
    <row r="92" spans="1:8">
      <c r="A92" s="305"/>
      <c r="B92" s="325"/>
      <c r="C92" s="325"/>
      <c r="D92" s="326"/>
      <c r="E92" s="326"/>
      <c r="F92" s="326"/>
      <c r="G92" s="326"/>
      <c r="H92" s="399"/>
    </row>
    <row r="93" spans="1:8" ht="35.25" customHeight="1">
      <c r="A93" s="253">
        <v>45863</v>
      </c>
      <c r="B93" s="252" t="s">
        <v>5448</v>
      </c>
      <c r="C93" s="250"/>
      <c r="D93" s="251">
        <v>400000</v>
      </c>
      <c r="E93" s="808" t="s">
        <v>5444</v>
      </c>
      <c r="F93" s="722"/>
      <c r="G93" s="723"/>
      <c r="H93" s="249" t="s">
        <v>5449</v>
      </c>
    </row>
    <row r="94" spans="1:8">
      <c r="A94" s="313"/>
      <c r="B94" s="644"/>
      <c r="C94" s="645"/>
      <c r="D94" s="645"/>
      <c r="E94" s="645"/>
      <c r="F94" s="645"/>
      <c r="G94" s="645"/>
      <c r="H94" s="646"/>
    </row>
    <row r="95" spans="1:8" ht="29.25" customHeight="1">
      <c r="A95" s="305"/>
      <c r="B95" s="647"/>
      <c r="C95" s="648"/>
      <c r="D95" s="648"/>
      <c r="E95" s="648"/>
      <c r="F95" s="648"/>
      <c r="G95" s="648"/>
      <c r="H95" s="649"/>
    </row>
    <row r="96" spans="1:8">
      <c r="A96" s="313">
        <v>45865</v>
      </c>
      <c r="B96" s="325" t="s">
        <v>5453</v>
      </c>
      <c r="C96" s="325"/>
      <c r="D96" s="326">
        <v>193000</v>
      </c>
      <c r="E96" s="326" t="s">
        <v>5454</v>
      </c>
      <c r="F96" s="326"/>
      <c r="G96" s="326"/>
      <c r="H96" s="359" t="s">
        <v>5455</v>
      </c>
    </row>
    <row r="97" spans="1:8">
      <c r="A97" s="305"/>
      <c r="B97" s="325"/>
      <c r="C97" s="325"/>
      <c r="D97" s="326"/>
      <c r="E97" s="326"/>
      <c r="F97" s="326"/>
      <c r="G97" s="326"/>
      <c r="H97" s="359"/>
    </row>
    <row r="98" spans="1:8">
      <c r="A98" s="313">
        <v>45866</v>
      </c>
      <c r="B98" s="324" t="s">
        <v>5457</v>
      </c>
      <c r="C98" s="325"/>
      <c r="D98" s="343">
        <v>675000</v>
      </c>
      <c r="E98" s="326" t="s">
        <v>5458</v>
      </c>
      <c r="F98" s="326"/>
      <c r="G98" s="326"/>
      <c r="H98" s="359" t="s">
        <v>5456</v>
      </c>
    </row>
    <row r="99" spans="1:8">
      <c r="A99" s="305"/>
      <c r="B99" s="325"/>
      <c r="C99" s="325"/>
      <c r="D99" s="344"/>
      <c r="E99" s="326"/>
      <c r="F99" s="326"/>
      <c r="G99" s="326"/>
      <c r="H99" s="359"/>
    </row>
    <row r="100" spans="1:8">
      <c r="A100" s="765">
        <v>45866</v>
      </c>
      <c r="B100" s="324" t="s">
        <v>5459</v>
      </c>
      <c r="C100" s="325"/>
      <c r="D100" s="343">
        <v>772000</v>
      </c>
      <c r="E100" s="575" t="s">
        <v>5467</v>
      </c>
      <c r="F100" s="575"/>
      <c r="G100" s="575"/>
      <c r="H100" s="359" t="s">
        <v>5466</v>
      </c>
    </row>
    <row r="101" spans="1:8">
      <c r="A101" s="766"/>
      <c r="B101" s="325"/>
      <c r="C101" s="325"/>
      <c r="D101" s="344"/>
      <c r="E101" s="575"/>
      <c r="F101" s="575"/>
      <c r="G101" s="575"/>
      <c r="H101" s="359"/>
    </row>
    <row r="102" spans="1:8">
      <c r="A102" s="313">
        <v>45867</v>
      </c>
      <c r="B102" s="325" t="s">
        <v>5471</v>
      </c>
      <c r="C102" s="325"/>
      <c r="D102" s="326">
        <v>400000</v>
      </c>
      <c r="E102" s="326" t="s">
        <v>5472</v>
      </c>
      <c r="F102" s="326"/>
      <c r="G102" s="326"/>
      <c r="H102" s="359" t="s">
        <v>5465</v>
      </c>
    </row>
    <row r="103" spans="1:8">
      <c r="A103" s="305"/>
      <c r="B103" s="325"/>
      <c r="C103" s="325"/>
      <c r="D103" s="326"/>
      <c r="E103" s="326"/>
      <c r="F103" s="326"/>
      <c r="G103" s="326"/>
      <c r="H103" s="359"/>
    </row>
    <row r="104" spans="1:8">
      <c r="A104" s="313">
        <v>45868</v>
      </c>
      <c r="B104" s="325" t="s">
        <v>5470</v>
      </c>
      <c r="C104" s="325"/>
      <c r="D104" s="326">
        <v>520000</v>
      </c>
      <c r="E104" s="575" t="s">
        <v>5468</v>
      </c>
      <c r="F104" s="575"/>
      <c r="G104" s="575"/>
      <c r="H104" s="333" t="s">
        <v>5464</v>
      </c>
    </row>
    <row r="105" spans="1:8">
      <c r="A105" s="305"/>
      <c r="B105" s="325"/>
      <c r="C105" s="325"/>
      <c r="D105" s="326"/>
      <c r="E105" s="575"/>
      <c r="F105" s="575"/>
      <c r="G105" s="575"/>
      <c r="H105" s="333"/>
    </row>
    <row r="106" spans="1:8">
      <c r="A106" s="313">
        <v>45869</v>
      </c>
      <c r="B106" s="324" t="s">
        <v>5474</v>
      </c>
      <c r="C106" s="325"/>
      <c r="D106" s="343">
        <v>352000</v>
      </c>
      <c r="E106" s="575" t="s">
        <v>5469</v>
      </c>
      <c r="F106" s="575"/>
      <c r="G106" s="575"/>
      <c r="H106" s="359" t="s">
        <v>5473</v>
      </c>
    </row>
    <row r="107" spans="1:8">
      <c r="A107" s="305"/>
      <c r="B107" s="325"/>
      <c r="C107" s="325"/>
      <c r="D107" s="344"/>
      <c r="E107" s="575"/>
      <c r="F107" s="575"/>
      <c r="G107" s="575"/>
      <c r="H107" s="359"/>
    </row>
    <row r="108" spans="1:8">
      <c r="A108" s="313">
        <v>45868</v>
      </c>
      <c r="B108" s="324" t="s">
        <v>5461</v>
      </c>
      <c r="C108" s="325"/>
      <c r="D108" s="326">
        <v>50000</v>
      </c>
      <c r="E108" s="326" t="s">
        <v>5462</v>
      </c>
      <c r="F108" s="326"/>
      <c r="G108" s="326"/>
      <c r="H108" s="359" t="s">
        <v>5463</v>
      </c>
    </row>
    <row r="109" spans="1:8">
      <c r="A109" s="305"/>
      <c r="B109" s="325"/>
      <c r="C109" s="325"/>
      <c r="D109" s="326"/>
      <c r="E109" s="326"/>
      <c r="F109" s="326"/>
      <c r="G109" s="326"/>
      <c r="H109" s="359"/>
    </row>
    <row r="110" spans="1:8">
      <c r="A110" s="313"/>
      <c r="B110" s="325"/>
      <c r="C110" s="325"/>
      <c r="D110" s="326"/>
      <c r="E110" s="326"/>
      <c r="F110" s="326"/>
      <c r="G110" s="326"/>
      <c r="H110" s="333"/>
    </row>
    <row r="111" spans="1:8">
      <c r="A111" s="305"/>
      <c r="B111" s="325"/>
      <c r="C111" s="325"/>
      <c r="D111" s="326"/>
      <c r="E111" s="326"/>
      <c r="F111" s="326"/>
      <c r="G111" s="326"/>
      <c r="H111" s="333"/>
    </row>
    <row r="114" spans="4:4">
      <c r="D114" s="2">
        <v>51</v>
      </c>
    </row>
  </sheetData>
  <mergeCells count="315">
    <mergeCell ref="A110:A111"/>
    <mergeCell ref="B110:B111"/>
    <mergeCell ref="C110:C111"/>
    <mergeCell ref="D110:D111"/>
    <mergeCell ref="E110:G111"/>
    <mergeCell ref="H110:H111"/>
    <mergeCell ref="A108:A109"/>
    <mergeCell ref="B108:B109"/>
    <mergeCell ref="C108:C109"/>
    <mergeCell ref="D108:D109"/>
    <mergeCell ref="E108:G109"/>
    <mergeCell ref="H108:H109"/>
    <mergeCell ref="A106:A107"/>
    <mergeCell ref="B106:B107"/>
    <mergeCell ref="C106:C107"/>
    <mergeCell ref="D106:D107"/>
    <mergeCell ref="E106:G107"/>
    <mergeCell ref="H106:H107"/>
    <mergeCell ref="A104:A105"/>
    <mergeCell ref="B104:B105"/>
    <mergeCell ref="C104:C105"/>
    <mergeCell ref="D104:D105"/>
    <mergeCell ref="E104:G105"/>
    <mergeCell ref="H104:H105"/>
    <mergeCell ref="E93:G93"/>
    <mergeCell ref="A91:A92"/>
    <mergeCell ref="B91:B92"/>
    <mergeCell ref="C91:C92"/>
    <mergeCell ref="D91:D92"/>
    <mergeCell ref="E91:G92"/>
    <mergeCell ref="H91:H92"/>
    <mergeCell ref="A89:A90"/>
    <mergeCell ref="A102:A103"/>
    <mergeCell ref="B102:B103"/>
    <mergeCell ref="C102:C103"/>
    <mergeCell ref="D102:D103"/>
    <mergeCell ref="E102:G103"/>
    <mergeCell ref="H102:H103"/>
    <mergeCell ref="A100:A101"/>
    <mergeCell ref="B100:B101"/>
    <mergeCell ref="C100:C101"/>
    <mergeCell ref="D100:D101"/>
    <mergeCell ref="E100:G101"/>
    <mergeCell ref="H100:H101"/>
    <mergeCell ref="A98:A99"/>
    <mergeCell ref="B98:B99"/>
    <mergeCell ref="C98:C99"/>
    <mergeCell ref="D98:D99"/>
    <mergeCell ref="E98:G99"/>
    <mergeCell ref="H98:H99"/>
    <mergeCell ref="A94:A95"/>
    <mergeCell ref="B94:H95"/>
    <mergeCell ref="A96:A97"/>
    <mergeCell ref="B96:B97"/>
    <mergeCell ref="C96:C97"/>
    <mergeCell ref="D96:D97"/>
    <mergeCell ref="E96:G97"/>
    <mergeCell ref="H96:H97"/>
    <mergeCell ref="B89:B90"/>
    <mergeCell ref="C89:C90"/>
    <mergeCell ref="D89:D90"/>
    <mergeCell ref="A83:A84"/>
    <mergeCell ref="B83:B84"/>
    <mergeCell ref="C83:C84"/>
    <mergeCell ref="D83:D84"/>
    <mergeCell ref="E83:G84"/>
    <mergeCell ref="H83:H84"/>
    <mergeCell ref="A87:A88"/>
    <mergeCell ref="B87:B88"/>
    <mergeCell ref="C87:C88"/>
    <mergeCell ref="D87:D88"/>
    <mergeCell ref="E87:G88"/>
    <mergeCell ref="H87:H88"/>
    <mergeCell ref="A85:A86"/>
    <mergeCell ref="B85:B86"/>
    <mergeCell ref="C85:C86"/>
    <mergeCell ref="D85:D86"/>
    <mergeCell ref="E85:G86"/>
    <mergeCell ref="H85:H86"/>
    <mergeCell ref="E89:G90"/>
    <mergeCell ref="H89:H90"/>
    <mergeCell ref="A81:A82"/>
    <mergeCell ref="B81:B82"/>
    <mergeCell ref="C81:C82"/>
    <mergeCell ref="D81:D82"/>
    <mergeCell ref="E81:G82"/>
    <mergeCell ref="H81:H82"/>
    <mergeCell ref="A79:A80"/>
    <mergeCell ref="H79:H80"/>
    <mergeCell ref="A77:A78"/>
    <mergeCell ref="B77:B78"/>
    <mergeCell ref="C77:C78"/>
    <mergeCell ref="D77:D78"/>
    <mergeCell ref="E77:G78"/>
    <mergeCell ref="H77:H78"/>
    <mergeCell ref="B79:G80"/>
    <mergeCell ref="A75:A76"/>
    <mergeCell ref="B75:B76"/>
    <mergeCell ref="C75:C76"/>
    <mergeCell ref="D75:D76"/>
    <mergeCell ref="E75:G76"/>
    <mergeCell ref="H75:H76"/>
    <mergeCell ref="A73:A74"/>
    <mergeCell ref="B73:B74"/>
    <mergeCell ref="C73:C74"/>
    <mergeCell ref="D73:D74"/>
    <mergeCell ref="E73:G74"/>
    <mergeCell ref="H73:H74"/>
    <mergeCell ref="A71:A72"/>
    <mergeCell ref="B71:B72"/>
    <mergeCell ref="C71:C72"/>
    <mergeCell ref="D71:D72"/>
    <mergeCell ref="E71:G72"/>
    <mergeCell ref="H71:H72"/>
    <mergeCell ref="A69:A70"/>
    <mergeCell ref="B69:B70"/>
    <mergeCell ref="C69:C70"/>
    <mergeCell ref="D69:D70"/>
    <mergeCell ref="E69:G70"/>
    <mergeCell ref="H69:H70"/>
    <mergeCell ref="A67:A68"/>
    <mergeCell ref="B67:B68"/>
    <mergeCell ref="C67:C68"/>
    <mergeCell ref="D67:D68"/>
    <mergeCell ref="E67:G68"/>
    <mergeCell ref="H67:H68"/>
    <mergeCell ref="A65:A66"/>
    <mergeCell ref="B65:B66"/>
    <mergeCell ref="C65:C66"/>
    <mergeCell ref="D65:D66"/>
    <mergeCell ref="E65:G66"/>
    <mergeCell ref="H65:H66"/>
    <mergeCell ref="A63:A64"/>
    <mergeCell ref="B63:B64"/>
    <mergeCell ref="C63:C64"/>
    <mergeCell ref="D63:D64"/>
    <mergeCell ref="E63:G64"/>
    <mergeCell ref="H63:H64"/>
    <mergeCell ref="A61:A62"/>
    <mergeCell ref="B61:B62"/>
    <mergeCell ref="C61:C62"/>
    <mergeCell ref="D61:D62"/>
    <mergeCell ref="E61:G62"/>
    <mergeCell ref="H61:H62"/>
    <mergeCell ref="A59:A60"/>
    <mergeCell ref="B59:B60"/>
    <mergeCell ref="C59:C60"/>
    <mergeCell ref="D59:D60"/>
    <mergeCell ref="E59:G60"/>
    <mergeCell ref="H59:H60"/>
    <mergeCell ref="A57:A58"/>
    <mergeCell ref="B57:B58"/>
    <mergeCell ref="C57:C58"/>
    <mergeCell ref="D57:D58"/>
    <mergeCell ref="E57:G58"/>
    <mergeCell ref="H57:H58"/>
    <mergeCell ref="A55:A56"/>
    <mergeCell ref="B55:B56"/>
    <mergeCell ref="C55:C56"/>
    <mergeCell ref="D55:D56"/>
    <mergeCell ref="E55:G56"/>
    <mergeCell ref="H55:H56"/>
    <mergeCell ref="A53:A54"/>
    <mergeCell ref="B53:B54"/>
    <mergeCell ref="C53:C54"/>
    <mergeCell ref="D53:D54"/>
    <mergeCell ref="E53:G54"/>
    <mergeCell ref="H53:H54"/>
    <mergeCell ref="A51:A52"/>
    <mergeCell ref="B51:B52"/>
    <mergeCell ref="C51:C52"/>
    <mergeCell ref="D51:D52"/>
    <mergeCell ref="E51:G52"/>
    <mergeCell ref="H51:H52"/>
    <mergeCell ref="E48:G48"/>
    <mergeCell ref="A49:A50"/>
    <mergeCell ref="B49:B50"/>
    <mergeCell ref="C49:C50"/>
    <mergeCell ref="D49:D50"/>
    <mergeCell ref="E49:G50"/>
    <mergeCell ref="A46:A47"/>
    <mergeCell ref="B46:B47"/>
    <mergeCell ref="C46:C47"/>
    <mergeCell ref="D46:D47"/>
    <mergeCell ref="E46:G47"/>
    <mergeCell ref="H46:H47"/>
    <mergeCell ref="A44:A45"/>
    <mergeCell ref="B44:H45"/>
    <mergeCell ref="H49:H50"/>
    <mergeCell ref="A42:A43"/>
    <mergeCell ref="B42:B43"/>
    <mergeCell ref="C42:C43"/>
    <mergeCell ref="D42:D43"/>
    <mergeCell ref="E42:G43"/>
    <mergeCell ref="H42:H43"/>
    <mergeCell ref="A40:A41"/>
    <mergeCell ref="B40:B41"/>
    <mergeCell ref="C40:C41"/>
    <mergeCell ref="D40:D41"/>
    <mergeCell ref="E40:G41"/>
    <mergeCell ref="H40:H41"/>
    <mergeCell ref="A38:A39"/>
    <mergeCell ref="B38:B39"/>
    <mergeCell ref="C38:C39"/>
    <mergeCell ref="D38:D39"/>
    <mergeCell ref="E38:G39"/>
    <mergeCell ref="H38:H39"/>
    <mergeCell ref="H34:H35"/>
    <mergeCell ref="A36:A37"/>
    <mergeCell ref="B36:B37"/>
    <mergeCell ref="C36:C37"/>
    <mergeCell ref="D36:D37"/>
    <mergeCell ref="E36:G37"/>
    <mergeCell ref="H36:H37"/>
    <mergeCell ref="E33:G33"/>
    <mergeCell ref="A34:A35"/>
    <mergeCell ref="B34:B35"/>
    <mergeCell ref="C34:C35"/>
    <mergeCell ref="D34:D35"/>
    <mergeCell ref="E34:G35"/>
    <mergeCell ref="A31:A32"/>
    <mergeCell ref="B31:B32"/>
    <mergeCell ref="C31:C32"/>
    <mergeCell ref="D31:D32"/>
    <mergeCell ref="E31:G32"/>
    <mergeCell ref="H31:H32"/>
    <mergeCell ref="A29:A30"/>
    <mergeCell ref="B29:B30"/>
    <mergeCell ref="C29:C30"/>
    <mergeCell ref="D29:D30"/>
    <mergeCell ref="E29:G30"/>
    <mergeCell ref="H29:H30"/>
    <mergeCell ref="A27:A28"/>
    <mergeCell ref="B27:H28"/>
    <mergeCell ref="A25:A26"/>
    <mergeCell ref="B25:B26"/>
    <mergeCell ref="C25:C26"/>
    <mergeCell ref="D25:D26"/>
    <mergeCell ref="E25:G26"/>
    <mergeCell ref="H25:H26"/>
    <mergeCell ref="A23:A24"/>
    <mergeCell ref="B23:B24"/>
    <mergeCell ref="C23:C24"/>
    <mergeCell ref="D23:D24"/>
    <mergeCell ref="E23:G24"/>
    <mergeCell ref="H23:H24"/>
    <mergeCell ref="A21:A22"/>
    <mergeCell ref="B21:B22"/>
    <mergeCell ref="C21:C22"/>
    <mergeCell ref="D21:D22"/>
    <mergeCell ref="E21:G22"/>
    <mergeCell ref="H21:H22"/>
    <mergeCell ref="A19:A20"/>
    <mergeCell ref="B19:B20"/>
    <mergeCell ref="C19:C20"/>
    <mergeCell ref="D19:D20"/>
    <mergeCell ref="E19:G20"/>
    <mergeCell ref="H19:H20"/>
    <mergeCell ref="A17:A18"/>
    <mergeCell ref="B17:B18"/>
    <mergeCell ref="C17:C18"/>
    <mergeCell ref="D17:D18"/>
    <mergeCell ref="E17:G18"/>
    <mergeCell ref="H17:H18"/>
    <mergeCell ref="H13:H14"/>
    <mergeCell ref="A15:A16"/>
    <mergeCell ref="B15:B16"/>
    <mergeCell ref="C15:C16"/>
    <mergeCell ref="D15:D16"/>
    <mergeCell ref="E15:G16"/>
    <mergeCell ref="H15:H16"/>
    <mergeCell ref="E12:G12"/>
    <mergeCell ref="A13:A14"/>
    <mergeCell ref="B13:B14"/>
    <mergeCell ref="C13:C14"/>
    <mergeCell ref="D13:D14"/>
    <mergeCell ref="E13:G14"/>
    <mergeCell ref="A10:A11"/>
    <mergeCell ref="B10:B11"/>
    <mergeCell ref="C10:C11"/>
    <mergeCell ref="D10:D11"/>
    <mergeCell ref="E10:G11"/>
    <mergeCell ref="H10:H11"/>
    <mergeCell ref="A8:A9"/>
    <mergeCell ref="B8:B9"/>
    <mergeCell ref="C8:C9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A3:H3"/>
    <mergeCell ref="A4:A5"/>
    <mergeCell ref="B4:B5"/>
    <mergeCell ref="C4:C5"/>
    <mergeCell ref="D4:D5"/>
    <mergeCell ref="E4:G5"/>
    <mergeCell ref="H4:H5"/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</mergeCells>
  <phoneticPr fontId="1" type="noConversion"/>
  <pageMargins left="0" right="0" top="0" bottom="0" header="0" footer="0"/>
  <pageSetup paperSize="9" scale="36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05"/>
  <sheetViews>
    <sheetView showGridLines="0" zoomScale="115" zoomScaleNormal="115" workbookViewId="0">
      <pane xSplit="8" ySplit="2" topLeftCell="I48" activePane="bottomRight" state="frozen"/>
      <selection pane="topRight" activeCell="I1" sqref="I1"/>
      <selection pane="bottomLeft" activeCell="A3" sqref="A3"/>
      <selection pane="bottomRight" activeCell="B73" sqref="B73:G74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9" max="9" width="8.625" customWidth="1"/>
    <col min="10" max="10" width="13.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  <col min="18" max="18" width="9.5" bestFit="1" customWidth="1"/>
  </cols>
  <sheetData>
    <row r="1" spans="1:18" ht="35.25" customHeight="1" thickBot="1">
      <c r="A1" s="388" t="s">
        <v>5475</v>
      </c>
      <c r="B1" s="389"/>
      <c r="C1" s="402" t="s">
        <v>27</v>
      </c>
      <c r="D1" s="403"/>
      <c r="E1" s="21" t="s">
        <v>26</v>
      </c>
      <c r="F1" s="20">
        <f>H1/31</f>
        <v>443774.19354838709</v>
      </c>
      <c r="G1" s="21" t="s">
        <v>4</v>
      </c>
      <c r="H1" s="22">
        <f>SUM(D4:D105)</f>
        <v>13757000</v>
      </c>
      <c r="I1" s="392"/>
      <c r="J1" s="338"/>
      <c r="K1" s="394"/>
      <c r="L1" s="396"/>
      <c r="M1" s="377"/>
      <c r="N1" s="379"/>
      <c r="O1" s="381"/>
      <c r="P1" s="383"/>
      <c r="Q1" s="377"/>
      <c r="R1" s="376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385" t="s">
        <v>25</v>
      </c>
      <c r="F2" s="386"/>
      <c r="G2" s="387"/>
      <c r="H2" s="25" t="s">
        <v>5</v>
      </c>
      <c r="I2" s="393"/>
      <c r="J2" s="333"/>
      <c r="K2" s="395"/>
      <c r="L2" s="397"/>
      <c r="M2" s="378"/>
      <c r="N2" s="380"/>
      <c r="O2" s="382"/>
      <c r="P2" s="384"/>
      <c r="Q2" s="378"/>
      <c r="R2" s="376"/>
    </row>
    <row r="3" spans="1:18" ht="57.75" customHeight="1">
      <c r="A3" s="441" t="s">
        <v>5370</v>
      </c>
      <c r="B3" s="442"/>
      <c r="C3" s="442"/>
      <c r="D3" s="442"/>
      <c r="E3" s="442"/>
      <c r="F3" s="442"/>
      <c r="G3" s="442"/>
      <c r="H3" s="443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322">
        <v>45874</v>
      </c>
      <c r="B4" s="341" t="s">
        <v>5476</v>
      </c>
      <c r="C4" s="341"/>
      <c r="D4" s="326">
        <v>200000</v>
      </c>
      <c r="E4" s="562" t="s">
        <v>3516</v>
      </c>
      <c r="F4" s="582"/>
      <c r="G4" s="583"/>
      <c r="H4" s="398" t="s">
        <v>5477</v>
      </c>
      <c r="J4" s="43"/>
    </row>
    <row r="5" spans="1:18" ht="16.5" customHeight="1">
      <c r="A5" s="323"/>
      <c r="B5" s="342"/>
      <c r="C5" s="342"/>
      <c r="D5" s="326"/>
      <c r="E5" s="584"/>
      <c r="F5" s="585"/>
      <c r="G5" s="586"/>
      <c r="H5" s="399"/>
      <c r="J5" s="43"/>
    </row>
    <row r="6" spans="1:18" ht="16.5" customHeight="1">
      <c r="A6" s="322">
        <v>45875</v>
      </c>
      <c r="B6" s="341"/>
      <c r="C6" s="341"/>
      <c r="D6" s="343">
        <v>420000</v>
      </c>
      <c r="E6" s="562" t="s">
        <v>5514</v>
      </c>
      <c r="F6" s="563"/>
      <c r="G6" s="564"/>
      <c r="H6" s="610"/>
    </row>
    <row r="7" spans="1:18" ht="51" customHeight="1">
      <c r="A7" s="323"/>
      <c r="B7" s="342"/>
      <c r="C7" s="342"/>
      <c r="D7" s="344"/>
      <c r="E7" s="565"/>
      <c r="F7" s="566"/>
      <c r="G7" s="567"/>
      <c r="H7" s="611"/>
    </row>
    <row r="8" spans="1:18" ht="16.5" customHeight="1">
      <c r="A8" s="322">
        <v>45875</v>
      </c>
      <c r="B8" s="324" t="s">
        <v>4612</v>
      </c>
      <c r="C8" s="341"/>
      <c r="D8" s="326">
        <v>300000</v>
      </c>
      <c r="E8" s="327" t="s">
        <v>5512</v>
      </c>
      <c r="F8" s="328"/>
      <c r="G8" s="329"/>
      <c r="H8" s="350" t="s">
        <v>5513</v>
      </c>
      <c r="J8" s="48"/>
    </row>
    <row r="9" spans="1:18" ht="33.75" customHeight="1">
      <c r="A9" s="323"/>
      <c r="B9" s="325"/>
      <c r="C9" s="342"/>
      <c r="D9" s="326"/>
      <c r="E9" s="330"/>
      <c r="F9" s="331"/>
      <c r="G9" s="332"/>
      <c r="H9" s="351"/>
    </row>
    <row r="10" spans="1:18" ht="16.5" customHeight="1">
      <c r="A10" s="322">
        <v>45876</v>
      </c>
      <c r="B10" s="324" t="s">
        <v>5478</v>
      </c>
      <c r="C10" s="341"/>
      <c r="D10" s="326">
        <v>350000</v>
      </c>
      <c r="E10" s="327" t="s">
        <v>5479</v>
      </c>
      <c r="F10" s="328"/>
      <c r="G10" s="329"/>
      <c r="H10" s="398" t="s">
        <v>5482</v>
      </c>
    </row>
    <row r="11" spans="1:18" ht="26.25" customHeight="1">
      <c r="A11" s="323"/>
      <c r="B11" s="325"/>
      <c r="C11" s="342"/>
      <c r="D11" s="326"/>
      <c r="E11" s="330"/>
      <c r="F11" s="331"/>
      <c r="G11" s="332"/>
      <c r="H11" s="399"/>
    </row>
    <row r="12" spans="1:18" ht="45" customHeight="1">
      <c r="A12" s="256">
        <v>45876</v>
      </c>
      <c r="B12" s="260" t="s">
        <v>5480</v>
      </c>
      <c r="C12" s="260"/>
      <c r="D12" s="261">
        <v>760000</v>
      </c>
      <c r="E12" s="650" t="s">
        <v>5511</v>
      </c>
      <c r="F12" s="628"/>
      <c r="G12" s="629"/>
      <c r="H12" s="98" t="s">
        <v>5481</v>
      </c>
    </row>
    <row r="13" spans="1:18">
      <c r="A13" s="322">
        <v>45877</v>
      </c>
      <c r="B13" s="324" t="s">
        <v>5483</v>
      </c>
      <c r="C13" s="325"/>
      <c r="D13" s="326">
        <v>800000</v>
      </c>
      <c r="E13" s="337" t="s">
        <v>5511</v>
      </c>
      <c r="F13" s="326"/>
      <c r="G13" s="326"/>
      <c r="H13" s="398" t="s">
        <v>5510</v>
      </c>
    </row>
    <row r="14" spans="1:18" ht="42.75" customHeight="1">
      <c r="A14" s="323"/>
      <c r="B14" s="325"/>
      <c r="C14" s="325"/>
      <c r="D14" s="326"/>
      <c r="E14" s="326"/>
      <c r="F14" s="326"/>
      <c r="G14" s="326"/>
      <c r="H14" s="399"/>
    </row>
    <row r="15" spans="1:18">
      <c r="A15" s="322">
        <v>45877</v>
      </c>
      <c r="B15" s="325"/>
      <c r="C15" s="325"/>
      <c r="D15" s="326">
        <v>470000</v>
      </c>
      <c r="E15" s="337"/>
      <c r="F15" s="326"/>
      <c r="G15" s="326"/>
      <c r="H15" s="359"/>
    </row>
    <row r="16" spans="1:18" ht="30.75" customHeight="1">
      <c r="A16" s="323"/>
      <c r="B16" s="325"/>
      <c r="C16" s="325"/>
      <c r="D16" s="326"/>
      <c r="E16" s="326"/>
      <c r="F16" s="326"/>
      <c r="G16" s="326"/>
      <c r="H16" s="359"/>
    </row>
    <row r="17" spans="1:8">
      <c r="A17" s="322">
        <v>45878</v>
      </c>
      <c r="B17" s="322" t="s">
        <v>5486</v>
      </c>
      <c r="C17" s="325"/>
      <c r="D17" s="343">
        <v>1250000</v>
      </c>
      <c r="E17" s="574" t="s">
        <v>5487</v>
      </c>
      <c r="F17" s="575"/>
      <c r="G17" s="575"/>
      <c r="H17" s="359" t="s">
        <v>5485</v>
      </c>
    </row>
    <row r="18" spans="1:8" ht="28.5" customHeight="1">
      <c r="A18" s="323"/>
      <c r="B18" s="323"/>
      <c r="C18" s="325"/>
      <c r="D18" s="344"/>
      <c r="E18" s="575"/>
      <c r="F18" s="575"/>
      <c r="G18" s="575"/>
      <c r="H18" s="359"/>
    </row>
    <row r="19" spans="1:8" ht="16.5" customHeight="1">
      <c r="A19" s="336"/>
      <c r="B19" s="568" t="s">
        <v>5509</v>
      </c>
      <c r="C19" s="569"/>
      <c r="D19" s="569"/>
      <c r="E19" s="569"/>
      <c r="F19" s="569"/>
      <c r="G19" s="569"/>
      <c r="H19" s="570"/>
    </row>
    <row r="20" spans="1:8" ht="38.25" customHeight="1">
      <c r="A20" s="323"/>
      <c r="B20" s="571"/>
      <c r="C20" s="572"/>
      <c r="D20" s="572"/>
      <c r="E20" s="572"/>
      <c r="F20" s="572"/>
      <c r="G20" s="572"/>
      <c r="H20" s="573"/>
    </row>
    <row r="21" spans="1:8">
      <c r="A21" s="322">
        <v>45880</v>
      </c>
      <c r="B21" s="324" t="s">
        <v>5484</v>
      </c>
      <c r="C21" s="325"/>
      <c r="D21" s="343">
        <v>590000</v>
      </c>
      <c r="E21" s="574" t="s">
        <v>5492</v>
      </c>
      <c r="F21" s="575"/>
      <c r="G21" s="575"/>
      <c r="H21" s="359" t="s">
        <v>5488</v>
      </c>
    </row>
    <row r="22" spans="1:8" ht="21.75" customHeight="1">
      <c r="A22" s="323"/>
      <c r="B22" s="325"/>
      <c r="C22" s="325"/>
      <c r="D22" s="344"/>
      <c r="E22" s="575"/>
      <c r="F22" s="575"/>
      <c r="G22" s="575"/>
      <c r="H22" s="359"/>
    </row>
    <row r="23" spans="1:8" ht="16.5" customHeight="1">
      <c r="A23" s="322">
        <v>45882</v>
      </c>
      <c r="B23" s="324" t="s">
        <v>5491</v>
      </c>
      <c r="C23" s="325"/>
      <c r="D23" s="326">
        <v>900000</v>
      </c>
      <c r="E23" s="575" t="s">
        <v>5492</v>
      </c>
      <c r="F23" s="575"/>
      <c r="G23" s="575"/>
      <c r="H23" s="359" t="s">
        <v>5488</v>
      </c>
    </row>
    <row r="24" spans="1:8" ht="16.5" customHeight="1">
      <c r="A24" s="323"/>
      <c r="B24" s="325"/>
      <c r="C24" s="325"/>
      <c r="D24" s="326"/>
      <c r="E24" s="575"/>
      <c r="F24" s="575"/>
      <c r="G24" s="575"/>
      <c r="H24" s="359"/>
    </row>
    <row r="25" spans="1:8" ht="16.5" customHeight="1">
      <c r="A25" s="322">
        <v>45882</v>
      </c>
      <c r="B25" s="324" t="s">
        <v>5494</v>
      </c>
      <c r="C25" s="325"/>
      <c r="D25" s="326">
        <v>53000</v>
      </c>
      <c r="E25" s="327" t="s">
        <v>5493</v>
      </c>
      <c r="F25" s="328"/>
      <c r="G25" s="329"/>
      <c r="H25" s="359" t="s">
        <v>5489</v>
      </c>
    </row>
    <row r="26" spans="1:8" ht="16.5" customHeight="1">
      <c r="A26" s="323"/>
      <c r="B26" s="325"/>
      <c r="C26" s="325"/>
      <c r="D26" s="326"/>
      <c r="E26" s="330"/>
      <c r="F26" s="331"/>
      <c r="G26" s="332"/>
      <c r="H26" s="359"/>
    </row>
    <row r="27" spans="1:8">
      <c r="A27" s="322">
        <v>45882</v>
      </c>
      <c r="B27" s="325" t="s">
        <v>5497</v>
      </c>
      <c r="C27" s="325"/>
      <c r="D27" s="326">
        <v>187000</v>
      </c>
      <c r="E27" s="326" t="s">
        <v>5498</v>
      </c>
      <c r="F27" s="326"/>
      <c r="G27" s="326"/>
      <c r="H27" s="359" t="s">
        <v>5496</v>
      </c>
    </row>
    <row r="28" spans="1:8">
      <c r="A28" s="323"/>
      <c r="B28" s="325"/>
      <c r="C28" s="325"/>
      <c r="D28" s="326"/>
      <c r="E28" s="326"/>
      <c r="F28" s="326"/>
      <c r="G28" s="326"/>
      <c r="H28" s="359"/>
    </row>
    <row r="29" spans="1:8" ht="33" customHeight="1">
      <c r="A29" s="256">
        <v>45883</v>
      </c>
      <c r="B29" s="258" t="s">
        <v>5490</v>
      </c>
      <c r="C29" s="258"/>
      <c r="D29" s="259">
        <v>560000</v>
      </c>
      <c r="E29" s="808" t="s">
        <v>5499</v>
      </c>
      <c r="F29" s="722"/>
      <c r="G29" s="723"/>
      <c r="H29" s="262" t="s">
        <v>5488</v>
      </c>
    </row>
    <row r="30" spans="1:8" ht="17.25" customHeight="1">
      <c r="A30" s="322">
        <v>45883</v>
      </c>
      <c r="B30" s="325" t="s">
        <v>5495</v>
      </c>
      <c r="C30" s="325"/>
      <c r="D30" s="326">
        <v>600000</v>
      </c>
      <c r="E30" s="337" t="s">
        <v>5493</v>
      </c>
      <c r="F30" s="326"/>
      <c r="G30" s="326"/>
      <c r="H30" s="359" t="s">
        <v>5488</v>
      </c>
    </row>
    <row r="31" spans="1:8" ht="24.75" customHeight="1">
      <c r="A31" s="323"/>
      <c r="B31" s="325"/>
      <c r="C31" s="325"/>
      <c r="D31" s="326"/>
      <c r="E31" s="326"/>
      <c r="F31" s="326"/>
      <c r="G31" s="326"/>
      <c r="H31" s="359"/>
    </row>
    <row r="32" spans="1:8">
      <c r="A32" s="322">
        <v>45884</v>
      </c>
      <c r="B32" s="325" t="s">
        <v>5500</v>
      </c>
      <c r="C32" s="325"/>
      <c r="D32" s="326">
        <v>750000</v>
      </c>
      <c r="E32" s="574" t="s">
        <v>5501</v>
      </c>
      <c r="F32" s="575"/>
      <c r="G32" s="575"/>
      <c r="H32" s="359" t="s">
        <v>5502</v>
      </c>
    </row>
    <row r="33" spans="1:10">
      <c r="A33" s="323"/>
      <c r="B33" s="325"/>
      <c r="C33" s="325"/>
      <c r="D33" s="326"/>
      <c r="E33" s="575"/>
      <c r="F33" s="575"/>
      <c r="G33" s="575"/>
      <c r="H33" s="359"/>
    </row>
    <row r="34" spans="1:10">
      <c r="A34" s="322">
        <v>45885</v>
      </c>
      <c r="B34" s="325" t="s">
        <v>5503</v>
      </c>
      <c r="C34" s="325"/>
      <c r="D34" s="326">
        <v>140000</v>
      </c>
      <c r="E34" s="326" t="s">
        <v>5511</v>
      </c>
      <c r="F34" s="326"/>
      <c r="G34" s="326"/>
      <c r="H34" s="359" t="s">
        <v>5504</v>
      </c>
    </row>
    <row r="35" spans="1:10">
      <c r="A35" s="323"/>
      <c r="B35" s="325"/>
      <c r="C35" s="325"/>
      <c r="D35" s="326"/>
      <c r="E35" s="326"/>
      <c r="F35" s="326"/>
      <c r="G35" s="326"/>
      <c r="H35" s="359"/>
      <c r="J35" s="48"/>
    </row>
    <row r="36" spans="1:10">
      <c r="A36" s="322">
        <v>45885</v>
      </c>
      <c r="B36" s="325" t="s">
        <v>5503</v>
      </c>
      <c r="C36" s="325"/>
      <c r="D36" s="326">
        <v>800000</v>
      </c>
      <c r="E36" s="326" t="s">
        <v>5511</v>
      </c>
      <c r="F36" s="326"/>
      <c r="G36" s="326"/>
      <c r="H36" s="359" t="s">
        <v>5505</v>
      </c>
      <c r="J36" s="48"/>
    </row>
    <row r="37" spans="1:10">
      <c r="A37" s="323"/>
      <c r="B37" s="325"/>
      <c r="C37" s="325"/>
      <c r="D37" s="326"/>
      <c r="E37" s="326"/>
      <c r="F37" s="326"/>
      <c r="G37" s="326"/>
      <c r="H37" s="359"/>
      <c r="J37" s="48"/>
    </row>
    <row r="38" spans="1:10" ht="17.25" customHeight="1">
      <c r="A38" s="322"/>
      <c r="B38" s="924" t="s">
        <v>5515</v>
      </c>
      <c r="C38" s="925"/>
      <c r="D38" s="925"/>
      <c r="E38" s="925"/>
      <c r="F38" s="925"/>
      <c r="G38" s="925"/>
      <c r="H38" s="926"/>
      <c r="J38" s="48"/>
    </row>
    <row r="39" spans="1:10" ht="32.25" customHeight="1">
      <c r="A39" s="323"/>
      <c r="B39" s="927"/>
      <c r="C39" s="928"/>
      <c r="D39" s="928"/>
      <c r="E39" s="928"/>
      <c r="F39" s="928"/>
      <c r="G39" s="928"/>
      <c r="H39" s="929"/>
      <c r="J39" s="48"/>
    </row>
    <row r="40" spans="1:10" ht="17.25" customHeight="1">
      <c r="A40" s="322">
        <v>45888</v>
      </c>
      <c r="B40" s="325" t="s">
        <v>5506</v>
      </c>
      <c r="C40" s="325"/>
      <c r="D40" s="326">
        <v>560000</v>
      </c>
      <c r="E40" s="930" t="s">
        <v>5507</v>
      </c>
      <c r="F40" s="575"/>
      <c r="G40" s="575"/>
      <c r="H40" s="333" t="s">
        <v>5508</v>
      </c>
      <c r="J40" s="48"/>
    </row>
    <row r="41" spans="1:10" ht="17.25" customHeight="1">
      <c r="A41" s="323"/>
      <c r="B41" s="325"/>
      <c r="C41" s="325"/>
      <c r="D41" s="326"/>
      <c r="E41" s="575"/>
      <c r="F41" s="575"/>
      <c r="G41" s="575"/>
      <c r="H41" s="333"/>
      <c r="J41" s="48"/>
    </row>
    <row r="42" spans="1:10" ht="31.5" customHeight="1">
      <c r="A42" s="256">
        <v>45889</v>
      </c>
      <c r="B42" s="258"/>
      <c r="C42" s="258"/>
      <c r="D42" s="259">
        <v>720000</v>
      </c>
      <c r="E42" s="627" t="s">
        <v>5518</v>
      </c>
      <c r="F42" s="628"/>
      <c r="G42" s="629"/>
      <c r="H42" s="263" t="s">
        <v>5517</v>
      </c>
      <c r="J42" s="48"/>
    </row>
    <row r="43" spans="1:10">
      <c r="A43" s="322">
        <v>45890</v>
      </c>
      <c r="B43" s="325"/>
      <c r="C43" s="325"/>
      <c r="D43" s="326">
        <v>180000</v>
      </c>
      <c r="E43" s="326" t="s">
        <v>5519</v>
      </c>
      <c r="F43" s="326"/>
      <c r="G43" s="326"/>
      <c r="H43" s="359" t="s">
        <v>5516</v>
      </c>
      <c r="J43" s="48"/>
    </row>
    <row r="44" spans="1:10">
      <c r="A44" s="323"/>
      <c r="B44" s="325"/>
      <c r="C44" s="325"/>
      <c r="D44" s="326"/>
      <c r="E44" s="326"/>
      <c r="F44" s="326"/>
      <c r="G44" s="326"/>
      <c r="H44" s="359"/>
      <c r="J44" s="48"/>
    </row>
    <row r="45" spans="1:10" ht="17.25" customHeight="1">
      <c r="A45" s="322">
        <v>45892</v>
      </c>
      <c r="B45" s="325"/>
      <c r="C45" s="325"/>
      <c r="D45" s="343">
        <v>280000</v>
      </c>
      <c r="E45" s="326" t="s">
        <v>5520</v>
      </c>
      <c r="F45" s="326"/>
      <c r="G45" s="326"/>
      <c r="H45" s="359" t="s">
        <v>5517</v>
      </c>
      <c r="J45" s="48"/>
    </row>
    <row r="46" spans="1:10" ht="17.25" customHeight="1">
      <c r="A46" s="323"/>
      <c r="B46" s="325"/>
      <c r="C46" s="325"/>
      <c r="D46" s="344"/>
      <c r="E46" s="326"/>
      <c r="F46" s="326"/>
      <c r="G46" s="326"/>
      <c r="H46" s="359"/>
      <c r="J46" s="48"/>
    </row>
    <row r="47" spans="1:10">
      <c r="A47" s="322"/>
      <c r="B47" s="884" t="s">
        <v>5521</v>
      </c>
      <c r="C47" s="671"/>
      <c r="D47" s="671"/>
      <c r="E47" s="671"/>
      <c r="F47" s="671"/>
      <c r="G47" s="671"/>
      <c r="H47" s="672"/>
      <c r="J47" s="48"/>
    </row>
    <row r="48" spans="1:10" ht="36" customHeight="1">
      <c r="A48" s="323"/>
      <c r="B48" s="673"/>
      <c r="C48" s="674"/>
      <c r="D48" s="674"/>
      <c r="E48" s="674"/>
      <c r="F48" s="674"/>
      <c r="G48" s="674"/>
      <c r="H48" s="675"/>
      <c r="J48" s="48"/>
    </row>
    <row r="49" spans="1:10">
      <c r="A49" s="322">
        <v>45894</v>
      </c>
      <c r="B49" s="325" t="s">
        <v>5524</v>
      </c>
      <c r="C49" s="325"/>
      <c r="D49" s="343">
        <v>420000</v>
      </c>
      <c r="E49" s="326" t="s">
        <v>5523</v>
      </c>
      <c r="F49" s="326"/>
      <c r="G49" s="326"/>
      <c r="H49" s="359" t="s">
        <v>5537</v>
      </c>
      <c r="J49" s="48"/>
    </row>
    <row r="50" spans="1:10">
      <c r="A50" s="323"/>
      <c r="B50" s="325"/>
      <c r="C50" s="325"/>
      <c r="D50" s="344"/>
      <c r="E50" s="326"/>
      <c r="F50" s="326"/>
      <c r="G50" s="326"/>
      <c r="H50" s="359"/>
      <c r="J50" s="48"/>
    </row>
    <row r="51" spans="1:10">
      <c r="A51" s="322">
        <v>45895</v>
      </c>
      <c r="B51" s="325"/>
      <c r="C51" s="325"/>
      <c r="D51" s="343">
        <v>180000</v>
      </c>
      <c r="E51" s="326" t="s">
        <v>5522</v>
      </c>
      <c r="F51" s="326"/>
      <c r="G51" s="326"/>
      <c r="H51" s="359"/>
      <c r="J51" s="48"/>
    </row>
    <row r="52" spans="1:10">
      <c r="A52" s="323"/>
      <c r="B52" s="325"/>
      <c r="C52" s="325"/>
      <c r="D52" s="344"/>
      <c r="E52" s="326"/>
      <c r="F52" s="326"/>
      <c r="G52" s="326"/>
      <c r="H52" s="359"/>
      <c r="J52" s="48"/>
    </row>
    <row r="53" spans="1:10">
      <c r="A53" s="322">
        <v>45896</v>
      </c>
      <c r="B53" s="325" t="s">
        <v>5531</v>
      </c>
      <c r="C53" s="325"/>
      <c r="D53" s="326">
        <v>130000</v>
      </c>
      <c r="E53" s="326"/>
      <c r="F53" s="326"/>
      <c r="G53" s="326"/>
      <c r="H53" s="359" t="s">
        <v>5536</v>
      </c>
    </row>
    <row r="54" spans="1:10">
      <c r="A54" s="323"/>
      <c r="B54" s="325"/>
      <c r="C54" s="325"/>
      <c r="D54" s="326"/>
      <c r="E54" s="326"/>
      <c r="F54" s="326"/>
      <c r="G54" s="326"/>
      <c r="H54" s="359"/>
    </row>
    <row r="55" spans="1:10">
      <c r="A55" s="313">
        <v>45896</v>
      </c>
      <c r="B55" s="325" t="s">
        <v>5531</v>
      </c>
      <c r="C55" s="325"/>
      <c r="D55" s="326">
        <v>117000</v>
      </c>
      <c r="E55" s="326"/>
      <c r="F55" s="326"/>
      <c r="G55" s="326"/>
      <c r="H55" s="359" t="s">
        <v>5534</v>
      </c>
    </row>
    <row r="56" spans="1:10">
      <c r="A56" s="305"/>
      <c r="B56" s="325"/>
      <c r="C56" s="325"/>
      <c r="D56" s="326"/>
      <c r="E56" s="326"/>
      <c r="F56" s="326"/>
      <c r="G56" s="326"/>
      <c r="H56" s="359"/>
    </row>
    <row r="57" spans="1:10">
      <c r="A57" s="313">
        <v>45898</v>
      </c>
      <c r="B57" s="325" t="s">
        <v>5527</v>
      </c>
      <c r="C57" s="325"/>
      <c r="D57" s="326">
        <v>1000000</v>
      </c>
      <c r="E57" s="575" t="s">
        <v>5525</v>
      </c>
      <c r="F57" s="575"/>
      <c r="G57" s="575"/>
      <c r="H57" s="359" t="s">
        <v>5528</v>
      </c>
    </row>
    <row r="58" spans="1:10">
      <c r="A58" s="305"/>
      <c r="B58" s="325"/>
      <c r="C58" s="325"/>
      <c r="D58" s="326"/>
      <c r="E58" s="575"/>
      <c r="F58" s="575"/>
      <c r="G58" s="575"/>
      <c r="H58" s="359"/>
    </row>
    <row r="59" spans="1:10">
      <c r="A59" s="313">
        <v>45898</v>
      </c>
      <c r="B59" s="325" t="s">
        <v>5529</v>
      </c>
      <c r="C59" s="325"/>
      <c r="D59" s="326">
        <v>860000</v>
      </c>
      <c r="E59" s="326" t="s">
        <v>5526</v>
      </c>
      <c r="F59" s="326"/>
      <c r="G59" s="326"/>
      <c r="H59" s="398" t="s">
        <v>5530</v>
      </c>
    </row>
    <row r="60" spans="1:10">
      <c r="A60" s="305"/>
      <c r="B60" s="325"/>
      <c r="C60" s="325"/>
      <c r="D60" s="326"/>
      <c r="E60" s="326"/>
      <c r="F60" s="326"/>
      <c r="G60" s="326"/>
      <c r="H60" s="399"/>
    </row>
    <row r="61" spans="1:10">
      <c r="A61" s="313">
        <v>45899</v>
      </c>
      <c r="B61" s="325" t="s">
        <v>5531</v>
      </c>
      <c r="C61" s="325"/>
      <c r="D61" s="326">
        <v>30000</v>
      </c>
      <c r="E61" s="326"/>
      <c r="F61" s="326"/>
      <c r="G61" s="326"/>
      <c r="H61" s="359" t="s">
        <v>5534</v>
      </c>
    </row>
    <row r="62" spans="1:10">
      <c r="A62" s="305"/>
      <c r="B62" s="325"/>
      <c r="C62" s="325"/>
      <c r="D62" s="326"/>
      <c r="E62" s="326"/>
      <c r="F62" s="326"/>
      <c r="G62" s="326"/>
      <c r="H62" s="359"/>
    </row>
    <row r="63" spans="1:10">
      <c r="A63" s="313">
        <v>45899</v>
      </c>
      <c r="B63" s="325" t="s">
        <v>5531</v>
      </c>
      <c r="C63" s="325"/>
      <c r="D63" s="326">
        <v>10000</v>
      </c>
      <c r="E63" s="326"/>
      <c r="F63" s="326"/>
      <c r="G63" s="326"/>
      <c r="H63" s="398" t="s">
        <v>5535</v>
      </c>
    </row>
    <row r="64" spans="1:10">
      <c r="A64" s="305"/>
      <c r="B64" s="325"/>
      <c r="C64" s="325"/>
      <c r="D64" s="326"/>
      <c r="E64" s="326"/>
      <c r="F64" s="326"/>
      <c r="G64" s="326"/>
      <c r="H64" s="399"/>
    </row>
    <row r="65" spans="1:8">
      <c r="A65" s="313">
        <v>45899</v>
      </c>
      <c r="B65" s="325" t="s">
        <v>5532</v>
      </c>
      <c r="C65" s="325"/>
      <c r="D65" s="326">
        <v>30000</v>
      </c>
      <c r="E65" s="326"/>
      <c r="F65" s="326"/>
      <c r="G65" s="326"/>
      <c r="H65" s="398" t="s">
        <v>5535</v>
      </c>
    </row>
    <row r="66" spans="1:8">
      <c r="A66" s="305"/>
      <c r="B66" s="325"/>
      <c r="C66" s="325"/>
      <c r="D66" s="326"/>
      <c r="E66" s="326"/>
      <c r="F66" s="326"/>
      <c r="G66" s="326"/>
      <c r="H66" s="399"/>
    </row>
    <row r="67" spans="1:8">
      <c r="A67" s="313">
        <v>45900</v>
      </c>
      <c r="B67" s="325" t="s">
        <v>5533</v>
      </c>
      <c r="C67" s="325"/>
      <c r="D67" s="326">
        <v>110000</v>
      </c>
      <c r="E67" s="326"/>
      <c r="F67" s="326"/>
      <c r="G67" s="326"/>
      <c r="H67" s="333" t="s">
        <v>5534</v>
      </c>
    </row>
    <row r="68" spans="1:8">
      <c r="A68" s="305"/>
      <c r="B68" s="325"/>
      <c r="C68" s="325"/>
      <c r="D68" s="326"/>
      <c r="E68" s="326"/>
      <c r="F68" s="326"/>
      <c r="G68" s="326"/>
      <c r="H68" s="333"/>
    </row>
    <row r="69" spans="1:8">
      <c r="A69" s="313"/>
      <c r="B69" s="325"/>
      <c r="C69" s="325"/>
      <c r="D69" s="326"/>
      <c r="E69" s="326"/>
      <c r="F69" s="326"/>
      <c r="G69" s="326"/>
      <c r="H69" s="333"/>
    </row>
    <row r="70" spans="1:8">
      <c r="A70" s="305"/>
      <c r="B70" s="325"/>
      <c r="C70" s="325"/>
      <c r="D70" s="326"/>
      <c r="E70" s="326"/>
      <c r="F70" s="326"/>
      <c r="G70" s="326"/>
      <c r="H70" s="333"/>
    </row>
    <row r="71" spans="1:8">
      <c r="A71" s="313"/>
      <c r="B71" s="325"/>
      <c r="C71" s="325"/>
      <c r="D71" s="326"/>
      <c r="E71" s="326"/>
      <c r="F71" s="326"/>
      <c r="G71" s="326"/>
      <c r="H71" s="359"/>
    </row>
    <row r="72" spans="1:8">
      <c r="A72" s="305"/>
      <c r="B72" s="325"/>
      <c r="C72" s="325"/>
      <c r="D72" s="326"/>
      <c r="E72" s="326"/>
      <c r="F72" s="326"/>
      <c r="G72" s="326"/>
      <c r="H72" s="359"/>
    </row>
    <row r="73" spans="1:8">
      <c r="A73" s="313"/>
      <c r="B73" s="884"/>
      <c r="C73" s="671"/>
      <c r="D73" s="671"/>
      <c r="E73" s="671"/>
      <c r="F73" s="671"/>
      <c r="G73" s="912"/>
      <c r="H73" s="359"/>
    </row>
    <row r="74" spans="1:8" ht="42" customHeight="1">
      <c r="A74" s="305"/>
      <c r="B74" s="673"/>
      <c r="C74" s="674"/>
      <c r="D74" s="674"/>
      <c r="E74" s="674"/>
      <c r="F74" s="674"/>
      <c r="G74" s="913"/>
      <c r="H74" s="359"/>
    </row>
    <row r="75" spans="1:8">
      <c r="A75" s="313"/>
      <c r="B75" s="325"/>
      <c r="C75" s="325"/>
      <c r="D75" s="326"/>
      <c r="E75" s="326"/>
      <c r="F75" s="326"/>
      <c r="G75" s="326"/>
      <c r="H75" s="359"/>
    </row>
    <row r="76" spans="1:8">
      <c r="A76" s="305"/>
      <c r="B76" s="325"/>
      <c r="C76" s="325"/>
      <c r="D76" s="326"/>
      <c r="E76" s="326"/>
      <c r="F76" s="326"/>
      <c r="G76" s="326"/>
      <c r="H76" s="359"/>
    </row>
    <row r="77" spans="1:8">
      <c r="A77" s="313"/>
      <c r="B77" s="325"/>
      <c r="C77" s="325"/>
      <c r="D77" s="326"/>
      <c r="E77" s="574"/>
      <c r="F77" s="575"/>
      <c r="G77" s="575"/>
      <c r="H77" s="333"/>
    </row>
    <row r="78" spans="1:8">
      <c r="A78" s="305"/>
      <c r="B78" s="325"/>
      <c r="C78" s="325"/>
      <c r="D78" s="326"/>
      <c r="E78" s="575"/>
      <c r="F78" s="575"/>
      <c r="G78" s="575"/>
      <c r="H78" s="333"/>
    </row>
    <row r="79" spans="1:8">
      <c r="A79" s="313"/>
      <c r="B79" s="325"/>
      <c r="C79" s="325"/>
      <c r="D79" s="326"/>
      <c r="E79" s="575"/>
      <c r="F79" s="575"/>
      <c r="G79" s="575"/>
      <c r="H79" s="359"/>
    </row>
    <row r="80" spans="1:8">
      <c r="A80" s="305"/>
      <c r="B80" s="325"/>
      <c r="C80" s="325"/>
      <c r="D80" s="326"/>
      <c r="E80" s="575"/>
      <c r="F80" s="575"/>
      <c r="G80" s="575"/>
      <c r="H80" s="359"/>
    </row>
    <row r="81" spans="1:8">
      <c r="A81" s="313"/>
      <c r="B81" s="325"/>
      <c r="C81" s="325"/>
      <c r="D81" s="326"/>
      <c r="E81" s="574"/>
      <c r="F81" s="575"/>
      <c r="G81" s="575"/>
      <c r="H81" s="359"/>
    </row>
    <row r="82" spans="1:8">
      <c r="A82" s="305"/>
      <c r="B82" s="325"/>
      <c r="C82" s="325"/>
      <c r="D82" s="326"/>
      <c r="E82" s="575"/>
      <c r="F82" s="575"/>
      <c r="G82" s="575"/>
      <c r="H82" s="359"/>
    </row>
    <row r="83" spans="1:8">
      <c r="A83" s="313"/>
      <c r="B83" s="325"/>
      <c r="C83" s="325"/>
      <c r="D83" s="326"/>
      <c r="E83" s="575"/>
      <c r="F83" s="575"/>
      <c r="G83" s="575"/>
      <c r="H83" s="359"/>
    </row>
    <row r="84" spans="1:8">
      <c r="A84" s="305"/>
      <c r="B84" s="325"/>
      <c r="C84" s="325"/>
      <c r="D84" s="326"/>
      <c r="E84" s="575"/>
      <c r="F84" s="575"/>
      <c r="G84" s="575"/>
      <c r="H84" s="359"/>
    </row>
    <row r="85" spans="1:8">
      <c r="A85" s="313"/>
      <c r="B85" s="325"/>
      <c r="C85" s="325"/>
      <c r="D85" s="326"/>
      <c r="E85" s="326"/>
      <c r="F85" s="326"/>
      <c r="G85" s="326"/>
      <c r="H85" s="398"/>
    </row>
    <row r="86" spans="1:8">
      <c r="A86" s="305"/>
      <c r="B86" s="325"/>
      <c r="C86" s="325"/>
      <c r="D86" s="326"/>
      <c r="E86" s="326"/>
      <c r="F86" s="326"/>
      <c r="G86" s="326"/>
      <c r="H86" s="399"/>
    </row>
    <row r="87" spans="1:8" ht="35.25" customHeight="1">
      <c r="A87" s="255"/>
      <c r="B87" s="257"/>
      <c r="C87" s="258"/>
      <c r="D87" s="259"/>
      <c r="E87" s="808"/>
      <c r="F87" s="722"/>
      <c r="G87" s="723"/>
      <c r="H87" s="262"/>
    </row>
    <row r="88" spans="1:8">
      <c r="A88" s="313"/>
      <c r="B88" s="644"/>
      <c r="C88" s="645"/>
      <c r="D88" s="645"/>
      <c r="E88" s="645"/>
      <c r="F88" s="645"/>
      <c r="G88" s="645"/>
      <c r="H88" s="646"/>
    </row>
    <row r="89" spans="1:8" ht="29.25" customHeight="1">
      <c r="A89" s="305"/>
      <c r="B89" s="647"/>
      <c r="C89" s="648"/>
      <c r="D89" s="648"/>
      <c r="E89" s="648"/>
      <c r="F89" s="648"/>
      <c r="G89" s="648"/>
      <c r="H89" s="649"/>
    </row>
    <row r="90" spans="1:8">
      <c r="A90" s="313"/>
      <c r="B90" s="325"/>
      <c r="C90" s="325"/>
      <c r="D90" s="326"/>
      <c r="E90" s="326"/>
      <c r="F90" s="326"/>
      <c r="G90" s="326"/>
      <c r="H90" s="359"/>
    </row>
    <row r="91" spans="1:8">
      <c r="A91" s="305"/>
      <c r="B91" s="325"/>
      <c r="C91" s="325"/>
      <c r="D91" s="326"/>
      <c r="E91" s="326"/>
      <c r="F91" s="326"/>
      <c r="G91" s="326"/>
      <c r="H91" s="359"/>
    </row>
    <row r="92" spans="1:8">
      <c r="A92" s="313"/>
      <c r="B92" s="324"/>
      <c r="C92" s="325"/>
      <c r="D92" s="343"/>
      <c r="E92" s="326"/>
      <c r="F92" s="326"/>
      <c r="G92" s="326"/>
      <c r="H92" s="359"/>
    </row>
    <row r="93" spans="1:8">
      <c r="A93" s="305"/>
      <c r="B93" s="325"/>
      <c r="C93" s="325"/>
      <c r="D93" s="344"/>
      <c r="E93" s="326"/>
      <c r="F93" s="326"/>
      <c r="G93" s="326"/>
      <c r="H93" s="359"/>
    </row>
    <row r="94" spans="1:8">
      <c r="A94" s="765"/>
      <c r="B94" s="324"/>
      <c r="C94" s="325"/>
      <c r="D94" s="343"/>
      <c r="E94" s="575"/>
      <c r="F94" s="575"/>
      <c r="G94" s="575"/>
      <c r="H94" s="359"/>
    </row>
    <row r="95" spans="1:8">
      <c r="A95" s="766"/>
      <c r="B95" s="325"/>
      <c r="C95" s="325"/>
      <c r="D95" s="344"/>
      <c r="E95" s="575"/>
      <c r="F95" s="575"/>
      <c r="G95" s="575"/>
      <c r="H95" s="359"/>
    </row>
    <row r="96" spans="1:8">
      <c r="A96" s="313"/>
      <c r="B96" s="325"/>
      <c r="C96" s="325"/>
      <c r="D96" s="326"/>
      <c r="E96" s="326"/>
      <c r="F96" s="326"/>
      <c r="G96" s="326"/>
      <c r="H96" s="359"/>
    </row>
    <row r="97" spans="1:8">
      <c r="A97" s="305"/>
      <c r="B97" s="325"/>
      <c r="C97" s="325"/>
      <c r="D97" s="326"/>
      <c r="E97" s="326"/>
      <c r="F97" s="326"/>
      <c r="G97" s="326"/>
      <c r="H97" s="359"/>
    </row>
    <row r="98" spans="1:8">
      <c r="A98" s="313"/>
      <c r="B98" s="325"/>
      <c r="C98" s="325"/>
      <c r="D98" s="326"/>
      <c r="E98" s="575"/>
      <c r="F98" s="575"/>
      <c r="G98" s="575"/>
      <c r="H98" s="333"/>
    </row>
    <row r="99" spans="1:8">
      <c r="A99" s="305"/>
      <c r="B99" s="325"/>
      <c r="C99" s="325"/>
      <c r="D99" s="326"/>
      <c r="E99" s="575"/>
      <c r="F99" s="575"/>
      <c r="G99" s="575"/>
      <c r="H99" s="333"/>
    </row>
    <row r="100" spans="1:8">
      <c r="A100" s="313"/>
      <c r="B100" s="324"/>
      <c r="C100" s="325"/>
      <c r="D100" s="343"/>
      <c r="E100" s="575"/>
      <c r="F100" s="575"/>
      <c r="G100" s="575"/>
      <c r="H100" s="359"/>
    </row>
    <row r="101" spans="1:8">
      <c r="A101" s="305"/>
      <c r="B101" s="325"/>
      <c r="C101" s="325"/>
      <c r="D101" s="344"/>
      <c r="E101" s="575"/>
      <c r="F101" s="575"/>
      <c r="G101" s="575"/>
      <c r="H101" s="359"/>
    </row>
    <row r="102" spans="1:8">
      <c r="A102" s="313"/>
      <c r="B102" s="324"/>
      <c r="C102" s="325"/>
      <c r="D102" s="326"/>
      <c r="E102" s="326"/>
      <c r="F102" s="326"/>
      <c r="G102" s="326"/>
      <c r="H102" s="359"/>
    </row>
    <row r="103" spans="1:8">
      <c r="A103" s="305"/>
      <c r="B103" s="325"/>
      <c r="C103" s="325"/>
      <c r="D103" s="326"/>
      <c r="E103" s="326"/>
      <c r="F103" s="326"/>
      <c r="G103" s="326"/>
      <c r="H103" s="359"/>
    </row>
    <row r="104" spans="1:8">
      <c r="A104" s="313"/>
      <c r="B104" s="325"/>
      <c r="C104" s="325"/>
      <c r="D104" s="326"/>
      <c r="E104" s="326"/>
      <c r="F104" s="326"/>
      <c r="G104" s="326"/>
      <c r="H104" s="333"/>
    </row>
    <row r="105" spans="1:8">
      <c r="A105" s="305"/>
      <c r="B105" s="325"/>
      <c r="C105" s="325"/>
      <c r="D105" s="326"/>
      <c r="E105" s="326"/>
      <c r="F105" s="326"/>
      <c r="G105" s="326"/>
      <c r="H105" s="333"/>
    </row>
  </sheetData>
  <mergeCells count="293"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  <mergeCell ref="A3:H3"/>
    <mergeCell ref="A4:A5"/>
    <mergeCell ref="B4:B5"/>
    <mergeCell ref="C4:C5"/>
    <mergeCell ref="D4:D5"/>
    <mergeCell ref="E4:G5"/>
    <mergeCell ref="H4:H5"/>
    <mergeCell ref="M1:M2"/>
    <mergeCell ref="N1:N2"/>
    <mergeCell ref="H10:H11"/>
    <mergeCell ref="A8:A9"/>
    <mergeCell ref="B8:B9"/>
    <mergeCell ref="C8:C9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E12:G12"/>
    <mergeCell ref="A13:A14"/>
    <mergeCell ref="B13:B14"/>
    <mergeCell ref="C13:C14"/>
    <mergeCell ref="D13:D14"/>
    <mergeCell ref="E13:G14"/>
    <mergeCell ref="A10:A11"/>
    <mergeCell ref="B10:B11"/>
    <mergeCell ref="C10:C11"/>
    <mergeCell ref="D10:D11"/>
    <mergeCell ref="E10:G11"/>
    <mergeCell ref="A17:A18"/>
    <mergeCell ref="B17:B18"/>
    <mergeCell ref="C17:C18"/>
    <mergeCell ref="D17:D18"/>
    <mergeCell ref="E17:G18"/>
    <mergeCell ref="H17:H18"/>
    <mergeCell ref="H13:H14"/>
    <mergeCell ref="A15:A16"/>
    <mergeCell ref="B15:B16"/>
    <mergeCell ref="C15:C16"/>
    <mergeCell ref="D15:D16"/>
    <mergeCell ref="E15:G16"/>
    <mergeCell ref="H15:H16"/>
    <mergeCell ref="A19:A20"/>
    <mergeCell ref="B19:H20"/>
    <mergeCell ref="A23:A24"/>
    <mergeCell ref="B23:B24"/>
    <mergeCell ref="C23:C24"/>
    <mergeCell ref="D23:D24"/>
    <mergeCell ref="E23:G24"/>
    <mergeCell ref="H23:H24"/>
    <mergeCell ref="A21:A22"/>
    <mergeCell ref="B21:B22"/>
    <mergeCell ref="C21:C22"/>
    <mergeCell ref="D21:D22"/>
    <mergeCell ref="E21:G22"/>
    <mergeCell ref="H21:H22"/>
    <mergeCell ref="H27:H28"/>
    <mergeCell ref="A25:A26"/>
    <mergeCell ref="B25:B26"/>
    <mergeCell ref="C25:C26"/>
    <mergeCell ref="D25:D26"/>
    <mergeCell ref="E25:G26"/>
    <mergeCell ref="H25:H26"/>
    <mergeCell ref="E29:G29"/>
    <mergeCell ref="A30:A31"/>
    <mergeCell ref="B30:B31"/>
    <mergeCell ref="C30:C31"/>
    <mergeCell ref="D30:D31"/>
    <mergeCell ref="E30:G31"/>
    <mergeCell ref="A27:A28"/>
    <mergeCell ref="B27:B28"/>
    <mergeCell ref="C27:C28"/>
    <mergeCell ref="D27:D28"/>
    <mergeCell ref="E27:G28"/>
    <mergeCell ref="A34:A35"/>
    <mergeCell ref="B34:B35"/>
    <mergeCell ref="C34:C35"/>
    <mergeCell ref="D34:D35"/>
    <mergeCell ref="E34:G35"/>
    <mergeCell ref="H34:H35"/>
    <mergeCell ref="H30:H31"/>
    <mergeCell ref="A32:A33"/>
    <mergeCell ref="B32:B33"/>
    <mergeCell ref="C32:C33"/>
    <mergeCell ref="D32:D33"/>
    <mergeCell ref="E32:G33"/>
    <mergeCell ref="H32:H33"/>
    <mergeCell ref="A36:A37"/>
    <mergeCell ref="B36:B37"/>
    <mergeCell ref="C36:C37"/>
    <mergeCell ref="D36:D37"/>
    <mergeCell ref="E36:G37"/>
    <mergeCell ref="H36:H37"/>
    <mergeCell ref="E42:G42"/>
    <mergeCell ref="A43:A44"/>
    <mergeCell ref="B43:B44"/>
    <mergeCell ref="C43:C44"/>
    <mergeCell ref="D43:D44"/>
    <mergeCell ref="E43:G44"/>
    <mergeCell ref="A38:A39"/>
    <mergeCell ref="B38:H39"/>
    <mergeCell ref="A40:A41"/>
    <mergeCell ref="B40:B41"/>
    <mergeCell ref="C40:C41"/>
    <mergeCell ref="D40:D41"/>
    <mergeCell ref="E40:G41"/>
    <mergeCell ref="H40:H41"/>
    <mergeCell ref="A47:A48"/>
    <mergeCell ref="H43:H44"/>
    <mergeCell ref="A45:A46"/>
    <mergeCell ref="B45:B46"/>
    <mergeCell ref="C45:C46"/>
    <mergeCell ref="D45:D46"/>
    <mergeCell ref="E45:G46"/>
    <mergeCell ref="H45:H46"/>
    <mergeCell ref="B47:H48"/>
    <mergeCell ref="A51:A52"/>
    <mergeCell ref="B51:B52"/>
    <mergeCell ref="C51:C52"/>
    <mergeCell ref="D51:D52"/>
    <mergeCell ref="E51:G52"/>
    <mergeCell ref="H51:H52"/>
    <mergeCell ref="A49:A50"/>
    <mergeCell ref="B49:B50"/>
    <mergeCell ref="C49:C50"/>
    <mergeCell ref="D49:D50"/>
    <mergeCell ref="E49:G50"/>
    <mergeCell ref="H49:H50"/>
    <mergeCell ref="A55:A56"/>
    <mergeCell ref="B55:B56"/>
    <mergeCell ref="C55:C56"/>
    <mergeCell ref="D55:D56"/>
    <mergeCell ref="E55:G56"/>
    <mergeCell ref="H55:H56"/>
    <mergeCell ref="A53:A54"/>
    <mergeCell ref="B53:B54"/>
    <mergeCell ref="C53:C54"/>
    <mergeCell ref="D53:D54"/>
    <mergeCell ref="E53:G54"/>
    <mergeCell ref="H53:H54"/>
    <mergeCell ref="A59:A60"/>
    <mergeCell ref="B59:B60"/>
    <mergeCell ref="C59:C60"/>
    <mergeCell ref="D59:D60"/>
    <mergeCell ref="E59:G60"/>
    <mergeCell ref="H59:H60"/>
    <mergeCell ref="A57:A58"/>
    <mergeCell ref="B57:B58"/>
    <mergeCell ref="C57:C58"/>
    <mergeCell ref="D57:D58"/>
    <mergeCell ref="E57:G58"/>
    <mergeCell ref="H57:H58"/>
    <mergeCell ref="A63:A64"/>
    <mergeCell ref="B63:B64"/>
    <mergeCell ref="C63:C64"/>
    <mergeCell ref="D63:D64"/>
    <mergeCell ref="E63:G64"/>
    <mergeCell ref="H63:H64"/>
    <mergeCell ref="A61:A62"/>
    <mergeCell ref="B61:B62"/>
    <mergeCell ref="C61:C62"/>
    <mergeCell ref="D61:D62"/>
    <mergeCell ref="E61:G62"/>
    <mergeCell ref="H61:H62"/>
    <mergeCell ref="A67:A68"/>
    <mergeCell ref="B67:B68"/>
    <mergeCell ref="C67:C68"/>
    <mergeCell ref="D67:D68"/>
    <mergeCell ref="E67:G68"/>
    <mergeCell ref="H67:H68"/>
    <mergeCell ref="A65:A66"/>
    <mergeCell ref="B65:B66"/>
    <mergeCell ref="C65:C66"/>
    <mergeCell ref="D65:D66"/>
    <mergeCell ref="E65:G66"/>
    <mergeCell ref="H65:H66"/>
    <mergeCell ref="A71:A72"/>
    <mergeCell ref="B71:B72"/>
    <mergeCell ref="C71:C72"/>
    <mergeCell ref="D71:D72"/>
    <mergeCell ref="E71:G72"/>
    <mergeCell ref="H71:H72"/>
    <mergeCell ref="A69:A70"/>
    <mergeCell ref="B69:B70"/>
    <mergeCell ref="C69:C70"/>
    <mergeCell ref="D69:D70"/>
    <mergeCell ref="E69:G70"/>
    <mergeCell ref="H69:H70"/>
    <mergeCell ref="A77:A78"/>
    <mergeCell ref="B77:B78"/>
    <mergeCell ref="C77:C78"/>
    <mergeCell ref="D77:D78"/>
    <mergeCell ref="E77:G78"/>
    <mergeCell ref="H77:H78"/>
    <mergeCell ref="A73:A74"/>
    <mergeCell ref="B73:G74"/>
    <mergeCell ref="H73:H74"/>
    <mergeCell ref="A75:A76"/>
    <mergeCell ref="B75:B76"/>
    <mergeCell ref="C75:C76"/>
    <mergeCell ref="D75:D76"/>
    <mergeCell ref="E75:G76"/>
    <mergeCell ref="H75:H76"/>
    <mergeCell ref="A81:A82"/>
    <mergeCell ref="B81:B82"/>
    <mergeCell ref="C81:C82"/>
    <mergeCell ref="D81:D82"/>
    <mergeCell ref="E81:G82"/>
    <mergeCell ref="H81:H82"/>
    <mergeCell ref="A79:A80"/>
    <mergeCell ref="B79:B80"/>
    <mergeCell ref="C79:C80"/>
    <mergeCell ref="D79:D80"/>
    <mergeCell ref="E79:G80"/>
    <mergeCell ref="H79:H80"/>
    <mergeCell ref="A85:A86"/>
    <mergeCell ref="B85:B86"/>
    <mergeCell ref="C85:C86"/>
    <mergeCell ref="D85:D86"/>
    <mergeCell ref="E85:G86"/>
    <mergeCell ref="H85:H86"/>
    <mergeCell ref="A83:A84"/>
    <mergeCell ref="B83:B84"/>
    <mergeCell ref="C83:C84"/>
    <mergeCell ref="D83:D84"/>
    <mergeCell ref="E83:G84"/>
    <mergeCell ref="H83:H84"/>
    <mergeCell ref="A92:A93"/>
    <mergeCell ref="B92:B93"/>
    <mergeCell ref="C92:C93"/>
    <mergeCell ref="D92:D93"/>
    <mergeCell ref="E92:G93"/>
    <mergeCell ref="H92:H93"/>
    <mergeCell ref="E87:G87"/>
    <mergeCell ref="A88:A89"/>
    <mergeCell ref="B88:H89"/>
    <mergeCell ref="A90:A91"/>
    <mergeCell ref="B90:B91"/>
    <mergeCell ref="C90:C91"/>
    <mergeCell ref="D90:D91"/>
    <mergeCell ref="E90:G91"/>
    <mergeCell ref="H90:H91"/>
    <mergeCell ref="A96:A97"/>
    <mergeCell ref="B96:B97"/>
    <mergeCell ref="C96:C97"/>
    <mergeCell ref="D96:D97"/>
    <mergeCell ref="E96:G97"/>
    <mergeCell ref="H96:H97"/>
    <mergeCell ref="A94:A95"/>
    <mergeCell ref="B94:B95"/>
    <mergeCell ref="C94:C95"/>
    <mergeCell ref="D94:D95"/>
    <mergeCell ref="E94:G95"/>
    <mergeCell ref="H94:H95"/>
    <mergeCell ref="A100:A101"/>
    <mergeCell ref="B100:B101"/>
    <mergeCell ref="C100:C101"/>
    <mergeCell ref="D100:D101"/>
    <mergeCell ref="E100:G101"/>
    <mergeCell ref="H100:H101"/>
    <mergeCell ref="A98:A99"/>
    <mergeCell ref="B98:B99"/>
    <mergeCell ref="C98:C99"/>
    <mergeCell ref="D98:D99"/>
    <mergeCell ref="E98:G99"/>
    <mergeCell ref="H98:H99"/>
    <mergeCell ref="A104:A105"/>
    <mergeCell ref="B104:B105"/>
    <mergeCell ref="C104:C105"/>
    <mergeCell ref="D104:D105"/>
    <mergeCell ref="E104:G105"/>
    <mergeCell ref="H104:H105"/>
    <mergeCell ref="A102:A103"/>
    <mergeCell ref="B102:B103"/>
    <mergeCell ref="C102:C103"/>
    <mergeCell ref="D102:D103"/>
    <mergeCell ref="E102:G103"/>
    <mergeCell ref="H102:H103"/>
  </mergeCells>
  <phoneticPr fontId="1" type="noConversion"/>
  <pageMargins left="0" right="0" top="0" bottom="0" header="0" footer="0"/>
  <pageSetup paperSize="9" scale="36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13"/>
  <sheetViews>
    <sheetView showGridLines="0" zoomScale="115" zoomScaleNormal="115" workbookViewId="0">
      <pane xSplit="8" ySplit="2" topLeftCell="I93" activePane="bottomRight" state="frozen"/>
      <selection pane="topRight" activeCell="I1" sqref="I1"/>
      <selection pane="bottomLeft" activeCell="A3" sqref="A3"/>
      <selection pane="bottomRight" activeCell="H65" sqref="B65:H66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9" max="9" width="8.625" customWidth="1"/>
    <col min="10" max="10" width="13.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  <col min="18" max="18" width="9.5" bestFit="1" customWidth="1"/>
  </cols>
  <sheetData>
    <row r="1" spans="1:18" ht="35.25" customHeight="1" thickBot="1">
      <c r="A1" s="388" t="s">
        <v>5475</v>
      </c>
      <c r="B1" s="389"/>
      <c r="C1" s="402" t="s">
        <v>27</v>
      </c>
      <c r="D1" s="403"/>
      <c r="E1" s="21" t="s">
        <v>26</v>
      </c>
      <c r="F1" s="20">
        <f>H1/31</f>
        <v>815258.06451612909</v>
      </c>
      <c r="G1" s="21" t="s">
        <v>4</v>
      </c>
      <c r="H1" s="22">
        <f>SUM(D4:D131)</f>
        <v>25273000</v>
      </c>
      <c r="I1" s="392"/>
      <c r="J1" s="338"/>
      <c r="K1" s="394"/>
      <c r="L1" s="396"/>
      <c r="M1" s="377"/>
      <c r="N1" s="379"/>
      <c r="O1" s="381"/>
      <c r="P1" s="383"/>
      <c r="Q1" s="377"/>
      <c r="R1" s="376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385" t="s">
        <v>25</v>
      </c>
      <c r="F2" s="386"/>
      <c r="G2" s="387"/>
      <c r="H2" s="25" t="s">
        <v>5</v>
      </c>
      <c r="I2" s="393"/>
      <c r="J2" s="333"/>
      <c r="K2" s="395"/>
      <c r="L2" s="397"/>
      <c r="M2" s="378"/>
      <c r="N2" s="380"/>
      <c r="O2" s="382"/>
      <c r="P2" s="384"/>
      <c r="Q2" s="378"/>
      <c r="R2" s="376"/>
    </row>
    <row r="3" spans="1:18" ht="57.75" customHeight="1">
      <c r="A3" s="441" t="s">
        <v>5572</v>
      </c>
      <c r="B3" s="442"/>
      <c r="C3" s="442"/>
      <c r="D3" s="442"/>
      <c r="E3" s="442"/>
      <c r="F3" s="442"/>
      <c r="G3" s="442"/>
      <c r="H3" s="443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322">
        <v>45901</v>
      </c>
      <c r="B4" s="341" t="s">
        <v>5538</v>
      </c>
      <c r="C4" s="341"/>
      <c r="D4" s="326">
        <v>450000</v>
      </c>
      <c r="E4" s="562" t="s">
        <v>5539</v>
      </c>
      <c r="F4" s="582"/>
      <c r="G4" s="583"/>
      <c r="H4" s="610" t="s">
        <v>5540</v>
      </c>
      <c r="J4" s="43"/>
    </row>
    <row r="5" spans="1:18" ht="16.5" customHeight="1">
      <c r="A5" s="323"/>
      <c r="B5" s="342"/>
      <c r="C5" s="342"/>
      <c r="D5" s="326"/>
      <c r="E5" s="584"/>
      <c r="F5" s="585"/>
      <c r="G5" s="586"/>
      <c r="H5" s="611"/>
      <c r="J5" s="43"/>
    </row>
    <row r="6" spans="1:18" ht="16.5" customHeight="1">
      <c r="A6" s="322">
        <v>45902</v>
      </c>
      <c r="B6" s="341" t="s">
        <v>5541</v>
      </c>
      <c r="C6" s="341"/>
      <c r="D6" s="343">
        <v>750000</v>
      </c>
      <c r="E6" s="562" t="s">
        <v>5545</v>
      </c>
      <c r="F6" s="563"/>
      <c r="G6" s="564"/>
      <c r="H6" s="398" t="s">
        <v>5544</v>
      </c>
    </row>
    <row r="7" spans="1:18" ht="51" customHeight="1">
      <c r="A7" s="323"/>
      <c r="B7" s="342"/>
      <c r="C7" s="342"/>
      <c r="D7" s="344"/>
      <c r="E7" s="565"/>
      <c r="F7" s="566"/>
      <c r="G7" s="567"/>
      <c r="H7" s="399"/>
    </row>
    <row r="8" spans="1:18" ht="16.5" customHeight="1">
      <c r="A8" s="322">
        <v>45902</v>
      </c>
      <c r="B8" s="324" t="s">
        <v>5542</v>
      </c>
      <c r="C8" s="341"/>
      <c r="D8" s="326">
        <v>60000</v>
      </c>
      <c r="E8" s="327"/>
      <c r="F8" s="328"/>
      <c r="G8" s="329"/>
      <c r="H8" s="350" t="s">
        <v>5543</v>
      </c>
      <c r="J8" s="48"/>
    </row>
    <row r="9" spans="1:18" ht="33.75" customHeight="1">
      <c r="A9" s="323"/>
      <c r="B9" s="325"/>
      <c r="C9" s="342"/>
      <c r="D9" s="326"/>
      <c r="E9" s="330"/>
      <c r="F9" s="331"/>
      <c r="G9" s="332"/>
      <c r="H9" s="351"/>
    </row>
    <row r="10" spans="1:18" ht="16.5" customHeight="1">
      <c r="A10" s="322">
        <v>45903</v>
      </c>
      <c r="B10" s="324" t="s">
        <v>5546</v>
      </c>
      <c r="C10" s="341"/>
      <c r="D10" s="326">
        <v>400000</v>
      </c>
      <c r="E10" s="562" t="s">
        <v>5547</v>
      </c>
      <c r="F10" s="582"/>
      <c r="G10" s="583"/>
      <c r="H10" s="398" t="s">
        <v>5544</v>
      </c>
    </row>
    <row r="11" spans="1:18" ht="26.25" customHeight="1">
      <c r="A11" s="323"/>
      <c r="B11" s="325"/>
      <c r="C11" s="342"/>
      <c r="D11" s="326"/>
      <c r="E11" s="584"/>
      <c r="F11" s="585"/>
      <c r="G11" s="586"/>
      <c r="H11" s="399"/>
    </row>
    <row r="12" spans="1:18" ht="45" customHeight="1">
      <c r="A12" s="264">
        <v>45903</v>
      </c>
      <c r="B12" s="265" t="s">
        <v>5550</v>
      </c>
      <c r="C12" s="265"/>
      <c r="D12" s="266">
        <v>5000</v>
      </c>
      <c r="E12" s="650" t="s">
        <v>5548</v>
      </c>
      <c r="F12" s="628"/>
      <c r="G12" s="629"/>
      <c r="H12" s="272" t="s">
        <v>5549</v>
      </c>
    </row>
    <row r="13" spans="1:18">
      <c r="A13" s="322">
        <v>45903</v>
      </c>
      <c r="B13" s="324" t="s">
        <v>5551</v>
      </c>
      <c r="C13" s="325"/>
      <c r="D13" s="326">
        <v>190000</v>
      </c>
      <c r="E13" s="337" t="s">
        <v>5563</v>
      </c>
      <c r="F13" s="326"/>
      <c r="G13" s="326"/>
      <c r="H13" s="398" t="s">
        <v>5544</v>
      </c>
    </row>
    <row r="14" spans="1:18" ht="42.75" customHeight="1">
      <c r="A14" s="323"/>
      <c r="B14" s="325"/>
      <c r="C14" s="325"/>
      <c r="D14" s="326"/>
      <c r="E14" s="326"/>
      <c r="F14" s="326"/>
      <c r="G14" s="326"/>
      <c r="H14" s="399"/>
    </row>
    <row r="15" spans="1:18">
      <c r="A15" s="322">
        <v>45903</v>
      </c>
      <c r="B15" s="325" t="s">
        <v>5552</v>
      </c>
      <c r="C15" s="325"/>
      <c r="D15" s="326">
        <v>405000</v>
      </c>
      <c r="E15" s="337" t="s">
        <v>5553</v>
      </c>
      <c r="F15" s="326"/>
      <c r="G15" s="326"/>
      <c r="H15" s="359" t="s">
        <v>5556</v>
      </c>
    </row>
    <row r="16" spans="1:18" ht="30.75" customHeight="1">
      <c r="A16" s="323"/>
      <c r="B16" s="325"/>
      <c r="C16" s="325"/>
      <c r="D16" s="326"/>
      <c r="E16" s="326"/>
      <c r="F16" s="326"/>
      <c r="G16" s="326"/>
      <c r="H16" s="359"/>
    </row>
    <row r="17" spans="1:10">
      <c r="A17" s="322">
        <v>45903</v>
      </c>
      <c r="B17" s="322" t="s">
        <v>5554</v>
      </c>
      <c r="C17" s="325"/>
      <c r="D17" s="343">
        <v>150000</v>
      </c>
      <c r="E17" s="337" t="s">
        <v>5555</v>
      </c>
      <c r="F17" s="326"/>
      <c r="G17" s="326"/>
      <c r="H17" s="359" t="s">
        <v>5557</v>
      </c>
    </row>
    <row r="18" spans="1:10" ht="28.5" customHeight="1">
      <c r="A18" s="323"/>
      <c r="B18" s="323"/>
      <c r="C18" s="325"/>
      <c r="D18" s="344"/>
      <c r="E18" s="326"/>
      <c r="F18" s="326"/>
      <c r="G18" s="326"/>
      <c r="H18" s="359"/>
    </row>
    <row r="19" spans="1:10">
      <c r="A19" s="322">
        <v>45904</v>
      </c>
      <c r="B19" s="324" t="s">
        <v>5560</v>
      </c>
      <c r="C19" s="325"/>
      <c r="D19" s="343">
        <v>300000</v>
      </c>
      <c r="E19" s="574" t="s">
        <v>5561</v>
      </c>
      <c r="F19" s="575"/>
      <c r="G19" s="575"/>
      <c r="H19" s="333" t="s">
        <v>5562</v>
      </c>
    </row>
    <row r="20" spans="1:10" ht="21.75" customHeight="1">
      <c r="A20" s="323"/>
      <c r="B20" s="325"/>
      <c r="C20" s="325"/>
      <c r="D20" s="344"/>
      <c r="E20" s="575"/>
      <c r="F20" s="575"/>
      <c r="G20" s="575"/>
      <c r="H20" s="333"/>
    </row>
    <row r="21" spans="1:10" ht="16.5" customHeight="1">
      <c r="A21" s="322">
        <v>45904</v>
      </c>
      <c r="B21" s="324" t="s">
        <v>5565</v>
      </c>
      <c r="C21" s="325"/>
      <c r="D21" s="326">
        <v>490000</v>
      </c>
      <c r="E21" s="575" t="s">
        <v>5564</v>
      </c>
      <c r="F21" s="575"/>
      <c r="G21" s="575"/>
      <c r="H21" s="359" t="s">
        <v>145</v>
      </c>
    </row>
    <row r="22" spans="1:10" ht="16.5" customHeight="1">
      <c r="A22" s="323"/>
      <c r="B22" s="325"/>
      <c r="C22" s="325"/>
      <c r="D22" s="326"/>
      <c r="E22" s="575"/>
      <c r="F22" s="575"/>
      <c r="G22" s="575"/>
      <c r="H22" s="359"/>
    </row>
    <row r="23" spans="1:10" ht="16.5" customHeight="1">
      <c r="A23" s="322">
        <v>45905</v>
      </c>
      <c r="B23" s="324" t="s">
        <v>5559</v>
      </c>
      <c r="C23" s="325"/>
      <c r="D23" s="326">
        <v>720000</v>
      </c>
      <c r="E23" s="562" t="s">
        <v>5558</v>
      </c>
      <c r="F23" s="582"/>
      <c r="G23" s="583"/>
      <c r="H23" s="398" t="s">
        <v>145</v>
      </c>
    </row>
    <row r="24" spans="1:10" ht="16.5" customHeight="1">
      <c r="A24" s="323"/>
      <c r="B24" s="325"/>
      <c r="C24" s="325"/>
      <c r="D24" s="326"/>
      <c r="E24" s="584"/>
      <c r="F24" s="585"/>
      <c r="G24" s="586"/>
      <c r="H24" s="399"/>
    </row>
    <row r="25" spans="1:10">
      <c r="A25" s="322">
        <v>45905</v>
      </c>
      <c r="B25" s="325" t="s">
        <v>5566</v>
      </c>
      <c r="C25" s="325"/>
      <c r="D25" s="326">
        <v>73000</v>
      </c>
      <c r="E25" s="326" t="s">
        <v>5567</v>
      </c>
      <c r="F25" s="326"/>
      <c r="G25" s="326"/>
      <c r="H25" s="398" t="s">
        <v>5568</v>
      </c>
    </row>
    <row r="26" spans="1:10">
      <c r="A26" s="323"/>
      <c r="B26" s="325"/>
      <c r="C26" s="325"/>
      <c r="D26" s="326"/>
      <c r="E26" s="326"/>
      <c r="F26" s="326"/>
      <c r="G26" s="326"/>
      <c r="H26" s="399"/>
    </row>
    <row r="27" spans="1:10" ht="33" customHeight="1">
      <c r="A27" s="264">
        <v>45906</v>
      </c>
      <c r="B27" s="268" t="s">
        <v>5569</v>
      </c>
      <c r="C27" s="268"/>
      <c r="D27" s="269">
        <v>560000</v>
      </c>
      <c r="E27" s="808" t="s">
        <v>5571</v>
      </c>
      <c r="F27" s="722"/>
      <c r="G27" s="723"/>
      <c r="H27" s="267" t="s">
        <v>5570</v>
      </c>
    </row>
    <row r="28" spans="1:10" ht="17.25" customHeight="1">
      <c r="A28" s="322">
        <v>45907</v>
      </c>
      <c r="B28" s="325" t="s">
        <v>5573</v>
      </c>
      <c r="C28" s="325"/>
      <c r="D28" s="326">
        <v>540000</v>
      </c>
      <c r="E28" s="574" t="s">
        <v>5574</v>
      </c>
      <c r="F28" s="575"/>
      <c r="G28" s="575"/>
      <c r="H28" s="398" t="s">
        <v>145</v>
      </c>
    </row>
    <row r="29" spans="1:10" ht="24.75" customHeight="1">
      <c r="A29" s="323"/>
      <c r="B29" s="325"/>
      <c r="C29" s="325"/>
      <c r="D29" s="326"/>
      <c r="E29" s="575"/>
      <c r="F29" s="575"/>
      <c r="G29" s="575"/>
      <c r="H29" s="399"/>
    </row>
    <row r="30" spans="1:10">
      <c r="A30" s="322">
        <v>45907</v>
      </c>
      <c r="B30" s="325" t="s">
        <v>5576</v>
      </c>
      <c r="C30" s="325"/>
      <c r="D30" s="326">
        <v>1090000</v>
      </c>
      <c r="E30" s="574" t="s">
        <v>5575</v>
      </c>
      <c r="F30" s="575"/>
      <c r="G30" s="575"/>
      <c r="H30" s="398" t="s">
        <v>4374</v>
      </c>
    </row>
    <row r="31" spans="1:10">
      <c r="A31" s="323"/>
      <c r="B31" s="325"/>
      <c r="C31" s="325"/>
      <c r="D31" s="326"/>
      <c r="E31" s="575"/>
      <c r="F31" s="575"/>
      <c r="G31" s="575"/>
      <c r="H31" s="399"/>
    </row>
    <row r="32" spans="1:10" ht="17.25" customHeight="1">
      <c r="A32" s="322"/>
      <c r="B32" s="924" t="s">
        <v>5596</v>
      </c>
      <c r="C32" s="925"/>
      <c r="D32" s="925"/>
      <c r="E32" s="925"/>
      <c r="F32" s="925"/>
      <c r="G32" s="925"/>
      <c r="H32" s="926"/>
      <c r="J32" s="48">
        <v>25000000</v>
      </c>
    </row>
    <row r="33" spans="1:10" ht="32.25" customHeight="1">
      <c r="A33" s="323"/>
      <c r="B33" s="927"/>
      <c r="C33" s="928"/>
      <c r="D33" s="928"/>
      <c r="E33" s="928"/>
      <c r="F33" s="928"/>
      <c r="G33" s="928"/>
      <c r="H33" s="929"/>
      <c r="J33" s="48">
        <v>10000000</v>
      </c>
    </row>
    <row r="34" spans="1:10" ht="17.25" customHeight="1">
      <c r="A34" s="322">
        <v>45910</v>
      </c>
      <c r="B34" s="325" t="s">
        <v>5577</v>
      </c>
      <c r="C34" s="325"/>
      <c r="D34" s="326">
        <v>1790000</v>
      </c>
      <c r="E34" s="930" t="s">
        <v>5580</v>
      </c>
      <c r="F34" s="575"/>
      <c r="G34" s="575"/>
      <c r="H34" s="333" t="s">
        <v>5581</v>
      </c>
      <c r="J34" s="48">
        <v>10000000</v>
      </c>
    </row>
    <row r="35" spans="1:10" ht="17.25" customHeight="1">
      <c r="A35" s="323"/>
      <c r="B35" s="325"/>
      <c r="C35" s="325"/>
      <c r="D35" s="326"/>
      <c r="E35" s="575"/>
      <c r="F35" s="575"/>
      <c r="G35" s="575"/>
      <c r="H35" s="333"/>
      <c r="J35" s="48">
        <v>100000</v>
      </c>
    </row>
    <row r="36" spans="1:10" ht="31.5" customHeight="1">
      <c r="A36" s="264">
        <v>45910</v>
      </c>
      <c r="B36" s="268" t="s">
        <v>5578</v>
      </c>
      <c r="C36" s="268"/>
      <c r="D36" s="269">
        <v>500000</v>
      </c>
      <c r="E36" s="808" t="s">
        <v>5579</v>
      </c>
      <c r="F36" s="722"/>
      <c r="G36" s="723"/>
      <c r="H36" s="273" t="s">
        <v>5582</v>
      </c>
      <c r="J36" s="48">
        <v>7000000</v>
      </c>
    </row>
    <row r="37" spans="1:10">
      <c r="A37" s="322">
        <v>45911</v>
      </c>
      <c r="B37" s="325" t="s">
        <v>5584</v>
      </c>
      <c r="C37" s="325"/>
      <c r="D37" s="326">
        <v>750000</v>
      </c>
      <c r="E37" s="575" t="s">
        <v>5580</v>
      </c>
      <c r="F37" s="575"/>
      <c r="G37" s="575"/>
      <c r="H37" s="359" t="s">
        <v>5583</v>
      </c>
      <c r="J37" s="48">
        <v>10000000</v>
      </c>
    </row>
    <row r="38" spans="1:10">
      <c r="A38" s="323"/>
      <c r="B38" s="325"/>
      <c r="C38" s="325"/>
      <c r="D38" s="326"/>
      <c r="E38" s="575"/>
      <c r="F38" s="575"/>
      <c r="G38" s="575"/>
      <c r="H38" s="359"/>
      <c r="J38" s="48">
        <v>3000000</v>
      </c>
    </row>
    <row r="39" spans="1:10" ht="17.25" customHeight="1">
      <c r="A39" s="322">
        <v>45911</v>
      </c>
      <c r="B39" s="325" t="s">
        <v>5587</v>
      </c>
      <c r="C39" s="325"/>
      <c r="D39" s="343">
        <v>740000</v>
      </c>
      <c r="E39" s="575" t="s">
        <v>5588</v>
      </c>
      <c r="F39" s="575"/>
      <c r="G39" s="575"/>
      <c r="H39" s="359" t="s">
        <v>5589</v>
      </c>
      <c r="J39" s="48">
        <v>10000000</v>
      </c>
    </row>
    <row r="40" spans="1:10" ht="17.25" customHeight="1">
      <c r="A40" s="323"/>
      <c r="B40" s="325"/>
      <c r="C40" s="325"/>
      <c r="D40" s="344"/>
      <c r="E40" s="575"/>
      <c r="F40" s="575"/>
      <c r="G40" s="575"/>
      <c r="H40" s="359"/>
      <c r="J40" s="48">
        <v>8000000</v>
      </c>
    </row>
    <row r="41" spans="1:10">
      <c r="A41" s="322">
        <v>45911</v>
      </c>
      <c r="B41" s="325" t="s">
        <v>5590</v>
      </c>
      <c r="C41" s="325"/>
      <c r="D41" s="343">
        <v>590000</v>
      </c>
      <c r="E41" s="575" t="s">
        <v>5585</v>
      </c>
      <c r="F41" s="575"/>
      <c r="G41" s="575"/>
      <c r="H41" s="359" t="s">
        <v>5586</v>
      </c>
      <c r="J41" s="48">
        <v>10000000</v>
      </c>
    </row>
    <row r="42" spans="1:10">
      <c r="A42" s="323"/>
      <c r="B42" s="325"/>
      <c r="C42" s="325"/>
      <c r="D42" s="344"/>
      <c r="E42" s="575"/>
      <c r="F42" s="575"/>
      <c r="G42" s="575"/>
      <c r="H42" s="359"/>
      <c r="J42" s="48">
        <v>3000000</v>
      </c>
    </row>
    <row r="43" spans="1:10">
      <c r="A43" s="322">
        <v>45912</v>
      </c>
      <c r="B43" s="325" t="s">
        <v>5591</v>
      </c>
      <c r="C43" s="325" t="s">
        <v>5948</v>
      </c>
      <c r="D43" s="326">
        <v>595000</v>
      </c>
      <c r="E43" s="326" t="s">
        <v>5592</v>
      </c>
      <c r="F43" s="326"/>
      <c r="G43" s="326"/>
      <c r="H43" s="359" t="s">
        <v>5593</v>
      </c>
    </row>
    <row r="44" spans="1:10">
      <c r="A44" s="323"/>
      <c r="B44" s="325"/>
      <c r="C44" s="325"/>
      <c r="D44" s="326"/>
      <c r="E44" s="326"/>
      <c r="F44" s="326"/>
      <c r="G44" s="326"/>
      <c r="H44" s="359"/>
    </row>
    <row r="45" spans="1:10">
      <c r="A45" s="313">
        <v>45912</v>
      </c>
      <c r="B45" s="325" t="s">
        <v>5594</v>
      </c>
      <c r="C45" s="325"/>
      <c r="D45" s="326">
        <v>350000</v>
      </c>
      <c r="E45" s="575" t="s">
        <v>5595</v>
      </c>
      <c r="F45" s="575"/>
      <c r="G45" s="575"/>
      <c r="H45" s="359" t="s">
        <v>5586</v>
      </c>
    </row>
    <row r="46" spans="1:10">
      <c r="A46" s="305"/>
      <c r="B46" s="325"/>
      <c r="C46" s="325"/>
      <c r="D46" s="326"/>
      <c r="E46" s="575"/>
      <c r="F46" s="575"/>
      <c r="G46" s="575"/>
      <c r="H46" s="359"/>
    </row>
    <row r="47" spans="1:10">
      <c r="A47" s="313">
        <v>45912</v>
      </c>
      <c r="B47" s="325"/>
      <c r="C47" s="325"/>
      <c r="D47" s="326">
        <v>960000</v>
      </c>
      <c r="E47" s="575"/>
      <c r="F47" s="575"/>
      <c r="G47" s="575"/>
      <c r="H47" s="359"/>
    </row>
    <row r="48" spans="1:10">
      <c r="A48" s="305"/>
      <c r="B48" s="325"/>
      <c r="C48" s="325"/>
      <c r="D48" s="326"/>
      <c r="E48" s="575"/>
      <c r="F48" s="575"/>
      <c r="G48" s="575"/>
      <c r="H48" s="359"/>
    </row>
    <row r="49" spans="1:9">
      <c r="A49" s="313">
        <v>45913</v>
      </c>
      <c r="B49" s="325"/>
      <c r="C49" s="325"/>
      <c r="D49" s="326">
        <v>80000</v>
      </c>
      <c r="E49" s="326"/>
      <c r="F49" s="326"/>
      <c r="G49" s="326"/>
      <c r="H49" s="398"/>
    </row>
    <row r="50" spans="1:9">
      <c r="A50" s="305"/>
      <c r="B50" s="325"/>
      <c r="C50" s="325"/>
      <c r="D50" s="326"/>
      <c r="E50" s="326"/>
      <c r="F50" s="326"/>
      <c r="G50" s="326"/>
      <c r="H50" s="399"/>
    </row>
    <row r="51" spans="1:9">
      <c r="A51" s="313"/>
      <c r="B51" s="862" t="s">
        <v>5619</v>
      </c>
      <c r="C51" s="863"/>
      <c r="D51" s="863"/>
      <c r="E51" s="863"/>
      <c r="F51" s="863"/>
      <c r="G51" s="863"/>
      <c r="H51" s="915"/>
    </row>
    <row r="52" spans="1:9" ht="30" customHeight="1">
      <c r="A52" s="305"/>
      <c r="B52" s="865"/>
      <c r="C52" s="866"/>
      <c r="D52" s="866"/>
      <c r="E52" s="866"/>
      <c r="F52" s="866"/>
      <c r="G52" s="866"/>
      <c r="H52" s="916"/>
    </row>
    <row r="53" spans="1:9">
      <c r="A53" s="313">
        <v>45916</v>
      </c>
      <c r="B53" s="325" t="s">
        <v>5597</v>
      </c>
      <c r="C53" s="325"/>
      <c r="D53" s="326">
        <v>792000</v>
      </c>
      <c r="E53" s="326" t="s">
        <v>5598</v>
      </c>
      <c r="F53" s="326"/>
      <c r="G53" s="326"/>
      <c r="H53" s="398" t="s">
        <v>5655</v>
      </c>
    </row>
    <row r="54" spans="1:9">
      <c r="A54" s="305"/>
      <c r="B54" s="325"/>
      <c r="C54" s="325"/>
      <c r="D54" s="326"/>
      <c r="E54" s="326"/>
      <c r="F54" s="326"/>
      <c r="G54" s="326"/>
      <c r="H54" s="399"/>
    </row>
    <row r="55" spans="1:9">
      <c r="A55" s="313">
        <v>45917</v>
      </c>
      <c r="B55" s="325" t="s">
        <v>5602</v>
      </c>
      <c r="C55" s="325"/>
      <c r="D55" s="326">
        <v>465000</v>
      </c>
      <c r="E55" s="575" t="s">
        <v>5603</v>
      </c>
      <c r="F55" s="575"/>
      <c r="G55" s="575"/>
      <c r="H55" s="610" t="s">
        <v>5599</v>
      </c>
    </row>
    <row r="56" spans="1:9">
      <c r="A56" s="305"/>
      <c r="B56" s="325"/>
      <c r="C56" s="325"/>
      <c r="D56" s="326"/>
      <c r="E56" s="575"/>
      <c r="F56" s="575"/>
      <c r="G56" s="575"/>
      <c r="H56" s="611"/>
    </row>
    <row r="57" spans="1:9">
      <c r="A57" s="313">
        <v>45917</v>
      </c>
      <c r="B57" s="325" t="s">
        <v>5600</v>
      </c>
      <c r="C57" s="325"/>
      <c r="D57" s="326">
        <v>1300000</v>
      </c>
      <c r="E57" s="575" t="s">
        <v>5601</v>
      </c>
      <c r="F57" s="575"/>
      <c r="G57" s="575"/>
      <c r="H57" s="359" t="s">
        <v>5657</v>
      </c>
    </row>
    <row r="58" spans="1:9">
      <c r="A58" s="305"/>
      <c r="B58" s="325"/>
      <c r="C58" s="325"/>
      <c r="D58" s="326"/>
      <c r="E58" s="575"/>
      <c r="F58" s="575"/>
      <c r="G58" s="575"/>
      <c r="H58" s="359"/>
    </row>
    <row r="59" spans="1:9">
      <c r="A59" s="313">
        <v>45918</v>
      </c>
      <c r="B59" s="325" t="s">
        <v>5604</v>
      </c>
      <c r="C59" s="325"/>
      <c r="D59" s="326">
        <v>180000</v>
      </c>
      <c r="E59" s="326" t="s">
        <v>5605</v>
      </c>
      <c r="F59" s="326"/>
      <c r="G59" s="326"/>
      <c r="H59" s="359" t="s">
        <v>5656</v>
      </c>
    </row>
    <row r="60" spans="1:9">
      <c r="A60" s="305"/>
      <c r="B60" s="325"/>
      <c r="C60" s="325"/>
      <c r="D60" s="326"/>
      <c r="E60" s="326"/>
      <c r="F60" s="326"/>
      <c r="G60" s="326"/>
      <c r="H60" s="359"/>
    </row>
    <row r="61" spans="1:9">
      <c r="A61" s="313">
        <v>45918</v>
      </c>
      <c r="B61" s="325" t="s">
        <v>5606</v>
      </c>
      <c r="C61" s="325"/>
      <c r="D61" s="326">
        <v>980000</v>
      </c>
      <c r="E61" s="575" t="s">
        <v>5603</v>
      </c>
      <c r="F61" s="575"/>
      <c r="G61" s="575"/>
      <c r="H61" s="359" t="s">
        <v>5654</v>
      </c>
    </row>
    <row r="62" spans="1:9">
      <c r="A62" s="305"/>
      <c r="B62" s="325"/>
      <c r="C62" s="325"/>
      <c r="D62" s="326"/>
      <c r="E62" s="575"/>
      <c r="F62" s="575"/>
      <c r="G62" s="575"/>
      <c r="H62" s="359"/>
      <c r="I62">
        <v>320000</v>
      </c>
    </row>
    <row r="63" spans="1:9">
      <c r="A63" s="313">
        <v>45918</v>
      </c>
      <c r="B63" s="325" t="s">
        <v>5607</v>
      </c>
      <c r="C63" s="325"/>
      <c r="D63" s="326">
        <v>540000</v>
      </c>
      <c r="E63" s="326"/>
      <c r="F63" s="326"/>
      <c r="G63" s="326"/>
      <c r="H63" s="359" t="s">
        <v>145</v>
      </c>
      <c r="I63">
        <v>460000</v>
      </c>
    </row>
    <row r="64" spans="1:9">
      <c r="A64" s="305"/>
      <c r="B64" s="325"/>
      <c r="C64" s="325"/>
      <c r="D64" s="326"/>
      <c r="E64" s="326"/>
      <c r="F64" s="326"/>
      <c r="G64" s="326"/>
      <c r="H64" s="359"/>
      <c r="I64">
        <v>200000</v>
      </c>
    </row>
    <row r="65" spans="1:8">
      <c r="A65" s="313">
        <v>45918</v>
      </c>
      <c r="B65" s="325" t="s">
        <v>5608</v>
      </c>
      <c r="C65" s="325"/>
      <c r="D65" s="326">
        <v>320000</v>
      </c>
      <c r="E65" s="574" t="s">
        <v>5609</v>
      </c>
      <c r="F65" s="575"/>
      <c r="G65" s="575"/>
      <c r="H65" s="333" t="s">
        <v>5599</v>
      </c>
    </row>
    <row r="66" spans="1:8">
      <c r="A66" s="305"/>
      <c r="B66" s="325"/>
      <c r="C66" s="325"/>
      <c r="D66" s="326"/>
      <c r="E66" s="575"/>
      <c r="F66" s="575"/>
      <c r="G66" s="575"/>
      <c r="H66" s="333"/>
    </row>
    <row r="67" spans="1:8">
      <c r="A67" s="313"/>
      <c r="B67" s="884" t="s">
        <v>5639</v>
      </c>
      <c r="C67" s="671"/>
      <c r="D67" s="671"/>
      <c r="E67" s="671"/>
      <c r="F67" s="671"/>
      <c r="G67" s="671"/>
      <c r="H67" s="672"/>
    </row>
    <row r="68" spans="1:8" ht="27.75" customHeight="1">
      <c r="A68" s="305"/>
      <c r="B68" s="673"/>
      <c r="C68" s="674"/>
      <c r="D68" s="674"/>
      <c r="E68" s="674"/>
      <c r="F68" s="674"/>
      <c r="G68" s="674"/>
      <c r="H68" s="675"/>
    </row>
    <row r="69" spans="1:8">
      <c r="A69" s="313">
        <v>45923</v>
      </c>
      <c r="B69" s="325" t="s">
        <v>5610</v>
      </c>
      <c r="C69" s="325"/>
      <c r="D69" s="326">
        <v>500000</v>
      </c>
      <c r="E69" s="574" t="s">
        <v>5611</v>
      </c>
      <c r="F69" s="575"/>
      <c r="G69" s="575"/>
      <c r="H69" s="359" t="s">
        <v>5613</v>
      </c>
    </row>
    <row r="70" spans="1:8">
      <c r="A70" s="305"/>
      <c r="B70" s="325"/>
      <c r="C70" s="325"/>
      <c r="D70" s="326"/>
      <c r="E70" s="575"/>
      <c r="F70" s="575"/>
      <c r="G70" s="575"/>
      <c r="H70" s="359"/>
    </row>
    <row r="71" spans="1:8">
      <c r="A71" s="313">
        <v>45923</v>
      </c>
      <c r="B71" s="325"/>
      <c r="C71" s="325"/>
      <c r="D71" s="326">
        <v>500000</v>
      </c>
      <c r="E71" s="326" t="s">
        <v>5612</v>
      </c>
      <c r="F71" s="326"/>
      <c r="G71" s="326"/>
      <c r="H71" s="359" t="s">
        <v>5613</v>
      </c>
    </row>
    <row r="72" spans="1:8">
      <c r="A72" s="305"/>
      <c r="B72" s="325"/>
      <c r="C72" s="325"/>
      <c r="D72" s="326"/>
      <c r="E72" s="326"/>
      <c r="F72" s="326"/>
      <c r="G72" s="326"/>
      <c r="H72" s="359"/>
    </row>
    <row r="73" spans="1:8">
      <c r="A73" s="313">
        <v>45924</v>
      </c>
      <c r="B73" s="325" t="s">
        <v>5614</v>
      </c>
      <c r="C73" s="325"/>
      <c r="D73" s="326">
        <v>290000</v>
      </c>
      <c r="E73" s="326" t="s">
        <v>5615</v>
      </c>
      <c r="F73" s="326"/>
      <c r="G73" s="326"/>
      <c r="H73" s="610" t="s">
        <v>5616</v>
      </c>
    </row>
    <row r="74" spans="1:8">
      <c r="A74" s="305"/>
      <c r="B74" s="325"/>
      <c r="C74" s="325"/>
      <c r="D74" s="326"/>
      <c r="E74" s="326"/>
      <c r="F74" s="326"/>
      <c r="G74" s="326"/>
      <c r="H74" s="611"/>
    </row>
    <row r="75" spans="1:8" ht="35.25" customHeight="1">
      <c r="A75" s="271">
        <v>45924</v>
      </c>
      <c r="B75" s="270" t="s">
        <v>5617</v>
      </c>
      <c r="C75" s="268"/>
      <c r="D75" s="269">
        <v>810000</v>
      </c>
      <c r="E75" s="808" t="s">
        <v>5618</v>
      </c>
      <c r="F75" s="722"/>
      <c r="G75" s="723"/>
      <c r="H75" s="274" t="s">
        <v>7</v>
      </c>
    </row>
    <row r="76" spans="1:8">
      <c r="A76" s="313">
        <v>45925</v>
      </c>
      <c r="B76" s="325" t="s">
        <v>5620</v>
      </c>
      <c r="C76" s="325"/>
      <c r="D76" s="326">
        <v>1080000</v>
      </c>
      <c r="E76" s="575" t="s">
        <v>5621</v>
      </c>
      <c r="F76" s="575"/>
      <c r="G76" s="575"/>
      <c r="H76" s="359" t="s">
        <v>145</v>
      </c>
    </row>
    <row r="77" spans="1:8">
      <c r="A77" s="305"/>
      <c r="B77" s="325"/>
      <c r="C77" s="325"/>
      <c r="D77" s="326"/>
      <c r="E77" s="575"/>
      <c r="F77" s="575"/>
      <c r="G77" s="575"/>
      <c r="H77" s="359"/>
    </row>
    <row r="78" spans="1:8">
      <c r="A78" s="313">
        <v>45925</v>
      </c>
      <c r="B78" s="324" t="s">
        <v>5624</v>
      </c>
      <c r="C78" s="325"/>
      <c r="D78" s="343">
        <v>210000</v>
      </c>
      <c r="E78" s="326" t="s">
        <v>5623</v>
      </c>
      <c r="F78" s="326"/>
      <c r="G78" s="326"/>
      <c r="H78" s="359" t="s">
        <v>5622</v>
      </c>
    </row>
    <row r="79" spans="1:8">
      <c r="A79" s="305"/>
      <c r="B79" s="325"/>
      <c r="C79" s="325"/>
      <c r="D79" s="344"/>
      <c r="E79" s="326"/>
      <c r="F79" s="326"/>
      <c r="G79" s="326"/>
      <c r="H79" s="359"/>
    </row>
    <row r="80" spans="1:8">
      <c r="A80" s="765">
        <v>45925</v>
      </c>
      <c r="B80" s="324" t="s">
        <v>5625</v>
      </c>
      <c r="C80" s="325"/>
      <c r="D80" s="343">
        <v>260000</v>
      </c>
      <c r="E80" s="730" t="s">
        <v>5623</v>
      </c>
      <c r="F80" s="730"/>
      <c r="G80" s="730"/>
      <c r="H80" s="333" t="s">
        <v>5626</v>
      </c>
    </row>
    <row r="81" spans="1:8">
      <c r="A81" s="766"/>
      <c r="B81" s="325"/>
      <c r="C81" s="325"/>
      <c r="D81" s="344"/>
      <c r="E81" s="730"/>
      <c r="F81" s="730"/>
      <c r="G81" s="730"/>
      <c r="H81" s="333"/>
    </row>
    <row r="82" spans="1:8">
      <c r="A82" s="313">
        <v>45926</v>
      </c>
      <c r="B82" s="325" t="s">
        <v>5627</v>
      </c>
      <c r="C82" s="325"/>
      <c r="D82" s="326">
        <v>640000</v>
      </c>
      <c r="E82" s="575" t="s">
        <v>5628</v>
      </c>
      <c r="F82" s="575"/>
      <c r="G82" s="575"/>
      <c r="H82" s="333" t="s">
        <v>5629</v>
      </c>
    </row>
    <row r="83" spans="1:8">
      <c r="A83" s="305"/>
      <c r="B83" s="325"/>
      <c r="C83" s="325"/>
      <c r="D83" s="326"/>
      <c r="E83" s="575"/>
      <c r="F83" s="575"/>
      <c r="G83" s="575"/>
      <c r="H83" s="333"/>
    </row>
    <row r="84" spans="1:8">
      <c r="A84" s="313">
        <v>45926</v>
      </c>
      <c r="B84" s="325" t="s">
        <v>5658</v>
      </c>
      <c r="C84" s="325"/>
      <c r="D84" s="326">
        <v>200000</v>
      </c>
      <c r="E84" s="730" t="s">
        <v>5651</v>
      </c>
      <c r="F84" s="730"/>
      <c r="G84" s="730"/>
      <c r="H84" s="333"/>
    </row>
    <row r="85" spans="1:8">
      <c r="A85" s="305"/>
      <c r="B85" s="325"/>
      <c r="C85" s="325"/>
      <c r="D85" s="326"/>
      <c r="E85" s="730"/>
      <c r="F85" s="730"/>
      <c r="G85" s="730"/>
      <c r="H85" s="333"/>
    </row>
    <row r="86" spans="1:8">
      <c r="A86" s="313">
        <v>45926</v>
      </c>
      <c r="B86" s="324" t="s">
        <v>5631</v>
      </c>
      <c r="C86" s="325"/>
      <c r="D86" s="343">
        <v>100000</v>
      </c>
      <c r="E86" s="730"/>
      <c r="F86" s="730"/>
      <c r="G86" s="730"/>
      <c r="H86" s="359" t="s">
        <v>5630</v>
      </c>
    </row>
    <row r="87" spans="1:8">
      <c r="A87" s="305"/>
      <c r="B87" s="325"/>
      <c r="C87" s="325"/>
      <c r="D87" s="344"/>
      <c r="E87" s="730"/>
      <c r="F87" s="730"/>
      <c r="G87" s="730"/>
      <c r="H87" s="359"/>
    </row>
    <row r="88" spans="1:8">
      <c r="A88" s="313">
        <v>45927</v>
      </c>
      <c r="B88" s="324" t="s">
        <v>5636</v>
      </c>
      <c r="C88" s="325"/>
      <c r="D88" s="326">
        <v>1080000</v>
      </c>
      <c r="E88" s="575" t="s">
        <v>5635</v>
      </c>
      <c r="F88" s="575"/>
      <c r="G88" s="575"/>
      <c r="H88" s="359" t="s">
        <v>5637</v>
      </c>
    </row>
    <row r="89" spans="1:8">
      <c r="A89" s="305"/>
      <c r="B89" s="325"/>
      <c r="C89" s="325"/>
      <c r="D89" s="326"/>
      <c r="E89" s="575"/>
      <c r="F89" s="575"/>
      <c r="G89" s="575"/>
      <c r="H89" s="359"/>
    </row>
    <row r="90" spans="1:8">
      <c r="A90" s="313">
        <v>45928</v>
      </c>
      <c r="B90" s="325" t="s">
        <v>5632</v>
      </c>
      <c r="C90" s="325"/>
      <c r="D90" s="326">
        <v>230000</v>
      </c>
      <c r="E90" s="326" t="s">
        <v>5633</v>
      </c>
      <c r="F90" s="326"/>
      <c r="G90" s="326"/>
      <c r="H90" s="359" t="s">
        <v>5634</v>
      </c>
    </row>
    <row r="91" spans="1:8">
      <c r="A91" s="305"/>
      <c r="B91" s="325"/>
      <c r="C91" s="325"/>
      <c r="D91" s="326"/>
      <c r="E91" s="326"/>
      <c r="F91" s="326"/>
      <c r="G91" s="326"/>
      <c r="H91" s="359"/>
    </row>
    <row r="92" spans="1:8">
      <c r="A92" s="313"/>
      <c r="B92" s="884" t="s">
        <v>5638</v>
      </c>
      <c r="C92" s="671"/>
      <c r="D92" s="671"/>
      <c r="E92" s="671"/>
      <c r="F92" s="671"/>
      <c r="G92" s="671"/>
      <c r="H92" s="672"/>
    </row>
    <row r="93" spans="1:8" ht="34.5" customHeight="1">
      <c r="A93" s="305"/>
      <c r="B93" s="673"/>
      <c r="C93" s="674"/>
      <c r="D93" s="674"/>
      <c r="E93" s="674"/>
      <c r="F93" s="674"/>
      <c r="G93" s="674"/>
      <c r="H93" s="675"/>
    </row>
    <row r="94" spans="1:8">
      <c r="A94" s="313">
        <v>45929</v>
      </c>
      <c r="B94" s="325" t="s">
        <v>5640</v>
      </c>
      <c r="C94" s="325"/>
      <c r="D94" s="326">
        <v>693000</v>
      </c>
      <c r="E94" s="326" t="s">
        <v>5641</v>
      </c>
      <c r="F94" s="326"/>
      <c r="G94" s="326"/>
      <c r="H94" s="359" t="s">
        <v>5642</v>
      </c>
    </row>
    <row r="95" spans="1:8">
      <c r="A95" s="305"/>
      <c r="B95" s="325"/>
      <c r="C95" s="325"/>
      <c r="D95" s="326"/>
      <c r="E95" s="326"/>
      <c r="F95" s="326"/>
      <c r="G95" s="326"/>
      <c r="H95" s="359"/>
    </row>
    <row r="96" spans="1:8">
      <c r="A96" s="313">
        <v>45929</v>
      </c>
      <c r="B96" s="325" t="s">
        <v>5643</v>
      </c>
      <c r="C96" s="325"/>
      <c r="D96" s="326">
        <v>420000</v>
      </c>
      <c r="E96" s="575" t="s">
        <v>5645</v>
      </c>
      <c r="F96" s="575"/>
      <c r="G96" s="575"/>
      <c r="H96" s="359" t="s">
        <v>5647</v>
      </c>
    </row>
    <row r="97" spans="1:8">
      <c r="A97" s="305"/>
      <c r="B97" s="325"/>
      <c r="C97" s="325"/>
      <c r="D97" s="326"/>
      <c r="E97" s="575"/>
      <c r="F97" s="575"/>
      <c r="G97" s="575"/>
      <c r="H97" s="359"/>
    </row>
    <row r="98" spans="1:8">
      <c r="A98" s="313">
        <v>45929</v>
      </c>
      <c r="B98" s="325" t="s">
        <v>5644</v>
      </c>
      <c r="C98" s="325"/>
      <c r="D98" s="326">
        <v>795000</v>
      </c>
      <c r="E98" s="575" t="s">
        <v>5646</v>
      </c>
      <c r="F98" s="575"/>
      <c r="G98" s="575"/>
      <c r="H98" s="359" t="s">
        <v>5648</v>
      </c>
    </row>
    <row r="99" spans="1:8">
      <c r="A99" s="305"/>
      <c r="B99" s="325"/>
      <c r="C99" s="325"/>
      <c r="D99" s="326"/>
      <c r="E99" s="575"/>
      <c r="F99" s="575"/>
      <c r="G99" s="575"/>
      <c r="H99" s="359"/>
    </row>
    <row r="100" spans="1:8">
      <c r="A100" s="313">
        <v>45929</v>
      </c>
      <c r="B100" s="325" t="s">
        <v>5649</v>
      </c>
      <c r="C100" s="325"/>
      <c r="D100" s="326">
        <v>220000</v>
      </c>
      <c r="E100" s="575" t="s">
        <v>5650</v>
      </c>
      <c r="F100" s="575"/>
      <c r="G100" s="575"/>
      <c r="H100" s="359" t="s">
        <v>5651</v>
      </c>
    </row>
    <row r="101" spans="1:8">
      <c r="A101" s="305"/>
      <c r="B101" s="325"/>
      <c r="C101" s="325"/>
      <c r="D101" s="326"/>
      <c r="E101" s="575"/>
      <c r="F101" s="575"/>
      <c r="G101" s="575"/>
      <c r="H101" s="359"/>
    </row>
    <row r="102" spans="1:8">
      <c r="A102" s="313">
        <v>45929</v>
      </c>
      <c r="B102" s="325" t="s">
        <v>5652</v>
      </c>
      <c r="C102" s="325"/>
      <c r="D102" s="326">
        <v>130000</v>
      </c>
      <c r="E102" s="326" t="s">
        <v>5641</v>
      </c>
      <c r="F102" s="326"/>
      <c r="G102" s="326"/>
      <c r="H102" s="359" t="s">
        <v>5653</v>
      </c>
    </row>
    <row r="103" spans="1:8">
      <c r="A103" s="305"/>
      <c r="B103" s="325"/>
      <c r="C103" s="325"/>
      <c r="D103" s="326"/>
      <c r="E103" s="326"/>
      <c r="F103" s="326"/>
      <c r="G103" s="326"/>
      <c r="H103" s="359"/>
    </row>
    <row r="104" spans="1:8">
      <c r="A104" s="313"/>
      <c r="B104" s="325"/>
      <c r="C104" s="325"/>
      <c r="D104" s="326"/>
      <c r="E104" s="326"/>
      <c r="F104" s="326"/>
      <c r="G104" s="326"/>
      <c r="H104" s="359"/>
    </row>
    <row r="105" spans="1:8">
      <c r="A105" s="305"/>
      <c r="B105" s="325"/>
      <c r="C105" s="325"/>
      <c r="D105" s="326"/>
      <c r="E105" s="326"/>
      <c r="F105" s="326"/>
      <c r="G105" s="326"/>
      <c r="H105" s="359"/>
    </row>
    <row r="106" spans="1:8">
      <c r="A106" s="313"/>
      <c r="B106" s="325"/>
      <c r="C106" s="325"/>
      <c r="D106" s="326"/>
      <c r="E106" s="326"/>
      <c r="F106" s="326"/>
      <c r="G106" s="326"/>
      <c r="H106" s="359"/>
    </row>
    <row r="107" spans="1:8">
      <c r="A107" s="305"/>
      <c r="B107" s="325"/>
      <c r="C107" s="325"/>
      <c r="D107" s="326"/>
      <c r="E107" s="326"/>
      <c r="F107" s="326"/>
      <c r="G107" s="326"/>
      <c r="H107" s="359"/>
    </row>
    <row r="108" spans="1:8">
      <c r="A108" s="313"/>
      <c r="B108" s="325"/>
      <c r="C108" s="325"/>
      <c r="D108" s="326"/>
      <c r="E108" s="326"/>
      <c r="F108" s="326"/>
      <c r="G108" s="326"/>
      <c r="H108" s="359"/>
    </row>
    <row r="109" spans="1:8">
      <c r="A109" s="305"/>
      <c r="B109" s="325"/>
      <c r="C109" s="325"/>
      <c r="D109" s="326"/>
      <c r="E109" s="326"/>
      <c r="F109" s="326"/>
      <c r="G109" s="326"/>
      <c r="H109" s="359"/>
    </row>
    <row r="110" spans="1:8">
      <c r="A110" s="313"/>
      <c r="B110" s="325"/>
      <c r="C110" s="325"/>
      <c r="D110" s="326"/>
      <c r="E110" s="326"/>
      <c r="F110" s="326"/>
      <c r="G110" s="326"/>
      <c r="H110" s="359"/>
    </row>
    <row r="111" spans="1:8">
      <c r="A111" s="305"/>
      <c r="B111" s="325"/>
      <c r="C111" s="325"/>
      <c r="D111" s="326"/>
      <c r="E111" s="326"/>
      <c r="F111" s="326"/>
      <c r="G111" s="326"/>
      <c r="H111" s="359"/>
    </row>
    <row r="112" spans="1:8">
      <c r="A112" s="313"/>
      <c r="B112" s="325"/>
      <c r="C112" s="325"/>
      <c r="D112" s="326"/>
      <c r="E112" s="326"/>
      <c r="F112" s="326"/>
      <c r="G112" s="326"/>
      <c r="H112" s="359"/>
    </row>
    <row r="113" spans="1:8">
      <c r="A113" s="305"/>
      <c r="B113" s="325"/>
      <c r="C113" s="325"/>
      <c r="D113" s="326"/>
      <c r="E113" s="326"/>
      <c r="F113" s="326"/>
      <c r="G113" s="326"/>
      <c r="H113" s="359"/>
    </row>
  </sheetData>
  <mergeCells count="320">
    <mergeCell ref="A90:A91"/>
    <mergeCell ref="B90:B91"/>
    <mergeCell ref="C90:C91"/>
    <mergeCell ref="D90:D91"/>
    <mergeCell ref="E90:G91"/>
    <mergeCell ref="H90:H91"/>
    <mergeCell ref="A88:A89"/>
    <mergeCell ref="B88:B89"/>
    <mergeCell ref="C88:C89"/>
    <mergeCell ref="D88:D89"/>
    <mergeCell ref="E88:G89"/>
    <mergeCell ref="H88:H89"/>
    <mergeCell ref="A86:A87"/>
    <mergeCell ref="B86:B87"/>
    <mergeCell ref="C86:C87"/>
    <mergeCell ref="D86:D87"/>
    <mergeCell ref="E86:G87"/>
    <mergeCell ref="H86:H87"/>
    <mergeCell ref="A84:A85"/>
    <mergeCell ref="B84:B85"/>
    <mergeCell ref="C84:C85"/>
    <mergeCell ref="D84:D85"/>
    <mergeCell ref="E84:G85"/>
    <mergeCell ref="H84:H85"/>
    <mergeCell ref="A82:A83"/>
    <mergeCell ref="B82:B83"/>
    <mergeCell ref="C82:C83"/>
    <mergeCell ref="D82:D83"/>
    <mergeCell ref="E82:G83"/>
    <mergeCell ref="H82:H83"/>
    <mergeCell ref="A80:A81"/>
    <mergeCell ref="B80:B81"/>
    <mergeCell ref="C80:C81"/>
    <mergeCell ref="D80:D81"/>
    <mergeCell ref="E80:G81"/>
    <mergeCell ref="H80:H81"/>
    <mergeCell ref="A78:A79"/>
    <mergeCell ref="B78:B79"/>
    <mergeCell ref="C78:C79"/>
    <mergeCell ref="D78:D79"/>
    <mergeCell ref="E78:G79"/>
    <mergeCell ref="H78:H79"/>
    <mergeCell ref="E75:G75"/>
    <mergeCell ref="A76:A77"/>
    <mergeCell ref="B76:B77"/>
    <mergeCell ref="C76:C77"/>
    <mergeCell ref="D76:D77"/>
    <mergeCell ref="E76:G77"/>
    <mergeCell ref="H76:H77"/>
    <mergeCell ref="A69:A70"/>
    <mergeCell ref="B69:B70"/>
    <mergeCell ref="C69:C70"/>
    <mergeCell ref="D69:D70"/>
    <mergeCell ref="E69:G70"/>
    <mergeCell ref="H69:H70"/>
    <mergeCell ref="A67:A68"/>
    <mergeCell ref="B67:H68"/>
    <mergeCell ref="A73:A74"/>
    <mergeCell ref="B73:B74"/>
    <mergeCell ref="C73:C74"/>
    <mergeCell ref="D73:D74"/>
    <mergeCell ref="E73:G74"/>
    <mergeCell ref="H73:H74"/>
    <mergeCell ref="A71:A72"/>
    <mergeCell ref="B71:B72"/>
    <mergeCell ref="C71:C72"/>
    <mergeCell ref="D71:D72"/>
    <mergeCell ref="E71:G72"/>
    <mergeCell ref="H71:H72"/>
    <mergeCell ref="A65:A66"/>
    <mergeCell ref="B65:B66"/>
    <mergeCell ref="C65:C66"/>
    <mergeCell ref="D65:D66"/>
    <mergeCell ref="E65:G66"/>
    <mergeCell ref="H65:H66"/>
    <mergeCell ref="A63:A64"/>
    <mergeCell ref="B63:B64"/>
    <mergeCell ref="C63:C64"/>
    <mergeCell ref="D63:D64"/>
    <mergeCell ref="E63:G64"/>
    <mergeCell ref="H63:H64"/>
    <mergeCell ref="A61:A62"/>
    <mergeCell ref="B61:B62"/>
    <mergeCell ref="C61:C62"/>
    <mergeCell ref="D61:D62"/>
    <mergeCell ref="E61:G62"/>
    <mergeCell ref="H61:H62"/>
    <mergeCell ref="A59:A60"/>
    <mergeCell ref="B59:B60"/>
    <mergeCell ref="C59:C60"/>
    <mergeCell ref="D59:D60"/>
    <mergeCell ref="E59:G60"/>
    <mergeCell ref="H59:H60"/>
    <mergeCell ref="A57:A58"/>
    <mergeCell ref="B57:B58"/>
    <mergeCell ref="C57:C58"/>
    <mergeCell ref="D57:D58"/>
    <mergeCell ref="E57:G58"/>
    <mergeCell ref="H57:H58"/>
    <mergeCell ref="A55:A56"/>
    <mergeCell ref="B55:B56"/>
    <mergeCell ref="C55:C56"/>
    <mergeCell ref="D55:D56"/>
    <mergeCell ref="E55:G56"/>
    <mergeCell ref="H55:H56"/>
    <mergeCell ref="A53:A54"/>
    <mergeCell ref="B53:B54"/>
    <mergeCell ref="C53:C54"/>
    <mergeCell ref="D53:D54"/>
    <mergeCell ref="E53:G54"/>
    <mergeCell ref="H53:H54"/>
    <mergeCell ref="A51:A52"/>
    <mergeCell ref="B51:H52"/>
    <mergeCell ref="A49:A50"/>
    <mergeCell ref="B49:B50"/>
    <mergeCell ref="C49:C50"/>
    <mergeCell ref="D49:D50"/>
    <mergeCell ref="E49:G50"/>
    <mergeCell ref="H49:H50"/>
    <mergeCell ref="A47:A48"/>
    <mergeCell ref="B47:B48"/>
    <mergeCell ref="C47:C48"/>
    <mergeCell ref="D47:D48"/>
    <mergeCell ref="E47:G48"/>
    <mergeCell ref="H47:H48"/>
    <mergeCell ref="A45:A46"/>
    <mergeCell ref="B45:B46"/>
    <mergeCell ref="C45:C46"/>
    <mergeCell ref="D45:D46"/>
    <mergeCell ref="E45:G46"/>
    <mergeCell ref="H45:H46"/>
    <mergeCell ref="A43:A44"/>
    <mergeCell ref="B43:B44"/>
    <mergeCell ref="C43:C44"/>
    <mergeCell ref="D43:D44"/>
    <mergeCell ref="E43:G44"/>
    <mergeCell ref="H43:H44"/>
    <mergeCell ref="A41:A42"/>
    <mergeCell ref="B41:B42"/>
    <mergeCell ref="C41:C42"/>
    <mergeCell ref="D41:D42"/>
    <mergeCell ref="E41:G42"/>
    <mergeCell ref="H41:H42"/>
    <mergeCell ref="H37:H38"/>
    <mergeCell ref="A39:A40"/>
    <mergeCell ref="B39:B40"/>
    <mergeCell ref="C39:C40"/>
    <mergeCell ref="D39:D40"/>
    <mergeCell ref="E39:G40"/>
    <mergeCell ref="H39:H40"/>
    <mergeCell ref="E36:G36"/>
    <mergeCell ref="A37:A38"/>
    <mergeCell ref="B37:B38"/>
    <mergeCell ref="C37:C38"/>
    <mergeCell ref="D37:D38"/>
    <mergeCell ref="E37:G38"/>
    <mergeCell ref="A32:A33"/>
    <mergeCell ref="B32:H33"/>
    <mergeCell ref="A34:A35"/>
    <mergeCell ref="B34:B35"/>
    <mergeCell ref="C34:C35"/>
    <mergeCell ref="D34:D35"/>
    <mergeCell ref="E34:G35"/>
    <mergeCell ref="H34:H35"/>
    <mergeCell ref="H28:H29"/>
    <mergeCell ref="A30:A31"/>
    <mergeCell ref="B30:B31"/>
    <mergeCell ref="C30:C31"/>
    <mergeCell ref="D30:D31"/>
    <mergeCell ref="E30:G31"/>
    <mergeCell ref="H30:H31"/>
    <mergeCell ref="E27:G27"/>
    <mergeCell ref="A28:A29"/>
    <mergeCell ref="B28:B29"/>
    <mergeCell ref="C28:C29"/>
    <mergeCell ref="D28:D29"/>
    <mergeCell ref="E28:G29"/>
    <mergeCell ref="A25:A26"/>
    <mergeCell ref="B25:B26"/>
    <mergeCell ref="C25:C26"/>
    <mergeCell ref="D25:D26"/>
    <mergeCell ref="E25:G26"/>
    <mergeCell ref="H25:H26"/>
    <mergeCell ref="A23:A24"/>
    <mergeCell ref="B23:B24"/>
    <mergeCell ref="C23:C24"/>
    <mergeCell ref="D23:D24"/>
    <mergeCell ref="E23:G24"/>
    <mergeCell ref="H23:H24"/>
    <mergeCell ref="A21:A22"/>
    <mergeCell ref="B21:B22"/>
    <mergeCell ref="C21:C22"/>
    <mergeCell ref="D21:D22"/>
    <mergeCell ref="E21:G22"/>
    <mergeCell ref="H21:H22"/>
    <mergeCell ref="A19:A20"/>
    <mergeCell ref="B19:B20"/>
    <mergeCell ref="C19:C20"/>
    <mergeCell ref="D19:D20"/>
    <mergeCell ref="E19:G20"/>
    <mergeCell ref="H19:H20"/>
    <mergeCell ref="A17:A18"/>
    <mergeCell ref="B17:B18"/>
    <mergeCell ref="C17:C18"/>
    <mergeCell ref="D17:D18"/>
    <mergeCell ref="E17:G18"/>
    <mergeCell ref="H17:H18"/>
    <mergeCell ref="H13:H14"/>
    <mergeCell ref="A15:A16"/>
    <mergeCell ref="B15:B16"/>
    <mergeCell ref="C15:C16"/>
    <mergeCell ref="D15:D16"/>
    <mergeCell ref="E15:G16"/>
    <mergeCell ref="H15:H16"/>
    <mergeCell ref="E12:G12"/>
    <mergeCell ref="A13:A14"/>
    <mergeCell ref="B13:B14"/>
    <mergeCell ref="C13:C14"/>
    <mergeCell ref="D13:D14"/>
    <mergeCell ref="E13:G14"/>
    <mergeCell ref="C10:C11"/>
    <mergeCell ref="D10:D11"/>
    <mergeCell ref="E10:G11"/>
    <mergeCell ref="H10:H11"/>
    <mergeCell ref="A8:A9"/>
    <mergeCell ref="B8:B9"/>
    <mergeCell ref="C8:C9"/>
    <mergeCell ref="D8:D9"/>
    <mergeCell ref="E8:G9"/>
    <mergeCell ref="H8:H9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  <mergeCell ref="A92:A93"/>
    <mergeCell ref="A94:A95"/>
    <mergeCell ref="B94:B95"/>
    <mergeCell ref="C94:C95"/>
    <mergeCell ref="D94:D95"/>
    <mergeCell ref="E94:G95"/>
    <mergeCell ref="H94:H95"/>
    <mergeCell ref="M1:M2"/>
    <mergeCell ref="N1:N2"/>
    <mergeCell ref="A6:A7"/>
    <mergeCell ref="B6:B7"/>
    <mergeCell ref="C6:C7"/>
    <mergeCell ref="D6:D7"/>
    <mergeCell ref="E6:G7"/>
    <mergeCell ref="H6:H7"/>
    <mergeCell ref="A3:H3"/>
    <mergeCell ref="A4:A5"/>
    <mergeCell ref="B4:B5"/>
    <mergeCell ref="C4:C5"/>
    <mergeCell ref="D4:D5"/>
    <mergeCell ref="E4:G5"/>
    <mergeCell ref="H4:H5"/>
    <mergeCell ref="A10:A11"/>
    <mergeCell ref="B10:B11"/>
    <mergeCell ref="H100:H101"/>
    <mergeCell ref="A102:A103"/>
    <mergeCell ref="B102:B103"/>
    <mergeCell ref="C102:C103"/>
    <mergeCell ref="D102:D103"/>
    <mergeCell ref="E102:G103"/>
    <mergeCell ref="H102:H103"/>
    <mergeCell ref="A96:A97"/>
    <mergeCell ref="B96:B97"/>
    <mergeCell ref="C96:C97"/>
    <mergeCell ref="D96:D97"/>
    <mergeCell ref="E96:G97"/>
    <mergeCell ref="H96:H97"/>
    <mergeCell ref="A98:A99"/>
    <mergeCell ref="B98:B99"/>
    <mergeCell ref="C98:C99"/>
    <mergeCell ref="D98:D99"/>
    <mergeCell ref="E98:G99"/>
    <mergeCell ref="H98:H99"/>
    <mergeCell ref="A108:A109"/>
    <mergeCell ref="B108:B109"/>
    <mergeCell ref="C108:C109"/>
    <mergeCell ref="D108:D109"/>
    <mergeCell ref="E108:G109"/>
    <mergeCell ref="H108:H109"/>
    <mergeCell ref="B92:H93"/>
    <mergeCell ref="A104:A105"/>
    <mergeCell ref="B104:B105"/>
    <mergeCell ref="C104:C105"/>
    <mergeCell ref="D104:D105"/>
    <mergeCell ref="E104:G105"/>
    <mergeCell ref="H104:H105"/>
    <mergeCell ref="A106:A107"/>
    <mergeCell ref="B106:B107"/>
    <mergeCell ref="C106:C107"/>
    <mergeCell ref="D106:D107"/>
    <mergeCell ref="E106:G107"/>
    <mergeCell ref="H106:H107"/>
    <mergeCell ref="A100:A101"/>
    <mergeCell ref="B100:B101"/>
    <mergeCell ref="C100:C101"/>
    <mergeCell ref="D100:D101"/>
    <mergeCell ref="E100:G101"/>
    <mergeCell ref="A110:A111"/>
    <mergeCell ref="B110:B111"/>
    <mergeCell ref="C110:C111"/>
    <mergeCell ref="D110:D111"/>
    <mergeCell ref="E110:G111"/>
    <mergeCell ref="H110:H111"/>
    <mergeCell ref="A112:A113"/>
    <mergeCell ref="B112:B113"/>
    <mergeCell ref="C112:C113"/>
    <mergeCell ref="D112:D113"/>
    <mergeCell ref="E112:G113"/>
    <mergeCell ref="H112:H113"/>
  </mergeCells>
  <phoneticPr fontId="1" type="noConversion"/>
  <pageMargins left="0" right="0" top="0" bottom="0" header="0" footer="0"/>
  <pageSetup paperSize="9" scale="36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05"/>
  <sheetViews>
    <sheetView showGridLines="0" zoomScale="115" zoomScaleNormal="115" workbookViewId="0">
      <pane xSplit="8" ySplit="2" topLeftCell="I93" activePane="bottomRight" state="frozen"/>
      <selection pane="topRight" activeCell="I1" sqref="I1"/>
      <selection pane="bottomLeft" activeCell="A3" sqref="A3"/>
      <selection pane="bottomRight" activeCell="A4" sqref="A4:A101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9" max="9" width="8.625" customWidth="1"/>
    <col min="10" max="10" width="13.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  <col min="18" max="18" width="9.5" bestFit="1" customWidth="1"/>
  </cols>
  <sheetData>
    <row r="1" spans="1:18" ht="35.25" customHeight="1" thickBot="1">
      <c r="A1" s="388" t="s">
        <v>5475</v>
      </c>
      <c r="B1" s="389"/>
      <c r="C1" s="402" t="s">
        <v>27</v>
      </c>
      <c r="D1" s="403"/>
      <c r="E1" s="21" t="s">
        <v>26</v>
      </c>
      <c r="F1" s="20">
        <f>H1/31</f>
        <v>581580.6451612903</v>
      </c>
      <c r="G1" s="21" t="s">
        <v>4</v>
      </c>
      <c r="H1" s="22">
        <f>SUM(D4:D123)</f>
        <v>18029000</v>
      </c>
      <c r="I1" s="392"/>
      <c r="J1" s="338"/>
      <c r="K1" s="394"/>
      <c r="L1" s="396"/>
      <c r="M1" s="377"/>
      <c r="N1" s="379"/>
      <c r="O1" s="381"/>
      <c r="P1" s="383"/>
      <c r="Q1" s="377"/>
      <c r="R1" s="376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385" t="s">
        <v>25</v>
      </c>
      <c r="F2" s="386"/>
      <c r="G2" s="387"/>
      <c r="H2" s="25" t="s">
        <v>5</v>
      </c>
      <c r="I2" s="393"/>
      <c r="J2" s="333"/>
      <c r="K2" s="395"/>
      <c r="L2" s="397"/>
      <c r="M2" s="378"/>
      <c r="N2" s="380"/>
      <c r="O2" s="382"/>
      <c r="P2" s="384"/>
      <c r="Q2" s="378"/>
      <c r="R2" s="376"/>
    </row>
    <row r="3" spans="1:18" ht="57.75" customHeight="1">
      <c r="A3" s="441" t="s">
        <v>5705</v>
      </c>
      <c r="B3" s="442"/>
      <c r="C3" s="442"/>
      <c r="D3" s="442"/>
      <c r="E3" s="442"/>
      <c r="F3" s="442"/>
      <c r="G3" s="442"/>
      <c r="H3" s="443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322">
        <v>45931</v>
      </c>
      <c r="B4" s="341" t="s">
        <v>5667</v>
      </c>
      <c r="C4" s="341"/>
      <c r="D4" s="326">
        <v>560000</v>
      </c>
      <c r="E4" s="562" t="s">
        <v>5659</v>
      </c>
      <c r="F4" s="582"/>
      <c r="G4" s="583"/>
      <c r="H4" s="398" t="s">
        <v>145</v>
      </c>
      <c r="J4" s="43"/>
    </row>
    <row r="5" spans="1:18" ht="16.5" customHeight="1">
      <c r="A5" s="323"/>
      <c r="B5" s="342"/>
      <c r="C5" s="342"/>
      <c r="D5" s="326"/>
      <c r="E5" s="584"/>
      <c r="F5" s="585"/>
      <c r="G5" s="586"/>
      <c r="H5" s="399"/>
      <c r="J5" s="43"/>
    </row>
    <row r="6" spans="1:18" ht="16.5" customHeight="1">
      <c r="A6" s="322">
        <v>45931</v>
      </c>
      <c r="B6" s="341" t="s">
        <v>5660</v>
      </c>
      <c r="C6" s="341"/>
      <c r="D6" s="343">
        <v>176000</v>
      </c>
      <c r="E6" s="327" t="s">
        <v>5663</v>
      </c>
      <c r="F6" s="345"/>
      <c r="G6" s="346"/>
      <c r="H6" s="398" t="s">
        <v>5668</v>
      </c>
    </row>
    <row r="7" spans="1:18" ht="51" customHeight="1">
      <c r="A7" s="323"/>
      <c r="B7" s="342"/>
      <c r="C7" s="342"/>
      <c r="D7" s="344"/>
      <c r="E7" s="347"/>
      <c r="F7" s="348"/>
      <c r="G7" s="349"/>
      <c r="H7" s="399"/>
    </row>
    <row r="8" spans="1:18" ht="16.5" customHeight="1">
      <c r="A8" s="322">
        <v>45931</v>
      </c>
      <c r="B8" s="324" t="s">
        <v>5660</v>
      </c>
      <c r="C8" s="341"/>
      <c r="D8" s="326">
        <v>176000</v>
      </c>
      <c r="E8" s="327" t="s">
        <v>5664</v>
      </c>
      <c r="F8" s="328"/>
      <c r="G8" s="329"/>
      <c r="H8" s="350" t="s">
        <v>5665</v>
      </c>
      <c r="J8" s="48"/>
    </row>
    <row r="9" spans="1:18" ht="33.75" customHeight="1">
      <c r="A9" s="323"/>
      <c r="B9" s="325"/>
      <c r="C9" s="342"/>
      <c r="D9" s="326"/>
      <c r="E9" s="330"/>
      <c r="F9" s="331"/>
      <c r="G9" s="332"/>
      <c r="H9" s="351"/>
    </row>
    <row r="10" spans="1:18" ht="16.5" customHeight="1">
      <c r="A10" s="322">
        <v>45931</v>
      </c>
      <c r="B10" s="324" t="s">
        <v>5661</v>
      </c>
      <c r="C10" s="341"/>
      <c r="D10" s="326">
        <v>250000</v>
      </c>
      <c r="E10" s="562" t="s">
        <v>5662</v>
      </c>
      <c r="F10" s="582"/>
      <c r="G10" s="583"/>
      <c r="H10" s="610" t="s">
        <v>5665</v>
      </c>
    </row>
    <row r="11" spans="1:18" ht="26.25" customHeight="1">
      <c r="A11" s="323"/>
      <c r="B11" s="325"/>
      <c r="C11" s="342"/>
      <c r="D11" s="326"/>
      <c r="E11" s="584"/>
      <c r="F11" s="585"/>
      <c r="G11" s="586"/>
      <c r="H11" s="611"/>
    </row>
    <row r="12" spans="1:18" ht="45" customHeight="1">
      <c r="A12" s="276">
        <v>45932</v>
      </c>
      <c r="B12" s="277" t="s">
        <v>5669</v>
      </c>
      <c r="C12" s="277"/>
      <c r="D12" s="278">
        <v>420000</v>
      </c>
      <c r="E12" s="650"/>
      <c r="F12" s="628"/>
      <c r="G12" s="629"/>
      <c r="H12" s="272" t="s">
        <v>2102</v>
      </c>
    </row>
    <row r="13" spans="1:18">
      <c r="A13" s="322">
        <v>45933</v>
      </c>
      <c r="B13" s="324" t="s">
        <v>5670</v>
      </c>
      <c r="C13" s="325"/>
      <c r="D13" s="326">
        <v>180000</v>
      </c>
      <c r="E13" s="337" t="s">
        <v>5671</v>
      </c>
      <c r="F13" s="326"/>
      <c r="G13" s="326"/>
      <c r="H13" s="398" t="s">
        <v>5666</v>
      </c>
    </row>
    <row r="14" spans="1:18" ht="42.75" customHeight="1">
      <c r="A14" s="323"/>
      <c r="B14" s="325"/>
      <c r="C14" s="325"/>
      <c r="D14" s="326"/>
      <c r="E14" s="326"/>
      <c r="F14" s="326"/>
      <c r="G14" s="326"/>
      <c r="H14" s="399"/>
    </row>
    <row r="15" spans="1:18">
      <c r="A15" s="322">
        <v>45933</v>
      </c>
      <c r="B15" s="325"/>
      <c r="C15" s="325"/>
      <c r="D15" s="326">
        <v>200000</v>
      </c>
      <c r="E15" s="337"/>
      <c r="F15" s="326"/>
      <c r="G15" s="326"/>
      <c r="H15" s="359" t="s">
        <v>5674</v>
      </c>
    </row>
    <row r="16" spans="1:18" ht="30.75" customHeight="1">
      <c r="A16" s="323"/>
      <c r="B16" s="325"/>
      <c r="C16" s="325"/>
      <c r="D16" s="326"/>
      <c r="E16" s="326"/>
      <c r="F16" s="326"/>
      <c r="G16" s="326"/>
      <c r="H16" s="359"/>
    </row>
    <row r="17" spans="1:10">
      <c r="A17" s="322">
        <v>45933</v>
      </c>
      <c r="B17" s="322"/>
      <c r="C17" s="325"/>
      <c r="D17" s="343">
        <v>530000</v>
      </c>
      <c r="E17" s="574"/>
      <c r="F17" s="575"/>
      <c r="G17" s="575"/>
      <c r="H17" s="359" t="s">
        <v>5674</v>
      </c>
    </row>
    <row r="18" spans="1:10" ht="28.5" customHeight="1">
      <c r="A18" s="323"/>
      <c r="B18" s="323"/>
      <c r="C18" s="325"/>
      <c r="D18" s="344"/>
      <c r="E18" s="575"/>
      <c r="F18" s="575"/>
      <c r="G18" s="575"/>
      <c r="H18" s="359"/>
    </row>
    <row r="19" spans="1:10">
      <c r="A19" s="322">
        <v>45934</v>
      </c>
      <c r="B19" s="324" t="s">
        <v>5675</v>
      </c>
      <c r="C19" s="325"/>
      <c r="D19" s="343">
        <v>1560000</v>
      </c>
      <c r="E19" s="574" t="s">
        <v>5676</v>
      </c>
      <c r="F19" s="575"/>
      <c r="G19" s="575"/>
      <c r="H19" s="333" t="s">
        <v>5673</v>
      </c>
    </row>
    <row r="20" spans="1:10" ht="21.75" customHeight="1">
      <c r="A20" s="323"/>
      <c r="B20" s="325"/>
      <c r="C20" s="325"/>
      <c r="D20" s="344"/>
      <c r="E20" s="575"/>
      <c r="F20" s="575"/>
      <c r="G20" s="575"/>
      <c r="H20" s="333"/>
    </row>
    <row r="21" spans="1:10" ht="16.5" customHeight="1">
      <c r="A21" s="322">
        <v>45934</v>
      </c>
      <c r="B21" s="324" t="s">
        <v>5764</v>
      </c>
      <c r="C21" s="325"/>
      <c r="D21" s="326">
        <v>125000</v>
      </c>
      <c r="E21" s="730"/>
      <c r="F21" s="730"/>
      <c r="G21" s="730"/>
      <c r="H21" s="359" t="s">
        <v>5672</v>
      </c>
    </row>
    <row r="22" spans="1:10" ht="16.5" customHeight="1">
      <c r="A22" s="323"/>
      <c r="B22" s="325"/>
      <c r="C22" s="325"/>
      <c r="D22" s="326"/>
      <c r="E22" s="730"/>
      <c r="F22" s="730"/>
      <c r="G22" s="730"/>
      <c r="H22" s="359"/>
    </row>
    <row r="23" spans="1:10" ht="16.5" customHeight="1">
      <c r="A23" s="322"/>
      <c r="B23" s="644" t="s">
        <v>5706</v>
      </c>
      <c r="C23" s="645"/>
      <c r="D23" s="645"/>
      <c r="E23" s="645"/>
      <c r="F23" s="645"/>
      <c r="G23" s="645"/>
      <c r="H23" s="646"/>
    </row>
    <row r="24" spans="1:10" ht="27.75" customHeight="1">
      <c r="A24" s="323"/>
      <c r="B24" s="647"/>
      <c r="C24" s="648"/>
      <c r="D24" s="648"/>
      <c r="E24" s="648"/>
      <c r="F24" s="648"/>
      <c r="G24" s="648"/>
      <c r="H24" s="649"/>
    </row>
    <row r="25" spans="1:10">
      <c r="A25" s="322">
        <v>45940</v>
      </c>
      <c r="B25" s="325"/>
      <c r="C25" s="325"/>
      <c r="D25" s="326">
        <v>600000</v>
      </c>
      <c r="E25" s="575" t="s">
        <v>5679</v>
      </c>
      <c r="F25" s="575"/>
      <c r="G25" s="575"/>
      <c r="H25" s="398" t="s">
        <v>5677</v>
      </c>
    </row>
    <row r="26" spans="1:10">
      <c r="A26" s="323"/>
      <c r="B26" s="325"/>
      <c r="C26" s="325"/>
      <c r="D26" s="326"/>
      <c r="E26" s="575"/>
      <c r="F26" s="575"/>
      <c r="G26" s="575"/>
      <c r="H26" s="399"/>
    </row>
    <row r="27" spans="1:10" ht="33" customHeight="1">
      <c r="A27" s="276">
        <v>45940</v>
      </c>
      <c r="B27" s="280"/>
      <c r="C27" s="280"/>
      <c r="D27" s="281">
        <v>890000</v>
      </c>
      <c r="E27" s="808" t="s">
        <v>5680</v>
      </c>
      <c r="F27" s="722"/>
      <c r="G27" s="723"/>
      <c r="H27" s="282" t="s">
        <v>5678</v>
      </c>
    </row>
    <row r="28" spans="1:10" ht="17.25" customHeight="1">
      <c r="A28" s="322"/>
      <c r="B28" s="924"/>
      <c r="C28" s="925"/>
      <c r="D28" s="925"/>
      <c r="E28" s="925"/>
      <c r="F28" s="925"/>
      <c r="G28" s="925"/>
      <c r="H28" s="926"/>
      <c r="J28" s="48"/>
    </row>
    <row r="29" spans="1:10" ht="32.25" customHeight="1">
      <c r="A29" s="323"/>
      <c r="B29" s="927"/>
      <c r="C29" s="928"/>
      <c r="D29" s="928"/>
      <c r="E29" s="928"/>
      <c r="F29" s="928"/>
      <c r="G29" s="928"/>
      <c r="H29" s="929"/>
      <c r="J29" s="48"/>
    </row>
    <row r="30" spans="1:10" ht="17.25" customHeight="1">
      <c r="A30" s="322">
        <v>45944</v>
      </c>
      <c r="B30" s="325" t="s">
        <v>5681</v>
      </c>
      <c r="C30" s="325"/>
      <c r="D30" s="326">
        <v>290000</v>
      </c>
      <c r="E30" s="923" t="s">
        <v>5682</v>
      </c>
      <c r="F30" s="326"/>
      <c r="G30" s="326"/>
      <c r="H30" s="359" t="s">
        <v>5683</v>
      </c>
      <c r="J30" s="48"/>
    </row>
    <row r="31" spans="1:10" ht="17.25" customHeight="1">
      <c r="A31" s="323"/>
      <c r="B31" s="325"/>
      <c r="C31" s="325"/>
      <c r="D31" s="326"/>
      <c r="E31" s="326"/>
      <c r="F31" s="326"/>
      <c r="G31" s="326"/>
      <c r="H31" s="359"/>
      <c r="J31" s="48"/>
    </row>
    <row r="32" spans="1:10" ht="31.5" customHeight="1">
      <c r="A32" s="276">
        <v>45944</v>
      </c>
      <c r="B32" s="280" t="s">
        <v>5684</v>
      </c>
      <c r="C32" s="280"/>
      <c r="D32" s="281">
        <v>10000</v>
      </c>
      <c r="E32" s="627" t="s">
        <v>5685</v>
      </c>
      <c r="F32" s="628"/>
      <c r="G32" s="629"/>
      <c r="H32" s="283" t="s">
        <v>5686</v>
      </c>
      <c r="J32" s="48"/>
    </row>
    <row r="33" spans="1:10">
      <c r="A33" s="322">
        <v>45944</v>
      </c>
      <c r="B33" s="325" t="s">
        <v>5687</v>
      </c>
      <c r="C33" s="325"/>
      <c r="D33" s="326">
        <v>220000</v>
      </c>
      <c r="E33" s="575" t="s">
        <v>5688</v>
      </c>
      <c r="F33" s="575"/>
      <c r="G33" s="575"/>
      <c r="H33" s="333" t="s">
        <v>5694</v>
      </c>
      <c r="J33" s="48"/>
    </row>
    <row r="34" spans="1:10">
      <c r="A34" s="323"/>
      <c r="B34" s="325"/>
      <c r="C34" s="325"/>
      <c r="D34" s="326"/>
      <c r="E34" s="575"/>
      <c r="F34" s="575"/>
      <c r="G34" s="575"/>
      <c r="H34" s="333"/>
      <c r="J34" s="48"/>
    </row>
    <row r="35" spans="1:10" ht="17.25" customHeight="1">
      <c r="A35" s="322">
        <v>45945</v>
      </c>
      <c r="B35" s="325" t="s">
        <v>5691</v>
      </c>
      <c r="C35" s="325"/>
      <c r="D35" s="343">
        <v>1155000</v>
      </c>
      <c r="E35" s="575" t="s">
        <v>5692</v>
      </c>
      <c r="F35" s="575"/>
      <c r="G35" s="575"/>
      <c r="H35" s="359" t="s">
        <v>5693</v>
      </c>
      <c r="J35" s="48"/>
    </row>
    <row r="36" spans="1:10" ht="17.25" customHeight="1">
      <c r="A36" s="323"/>
      <c r="B36" s="325"/>
      <c r="C36" s="325"/>
      <c r="D36" s="344"/>
      <c r="E36" s="575"/>
      <c r="F36" s="575"/>
      <c r="G36" s="575"/>
      <c r="H36" s="359"/>
      <c r="J36" s="48"/>
    </row>
    <row r="37" spans="1:10">
      <c r="A37" s="322">
        <v>45947</v>
      </c>
      <c r="B37" s="325" t="s">
        <v>5689</v>
      </c>
      <c r="C37" s="325"/>
      <c r="D37" s="343">
        <v>130000</v>
      </c>
      <c r="E37" s="575" t="s">
        <v>5697</v>
      </c>
      <c r="F37" s="575"/>
      <c r="G37" s="575"/>
      <c r="H37" s="359" t="s">
        <v>5690</v>
      </c>
      <c r="J37" s="48"/>
    </row>
    <row r="38" spans="1:10">
      <c r="A38" s="323"/>
      <c r="B38" s="325"/>
      <c r="C38" s="325"/>
      <c r="D38" s="344"/>
      <c r="E38" s="575"/>
      <c r="F38" s="575"/>
      <c r="G38" s="575"/>
      <c r="H38" s="359"/>
      <c r="J38" s="48"/>
    </row>
    <row r="39" spans="1:10">
      <c r="A39" s="322">
        <v>45947</v>
      </c>
      <c r="B39" s="325" t="s">
        <v>5695</v>
      </c>
      <c r="C39" s="325"/>
      <c r="D39" s="326">
        <v>150000</v>
      </c>
      <c r="E39" s="326" t="s">
        <v>5698</v>
      </c>
      <c r="F39" s="326"/>
      <c r="G39" s="326"/>
      <c r="H39" s="359" t="s">
        <v>5696</v>
      </c>
    </row>
    <row r="40" spans="1:10">
      <c r="A40" s="323"/>
      <c r="B40" s="325"/>
      <c r="C40" s="325"/>
      <c r="D40" s="326"/>
      <c r="E40" s="326"/>
      <c r="F40" s="326"/>
      <c r="G40" s="326"/>
      <c r="H40" s="359"/>
    </row>
    <row r="41" spans="1:10">
      <c r="A41" s="313">
        <v>45948</v>
      </c>
      <c r="B41" s="325" t="s">
        <v>5699</v>
      </c>
      <c r="C41" s="325"/>
      <c r="D41" s="326">
        <v>170000</v>
      </c>
      <c r="E41" s="326" t="s">
        <v>5700</v>
      </c>
      <c r="F41" s="326"/>
      <c r="G41" s="326"/>
      <c r="H41" s="359" t="s">
        <v>5690</v>
      </c>
    </row>
    <row r="42" spans="1:10">
      <c r="A42" s="305"/>
      <c r="B42" s="325"/>
      <c r="C42" s="325"/>
      <c r="D42" s="326"/>
      <c r="E42" s="326"/>
      <c r="F42" s="326"/>
      <c r="G42" s="326"/>
      <c r="H42" s="359"/>
    </row>
    <row r="43" spans="1:10">
      <c r="A43" s="313">
        <v>45948</v>
      </c>
      <c r="B43" s="325" t="s">
        <v>5701</v>
      </c>
      <c r="C43" s="325"/>
      <c r="D43" s="326">
        <v>486000</v>
      </c>
      <c r="E43" s="575" t="s">
        <v>5702</v>
      </c>
      <c r="F43" s="575"/>
      <c r="G43" s="575"/>
      <c r="H43" s="359" t="s">
        <v>5696</v>
      </c>
    </row>
    <row r="44" spans="1:10">
      <c r="A44" s="305"/>
      <c r="B44" s="325"/>
      <c r="C44" s="325"/>
      <c r="D44" s="326"/>
      <c r="E44" s="575"/>
      <c r="F44" s="575"/>
      <c r="G44" s="575"/>
      <c r="H44" s="359"/>
    </row>
    <row r="45" spans="1:10">
      <c r="A45" s="313">
        <v>45948</v>
      </c>
      <c r="B45" s="325" t="s">
        <v>5703</v>
      </c>
      <c r="C45" s="325"/>
      <c r="D45" s="326">
        <v>350000</v>
      </c>
      <c r="E45" s="326" t="s">
        <v>5704</v>
      </c>
      <c r="F45" s="326"/>
      <c r="G45" s="326"/>
      <c r="H45" s="398" t="s">
        <v>5735</v>
      </c>
    </row>
    <row r="46" spans="1:10">
      <c r="A46" s="305"/>
      <c r="B46" s="325"/>
      <c r="C46" s="325"/>
      <c r="D46" s="326"/>
      <c r="E46" s="326"/>
      <c r="F46" s="326"/>
      <c r="G46" s="326"/>
      <c r="H46" s="399"/>
    </row>
    <row r="47" spans="1:10">
      <c r="A47" s="313"/>
      <c r="B47" s="931">
        <v>4338000</v>
      </c>
      <c r="C47" s="863"/>
      <c r="D47" s="863"/>
      <c r="E47" s="863"/>
      <c r="F47" s="863"/>
      <c r="G47" s="863"/>
      <c r="H47" s="915"/>
    </row>
    <row r="48" spans="1:10" ht="30" customHeight="1">
      <c r="A48" s="305"/>
      <c r="B48" s="865"/>
      <c r="C48" s="866"/>
      <c r="D48" s="866"/>
      <c r="E48" s="866"/>
      <c r="F48" s="866"/>
      <c r="G48" s="866"/>
      <c r="H48" s="916"/>
    </row>
    <row r="49" spans="1:8">
      <c r="A49" s="313">
        <v>45950</v>
      </c>
      <c r="B49" s="325" t="s">
        <v>5708</v>
      </c>
      <c r="C49" s="325"/>
      <c r="D49" s="326">
        <v>150000</v>
      </c>
      <c r="E49" s="326" t="s">
        <v>5700</v>
      </c>
      <c r="F49" s="326"/>
      <c r="G49" s="326"/>
      <c r="H49" s="398" t="s">
        <v>5690</v>
      </c>
    </row>
    <row r="50" spans="1:8">
      <c r="A50" s="305"/>
      <c r="B50" s="325"/>
      <c r="C50" s="325"/>
      <c r="D50" s="326"/>
      <c r="E50" s="326"/>
      <c r="F50" s="326"/>
      <c r="G50" s="326"/>
      <c r="H50" s="399"/>
    </row>
    <row r="51" spans="1:8">
      <c r="A51" s="313">
        <v>45950</v>
      </c>
      <c r="B51" s="325" t="s">
        <v>5707</v>
      </c>
      <c r="C51" s="325"/>
      <c r="D51" s="326">
        <v>132000</v>
      </c>
      <c r="E51" s="326" t="s">
        <v>5709</v>
      </c>
      <c r="F51" s="326"/>
      <c r="G51" s="326"/>
      <c r="H51" s="398" t="s">
        <v>5710</v>
      </c>
    </row>
    <row r="52" spans="1:8">
      <c r="A52" s="305"/>
      <c r="B52" s="325"/>
      <c r="C52" s="325"/>
      <c r="D52" s="326"/>
      <c r="E52" s="326"/>
      <c r="F52" s="326"/>
      <c r="G52" s="326"/>
      <c r="H52" s="399"/>
    </row>
    <row r="53" spans="1:8">
      <c r="A53" s="313">
        <v>45951</v>
      </c>
      <c r="B53" s="325" t="s">
        <v>5699</v>
      </c>
      <c r="C53" s="325"/>
      <c r="D53" s="326">
        <v>120000</v>
      </c>
      <c r="E53" s="326" t="s">
        <v>5709</v>
      </c>
      <c r="F53" s="326"/>
      <c r="G53" s="326"/>
      <c r="H53" s="359" t="s">
        <v>5711</v>
      </c>
    </row>
    <row r="54" spans="1:8">
      <c r="A54" s="305"/>
      <c r="B54" s="325"/>
      <c r="C54" s="325"/>
      <c r="D54" s="326"/>
      <c r="E54" s="326"/>
      <c r="F54" s="326"/>
      <c r="G54" s="326"/>
      <c r="H54" s="359"/>
    </row>
    <row r="55" spans="1:8">
      <c r="A55" s="313">
        <v>45951</v>
      </c>
      <c r="B55" s="325" t="s">
        <v>5715</v>
      </c>
      <c r="C55" s="325"/>
      <c r="D55" s="326">
        <v>380000</v>
      </c>
      <c r="E55" s="326" t="s">
        <v>5713</v>
      </c>
      <c r="F55" s="326"/>
      <c r="G55" s="326"/>
      <c r="H55" s="359" t="s">
        <v>5714</v>
      </c>
    </row>
    <row r="56" spans="1:8">
      <c r="A56" s="305"/>
      <c r="B56" s="325"/>
      <c r="C56" s="325"/>
      <c r="D56" s="326"/>
      <c r="E56" s="326"/>
      <c r="F56" s="326"/>
      <c r="G56" s="326"/>
      <c r="H56" s="359"/>
    </row>
    <row r="57" spans="1:8">
      <c r="A57" s="313">
        <v>45952</v>
      </c>
      <c r="B57" s="325" t="s">
        <v>5712</v>
      </c>
      <c r="C57" s="325"/>
      <c r="D57" s="326">
        <v>136000</v>
      </c>
      <c r="E57" s="326" t="s">
        <v>5719</v>
      </c>
      <c r="F57" s="326"/>
      <c r="G57" s="326"/>
      <c r="H57" s="359" t="s">
        <v>5717</v>
      </c>
    </row>
    <row r="58" spans="1:8">
      <c r="A58" s="305"/>
      <c r="B58" s="325"/>
      <c r="C58" s="325"/>
      <c r="D58" s="326"/>
      <c r="E58" s="326"/>
      <c r="F58" s="326"/>
      <c r="G58" s="326"/>
      <c r="H58" s="359"/>
    </row>
    <row r="59" spans="1:8">
      <c r="A59" s="313">
        <v>45952</v>
      </c>
      <c r="B59" s="325" t="s">
        <v>5716</v>
      </c>
      <c r="C59" s="325"/>
      <c r="D59" s="326">
        <v>350000</v>
      </c>
      <c r="E59" s="326" t="s">
        <v>5718</v>
      </c>
      <c r="F59" s="326"/>
      <c r="G59" s="326"/>
      <c r="H59" s="359" t="s">
        <v>5714</v>
      </c>
    </row>
    <row r="60" spans="1:8">
      <c r="A60" s="305"/>
      <c r="B60" s="325"/>
      <c r="C60" s="325"/>
      <c r="D60" s="326"/>
      <c r="E60" s="326"/>
      <c r="F60" s="326"/>
      <c r="G60" s="326"/>
      <c r="H60" s="359"/>
    </row>
    <row r="61" spans="1:8">
      <c r="A61" s="313">
        <v>45952</v>
      </c>
      <c r="B61" s="325" t="s">
        <v>5723</v>
      </c>
      <c r="C61" s="325"/>
      <c r="D61" s="326">
        <v>340000</v>
      </c>
      <c r="E61" s="337" t="s">
        <v>5724</v>
      </c>
      <c r="F61" s="326"/>
      <c r="G61" s="326"/>
      <c r="H61" s="359" t="s">
        <v>5725</v>
      </c>
    </row>
    <row r="62" spans="1:8">
      <c r="A62" s="305"/>
      <c r="B62" s="325"/>
      <c r="C62" s="325"/>
      <c r="D62" s="326"/>
      <c r="E62" s="326"/>
      <c r="F62" s="326"/>
      <c r="G62" s="326"/>
      <c r="H62" s="359"/>
    </row>
    <row r="63" spans="1:8">
      <c r="A63" s="313">
        <v>45952</v>
      </c>
      <c r="B63" s="325" t="s">
        <v>5720</v>
      </c>
      <c r="C63" s="325"/>
      <c r="D63" s="326">
        <v>190000</v>
      </c>
      <c r="E63" s="574" t="s">
        <v>5721</v>
      </c>
      <c r="F63" s="575"/>
      <c r="G63" s="575"/>
      <c r="H63" s="333" t="s">
        <v>5722</v>
      </c>
    </row>
    <row r="64" spans="1:8">
      <c r="A64" s="305"/>
      <c r="B64" s="325"/>
      <c r="C64" s="325"/>
      <c r="D64" s="326"/>
      <c r="E64" s="575"/>
      <c r="F64" s="575"/>
      <c r="G64" s="575"/>
      <c r="H64" s="333"/>
    </row>
    <row r="65" spans="1:8">
      <c r="A65" s="313">
        <v>45952</v>
      </c>
      <c r="B65" s="325" t="s">
        <v>5726</v>
      </c>
      <c r="C65" s="325"/>
      <c r="D65" s="326">
        <v>40000</v>
      </c>
      <c r="E65" s="575" t="s">
        <v>5727</v>
      </c>
      <c r="F65" s="575"/>
      <c r="G65" s="575"/>
      <c r="H65" s="333" t="s">
        <v>5728</v>
      </c>
    </row>
    <row r="66" spans="1:8">
      <c r="A66" s="305"/>
      <c r="B66" s="325"/>
      <c r="C66" s="325"/>
      <c r="D66" s="326"/>
      <c r="E66" s="575"/>
      <c r="F66" s="575"/>
      <c r="G66" s="575"/>
      <c r="H66" s="333"/>
    </row>
    <row r="67" spans="1:8">
      <c r="A67" s="313">
        <v>45953</v>
      </c>
      <c r="B67" s="325" t="s">
        <v>5731</v>
      </c>
      <c r="C67" s="325"/>
      <c r="D67" s="326">
        <v>720000</v>
      </c>
      <c r="E67" s="575" t="s">
        <v>5729</v>
      </c>
      <c r="F67" s="575"/>
      <c r="G67" s="575"/>
      <c r="H67" s="398" t="s">
        <v>5730</v>
      </c>
    </row>
    <row r="68" spans="1:8">
      <c r="A68" s="305"/>
      <c r="B68" s="325"/>
      <c r="C68" s="325"/>
      <c r="D68" s="326"/>
      <c r="E68" s="575"/>
      <c r="F68" s="575"/>
      <c r="G68" s="575"/>
      <c r="H68" s="399"/>
    </row>
    <row r="69" spans="1:8" ht="35.25" customHeight="1">
      <c r="A69" s="275">
        <v>45953</v>
      </c>
      <c r="B69" s="279" t="s">
        <v>5734</v>
      </c>
      <c r="C69" s="280"/>
      <c r="D69" s="281">
        <v>1310000</v>
      </c>
      <c r="E69" s="808" t="s">
        <v>5732</v>
      </c>
      <c r="F69" s="722"/>
      <c r="G69" s="723"/>
      <c r="H69" s="282" t="s">
        <v>5733</v>
      </c>
    </row>
    <row r="70" spans="1:8">
      <c r="A70" s="313">
        <v>45954</v>
      </c>
      <c r="B70" s="325"/>
      <c r="C70" s="325"/>
      <c r="D70" s="326">
        <v>240000</v>
      </c>
      <c r="E70" s="326"/>
      <c r="F70" s="326"/>
      <c r="G70" s="326"/>
      <c r="H70" s="359"/>
    </row>
    <row r="71" spans="1:8">
      <c r="A71" s="305"/>
      <c r="B71" s="325"/>
      <c r="C71" s="325"/>
      <c r="D71" s="326"/>
      <c r="E71" s="326"/>
      <c r="F71" s="326"/>
      <c r="G71" s="326"/>
      <c r="H71" s="359"/>
    </row>
    <row r="72" spans="1:8">
      <c r="A72" s="313">
        <v>45954</v>
      </c>
      <c r="B72" s="324"/>
      <c r="C72" s="325"/>
      <c r="D72" s="343">
        <v>230000</v>
      </c>
      <c r="E72" s="326"/>
      <c r="F72" s="326"/>
      <c r="G72" s="326"/>
      <c r="H72" s="359"/>
    </row>
    <row r="73" spans="1:8">
      <c r="A73" s="305"/>
      <c r="B73" s="325"/>
      <c r="C73" s="325"/>
      <c r="D73" s="344"/>
      <c r="E73" s="326"/>
      <c r="F73" s="326"/>
      <c r="G73" s="326"/>
      <c r="H73" s="359"/>
    </row>
    <row r="74" spans="1:8">
      <c r="A74" s="765"/>
      <c r="B74" s="644"/>
      <c r="C74" s="645"/>
      <c r="D74" s="645"/>
      <c r="E74" s="645"/>
      <c r="F74" s="645"/>
      <c r="G74" s="645"/>
      <c r="H74" s="646"/>
    </row>
    <row r="75" spans="1:8" ht="27" customHeight="1">
      <c r="A75" s="766"/>
      <c r="B75" s="647"/>
      <c r="C75" s="648"/>
      <c r="D75" s="648"/>
      <c r="E75" s="648"/>
      <c r="F75" s="648"/>
      <c r="G75" s="648"/>
      <c r="H75" s="649"/>
    </row>
    <row r="76" spans="1:8">
      <c r="A76" s="313">
        <v>45958</v>
      </c>
      <c r="B76" s="325" t="s">
        <v>5737</v>
      </c>
      <c r="C76" s="325"/>
      <c r="D76" s="326">
        <v>150000</v>
      </c>
      <c r="E76" s="326" t="s">
        <v>5736</v>
      </c>
      <c r="F76" s="326"/>
      <c r="G76" s="326"/>
      <c r="H76" s="359" t="s">
        <v>5740</v>
      </c>
    </row>
    <row r="77" spans="1:8">
      <c r="A77" s="305"/>
      <c r="B77" s="325"/>
      <c r="C77" s="325"/>
      <c r="D77" s="326"/>
      <c r="E77" s="326"/>
      <c r="F77" s="326"/>
      <c r="G77" s="326"/>
      <c r="H77" s="359"/>
    </row>
    <row r="78" spans="1:8">
      <c r="A78" s="313">
        <v>45958</v>
      </c>
      <c r="B78" s="325" t="s">
        <v>5738</v>
      </c>
      <c r="C78" s="325"/>
      <c r="D78" s="326">
        <v>300000</v>
      </c>
      <c r="E78" s="575" t="s">
        <v>5739</v>
      </c>
      <c r="F78" s="575"/>
      <c r="G78" s="575"/>
      <c r="H78" s="333" t="s">
        <v>5740</v>
      </c>
    </row>
    <row r="79" spans="1:8">
      <c r="A79" s="305"/>
      <c r="B79" s="325"/>
      <c r="C79" s="325"/>
      <c r="D79" s="326"/>
      <c r="E79" s="575"/>
      <c r="F79" s="575"/>
      <c r="G79" s="575"/>
      <c r="H79" s="333"/>
    </row>
    <row r="80" spans="1:8">
      <c r="A80" s="313">
        <v>45958</v>
      </c>
      <c r="B80" s="324" t="s">
        <v>5741</v>
      </c>
      <c r="C80" s="325"/>
      <c r="D80" s="343">
        <v>160000</v>
      </c>
      <c r="E80" s="326" t="s">
        <v>5742</v>
      </c>
      <c r="F80" s="326"/>
      <c r="G80" s="326"/>
      <c r="H80" s="359" t="s">
        <v>5743</v>
      </c>
    </row>
    <row r="81" spans="1:8">
      <c r="A81" s="305"/>
      <c r="B81" s="325"/>
      <c r="C81" s="325"/>
      <c r="D81" s="344"/>
      <c r="E81" s="326"/>
      <c r="F81" s="326"/>
      <c r="G81" s="326"/>
      <c r="H81" s="359"/>
    </row>
    <row r="82" spans="1:8">
      <c r="A82" s="313">
        <v>45959</v>
      </c>
      <c r="B82" s="324" t="s">
        <v>5745</v>
      </c>
      <c r="C82" s="325"/>
      <c r="D82" s="326">
        <v>270000</v>
      </c>
      <c r="E82" s="575" t="s">
        <v>5748</v>
      </c>
      <c r="F82" s="575"/>
      <c r="G82" s="575"/>
      <c r="H82" s="359" t="s">
        <v>145</v>
      </c>
    </row>
    <row r="83" spans="1:8">
      <c r="A83" s="305"/>
      <c r="B83" s="325"/>
      <c r="C83" s="325"/>
      <c r="D83" s="326"/>
      <c r="E83" s="575"/>
      <c r="F83" s="575"/>
      <c r="G83" s="575"/>
      <c r="H83" s="359"/>
    </row>
    <row r="84" spans="1:8">
      <c r="A84" s="313">
        <v>45960</v>
      </c>
      <c r="B84" s="325" t="s">
        <v>5744</v>
      </c>
      <c r="C84" s="325"/>
      <c r="D84" s="326">
        <v>135000</v>
      </c>
      <c r="E84" s="326" t="s">
        <v>5747</v>
      </c>
      <c r="F84" s="326"/>
      <c r="G84" s="326"/>
      <c r="H84" s="398" t="s">
        <v>5746</v>
      </c>
    </row>
    <row r="85" spans="1:8">
      <c r="A85" s="305"/>
      <c r="B85" s="325"/>
      <c r="C85" s="325"/>
      <c r="D85" s="326"/>
      <c r="E85" s="326"/>
      <c r="F85" s="326"/>
      <c r="G85" s="326"/>
      <c r="H85" s="399"/>
    </row>
    <row r="86" spans="1:8">
      <c r="A86" s="313">
        <v>45960</v>
      </c>
      <c r="B86" s="325" t="s">
        <v>5749</v>
      </c>
      <c r="C86" s="325"/>
      <c r="D86" s="326">
        <v>370000</v>
      </c>
      <c r="E86" s="575" t="s">
        <v>5751</v>
      </c>
      <c r="F86" s="575"/>
      <c r="G86" s="575"/>
      <c r="H86" s="359" t="s">
        <v>5750</v>
      </c>
    </row>
    <row r="87" spans="1:8">
      <c r="A87" s="305"/>
      <c r="B87" s="325"/>
      <c r="C87" s="325"/>
      <c r="D87" s="326"/>
      <c r="E87" s="575"/>
      <c r="F87" s="575"/>
      <c r="G87" s="575"/>
      <c r="H87" s="359"/>
    </row>
    <row r="88" spans="1:8">
      <c r="A88" s="313">
        <v>45961</v>
      </c>
      <c r="B88" s="325" t="s">
        <v>5752</v>
      </c>
      <c r="C88" s="325"/>
      <c r="D88" s="326">
        <v>310000</v>
      </c>
      <c r="E88" s="326" t="s">
        <v>4503</v>
      </c>
      <c r="F88" s="326"/>
      <c r="G88" s="326"/>
      <c r="H88" s="359" t="s">
        <v>145</v>
      </c>
    </row>
    <row r="89" spans="1:8">
      <c r="A89" s="305"/>
      <c r="B89" s="325"/>
      <c r="C89" s="325"/>
      <c r="D89" s="326"/>
      <c r="E89" s="326"/>
      <c r="F89" s="326"/>
      <c r="G89" s="326"/>
      <c r="H89" s="359"/>
    </row>
    <row r="90" spans="1:8">
      <c r="A90" s="313">
        <v>45961</v>
      </c>
      <c r="B90" s="325" t="s">
        <v>5753</v>
      </c>
      <c r="C90" s="325"/>
      <c r="D90" s="326">
        <v>354000</v>
      </c>
      <c r="E90" s="326" t="s">
        <v>5754</v>
      </c>
      <c r="F90" s="326"/>
      <c r="G90" s="326"/>
      <c r="H90" s="359" t="s">
        <v>145</v>
      </c>
    </row>
    <row r="91" spans="1:8">
      <c r="A91" s="305"/>
      <c r="B91" s="325"/>
      <c r="C91" s="325"/>
      <c r="D91" s="326"/>
      <c r="E91" s="326"/>
      <c r="F91" s="326"/>
      <c r="G91" s="326"/>
      <c r="H91" s="359"/>
    </row>
    <row r="92" spans="1:8">
      <c r="A92" s="313">
        <v>45961</v>
      </c>
      <c r="B92" s="325" t="s">
        <v>5755</v>
      </c>
      <c r="C92" s="325"/>
      <c r="D92" s="326">
        <v>834000</v>
      </c>
      <c r="E92" s="326" t="s">
        <v>5756</v>
      </c>
      <c r="F92" s="326"/>
      <c r="G92" s="326"/>
      <c r="H92" s="359" t="s">
        <v>145</v>
      </c>
    </row>
    <row r="93" spans="1:8">
      <c r="A93" s="305"/>
      <c r="B93" s="325"/>
      <c r="C93" s="325"/>
      <c r="D93" s="326"/>
      <c r="E93" s="326"/>
      <c r="F93" s="326"/>
      <c r="G93" s="326"/>
      <c r="H93" s="359"/>
    </row>
    <row r="94" spans="1:8">
      <c r="A94" s="313">
        <v>45961</v>
      </c>
      <c r="B94" s="325" t="s">
        <v>5758</v>
      </c>
      <c r="C94" s="325" t="s">
        <v>5757</v>
      </c>
      <c r="D94" s="326">
        <v>840000</v>
      </c>
      <c r="E94" s="326" t="s">
        <v>5756</v>
      </c>
      <c r="F94" s="326"/>
      <c r="G94" s="326"/>
      <c r="H94" s="359" t="s">
        <v>145</v>
      </c>
    </row>
    <row r="95" spans="1:8">
      <c r="A95" s="305"/>
      <c r="B95" s="325"/>
      <c r="C95" s="325"/>
      <c r="D95" s="326"/>
      <c r="E95" s="326"/>
      <c r="F95" s="326"/>
      <c r="G95" s="326"/>
      <c r="H95" s="359"/>
    </row>
    <row r="96" spans="1:8">
      <c r="A96" s="313">
        <v>45961</v>
      </c>
      <c r="B96" s="325" t="s">
        <v>5759</v>
      </c>
      <c r="C96" s="325"/>
      <c r="D96" s="326">
        <v>150000</v>
      </c>
      <c r="E96" s="326" t="s">
        <v>5760</v>
      </c>
      <c r="F96" s="326"/>
      <c r="G96" s="326"/>
      <c r="H96" s="359" t="s">
        <v>5761</v>
      </c>
    </row>
    <row r="97" spans="1:8">
      <c r="A97" s="305"/>
      <c r="B97" s="325"/>
      <c r="C97" s="325"/>
      <c r="D97" s="326"/>
      <c r="E97" s="326"/>
      <c r="F97" s="326"/>
      <c r="G97" s="326"/>
      <c r="H97" s="359"/>
    </row>
    <row r="98" spans="1:8">
      <c r="A98" s="313">
        <v>45961</v>
      </c>
      <c r="B98" s="325" t="s">
        <v>5762</v>
      </c>
      <c r="C98" s="325"/>
      <c r="D98" s="326">
        <v>590000</v>
      </c>
      <c r="E98" s="326" t="s">
        <v>5763</v>
      </c>
      <c r="F98" s="326"/>
      <c r="G98" s="326"/>
      <c r="H98" s="359" t="s">
        <v>145</v>
      </c>
    </row>
    <row r="99" spans="1:8">
      <c r="A99" s="305"/>
      <c r="B99" s="325"/>
      <c r="C99" s="325"/>
      <c r="D99" s="326"/>
      <c r="E99" s="326"/>
      <c r="F99" s="326"/>
      <c r="G99" s="326"/>
      <c r="H99" s="359"/>
    </row>
    <row r="100" spans="1:8">
      <c r="A100" s="313">
        <v>45961</v>
      </c>
      <c r="B100" s="325" t="s">
        <v>5765</v>
      </c>
      <c r="C100" s="325"/>
      <c r="D100" s="326">
        <v>600000</v>
      </c>
      <c r="E100" s="326"/>
      <c r="F100" s="326"/>
      <c r="G100" s="326"/>
      <c r="H100" s="359" t="s">
        <v>145</v>
      </c>
    </row>
    <row r="101" spans="1:8">
      <c r="A101" s="305"/>
      <c r="B101" s="325"/>
      <c r="C101" s="325"/>
      <c r="D101" s="326"/>
      <c r="E101" s="326"/>
      <c r="F101" s="326"/>
      <c r="G101" s="326"/>
      <c r="H101" s="359"/>
    </row>
    <row r="102" spans="1:8">
      <c r="A102" s="313"/>
      <c r="B102" s="325"/>
      <c r="C102" s="325"/>
      <c r="D102" s="326"/>
      <c r="E102" s="326"/>
      <c r="F102" s="326"/>
      <c r="G102" s="326"/>
      <c r="H102" s="359"/>
    </row>
    <row r="103" spans="1:8">
      <c r="A103" s="305"/>
      <c r="B103" s="325"/>
      <c r="C103" s="325"/>
      <c r="D103" s="326"/>
      <c r="E103" s="326"/>
      <c r="F103" s="326"/>
      <c r="G103" s="326"/>
      <c r="H103" s="359"/>
    </row>
    <row r="104" spans="1:8">
      <c r="A104" s="313"/>
      <c r="B104" s="325"/>
      <c r="C104" s="325"/>
      <c r="D104" s="326"/>
      <c r="E104" s="326"/>
      <c r="F104" s="326"/>
      <c r="G104" s="326"/>
      <c r="H104" s="359"/>
    </row>
    <row r="105" spans="1:8">
      <c r="A105" s="305"/>
      <c r="B105" s="325"/>
      <c r="C105" s="325"/>
      <c r="D105" s="326"/>
      <c r="E105" s="326"/>
      <c r="F105" s="326"/>
      <c r="G105" s="326"/>
      <c r="H105" s="359"/>
    </row>
  </sheetData>
  <mergeCells count="296"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  <mergeCell ref="A6:A7"/>
    <mergeCell ref="B6:B7"/>
    <mergeCell ref="C6:C7"/>
    <mergeCell ref="D6:D7"/>
    <mergeCell ref="E6:G7"/>
    <mergeCell ref="H6:H7"/>
    <mergeCell ref="A3:H3"/>
    <mergeCell ref="A4:A5"/>
    <mergeCell ref="B4:B5"/>
    <mergeCell ref="C4:C5"/>
    <mergeCell ref="D4:D5"/>
    <mergeCell ref="E4:G5"/>
    <mergeCell ref="H4:H5"/>
    <mergeCell ref="A10:A11"/>
    <mergeCell ref="B10:B11"/>
    <mergeCell ref="C10:C11"/>
    <mergeCell ref="D10:D11"/>
    <mergeCell ref="E10:G11"/>
    <mergeCell ref="H10:H11"/>
    <mergeCell ref="A8:A9"/>
    <mergeCell ref="B8:B9"/>
    <mergeCell ref="C8:C9"/>
    <mergeCell ref="D8:D9"/>
    <mergeCell ref="E8:G9"/>
    <mergeCell ref="H8:H9"/>
    <mergeCell ref="H13:H14"/>
    <mergeCell ref="A15:A16"/>
    <mergeCell ref="B15:B16"/>
    <mergeCell ref="C15:C16"/>
    <mergeCell ref="D15:D16"/>
    <mergeCell ref="E15:G16"/>
    <mergeCell ref="H15:H16"/>
    <mergeCell ref="E12:G12"/>
    <mergeCell ref="A13:A14"/>
    <mergeCell ref="B13:B14"/>
    <mergeCell ref="C13:C14"/>
    <mergeCell ref="D13:D14"/>
    <mergeCell ref="E13:G14"/>
    <mergeCell ref="A19:A20"/>
    <mergeCell ref="B19:B20"/>
    <mergeCell ref="C19:C20"/>
    <mergeCell ref="D19:D20"/>
    <mergeCell ref="E19:G20"/>
    <mergeCell ref="H19:H20"/>
    <mergeCell ref="A17:A18"/>
    <mergeCell ref="B17:B18"/>
    <mergeCell ref="C17:C18"/>
    <mergeCell ref="D17:D18"/>
    <mergeCell ref="E17:G18"/>
    <mergeCell ref="H17:H18"/>
    <mergeCell ref="A25:A26"/>
    <mergeCell ref="B25:B26"/>
    <mergeCell ref="C25:C26"/>
    <mergeCell ref="D25:D26"/>
    <mergeCell ref="E25:G26"/>
    <mergeCell ref="H25:H26"/>
    <mergeCell ref="A23:A24"/>
    <mergeCell ref="B23:H24"/>
    <mergeCell ref="A21:A22"/>
    <mergeCell ref="B21:B22"/>
    <mergeCell ref="C21:C22"/>
    <mergeCell ref="D21:D22"/>
    <mergeCell ref="E21:G22"/>
    <mergeCell ref="H21:H22"/>
    <mergeCell ref="E27:G27"/>
    <mergeCell ref="E32:G32"/>
    <mergeCell ref="A33:A34"/>
    <mergeCell ref="B33:B34"/>
    <mergeCell ref="C33:C34"/>
    <mergeCell ref="D33:D34"/>
    <mergeCell ref="E33:G34"/>
    <mergeCell ref="A28:A29"/>
    <mergeCell ref="B28:H29"/>
    <mergeCell ref="A30:A31"/>
    <mergeCell ref="B30:B31"/>
    <mergeCell ref="C30:C31"/>
    <mergeCell ref="D30:D31"/>
    <mergeCell ref="E30:G31"/>
    <mergeCell ref="H30:H31"/>
    <mergeCell ref="A37:A38"/>
    <mergeCell ref="B37:B38"/>
    <mergeCell ref="C37:C38"/>
    <mergeCell ref="D37:D38"/>
    <mergeCell ref="E37:G38"/>
    <mergeCell ref="H37:H38"/>
    <mergeCell ref="H33:H34"/>
    <mergeCell ref="A35:A36"/>
    <mergeCell ref="B35:B36"/>
    <mergeCell ref="C35:C36"/>
    <mergeCell ref="D35:D36"/>
    <mergeCell ref="E35:G36"/>
    <mergeCell ref="H35:H36"/>
    <mergeCell ref="A41:A42"/>
    <mergeCell ref="B41:B42"/>
    <mergeCell ref="C41:C42"/>
    <mergeCell ref="D41:D42"/>
    <mergeCell ref="E41:G42"/>
    <mergeCell ref="H41:H42"/>
    <mergeCell ref="A39:A40"/>
    <mergeCell ref="B39:B40"/>
    <mergeCell ref="C39:C40"/>
    <mergeCell ref="D39:D40"/>
    <mergeCell ref="E39:G40"/>
    <mergeCell ref="H39:H40"/>
    <mergeCell ref="A45:A46"/>
    <mergeCell ref="B45:B46"/>
    <mergeCell ref="C45:C46"/>
    <mergeCell ref="D45:D46"/>
    <mergeCell ref="E45:G46"/>
    <mergeCell ref="H45:H46"/>
    <mergeCell ref="A43:A44"/>
    <mergeCell ref="B43:B44"/>
    <mergeCell ref="C43:C44"/>
    <mergeCell ref="D43:D44"/>
    <mergeCell ref="E43:G44"/>
    <mergeCell ref="H43:H44"/>
    <mergeCell ref="A51:A52"/>
    <mergeCell ref="B51:B52"/>
    <mergeCell ref="C51:C52"/>
    <mergeCell ref="D51:D52"/>
    <mergeCell ref="E51:G52"/>
    <mergeCell ref="H51:H52"/>
    <mergeCell ref="A47:A48"/>
    <mergeCell ref="B47:H48"/>
    <mergeCell ref="A49:A50"/>
    <mergeCell ref="B49:B50"/>
    <mergeCell ref="C49:C50"/>
    <mergeCell ref="D49:D50"/>
    <mergeCell ref="E49:G50"/>
    <mergeCell ref="H49:H50"/>
    <mergeCell ref="A55:A56"/>
    <mergeCell ref="B55:B56"/>
    <mergeCell ref="C55:C56"/>
    <mergeCell ref="D55:D56"/>
    <mergeCell ref="E55:G56"/>
    <mergeCell ref="H55:H56"/>
    <mergeCell ref="A53:A54"/>
    <mergeCell ref="B53:B54"/>
    <mergeCell ref="C53:C54"/>
    <mergeCell ref="D53:D54"/>
    <mergeCell ref="E53:G54"/>
    <mergeCell ref="H53:H54"/>
    <mergeCell ref="A59:A60"/>
    <mergeCell ref="B59:B60"/>
    <mergeCell ref="C59:C60"/>
    <mergeCell ref="D59:D60"/>
    <mergeCell ref="E59:G60"/>
    <mergeCell ref="H59:H60"/>
    <mergeCell ref="A57:A58"/>
    <mergeCell ref="B57:B58"/>
    <mergeCell ref="C57:C58"/>
    <mergeCell ref="D57:D58"/>
    <mergeCell ref="E57:G58"/>
    <mergeCell ref="H57:H58"/>
    <mergeCell ref="A63:A64"/>
    <mergeCell ref="B63:B64"/>
    <mergeCell ref="C63:C64"/>
    <mergeCell ref="D63:D64"/>
    <mergeCell ref="E63:G64"/>
    <mergeCell ref="H63:H64"/>
    <mergeCell ref="A61:A62"/>
    <mergeCell ref="B61:B62"/>
    <mergeCell ref="C61:C62"/>
    <mergeCell ref="D61:D62"/>
    <mergeCell ref="E61:G62"/>
    <mergeCell ref="H61:H62"/>
    <mergeCell ref="A67:A68"/>
    <mergeCell ref="B67:B68"/>
    <mergeCell ref="C67:C68"/>
    <mergeCell ref="D67:D68"/>
    <mergeCell ref="E67:G68"/>
    <mergeCell ref="H67:H68"/>
    <mergeCell ref="A65:A66"/>
    <mergeCell ref="B65:B66"/>
    <mergeCell ref="C65:C66"/>
    <mergeCell ref="D65:D66"/>
    <mergeCell ref="E65:G66"/>
    <mergeCell ref="H65:H66"/>
    <mergeCell ref="H70:H71"/>
    <mergeCell ref="A72:A73"/>
    <mergeCell ref="B72:B73"/>
    <mergeCell ref="C72:C73"/>
    <mergeCell ref="D72:D73"/>
    <mergeCell ref="E72:G73"/>
    <mergeCell ref="H72:H73"/>
    <mergeCell ref="E69:G69"/>
    <mergeCell ref="A70:A71"/>
    <mergeCell ref="B70:B71"/>
    <mergeCell ref="C70:C71"/>
    <mergeCell ref="D70:D71"/>
    <mergeCell ref="E70:G71"/>
    <mergeCell ref="A76:A77"/>
    <mergeCell ref="B76:B77"/>
    <mergeCell ref="C76:C77"/>
    <mergeCell ref="D76:D77"/>
    <mergeCell ref="E76:G77"/>
    <mergeCell ref="H76:H77"/>
    <mergeCell ref="A74:A75"/>
    <mergeCell ref="B74:H75"/>
    <mergeCell ref="A80:A81"/>
    <mergeCell ref="B80:B81"/>
    <mergeCell ref="C80:C81"/>
    <mergeCell ref="D80:D81"/>
    <mergeCell ref="E80:G81"/>
    <mergeCell ref="H80:H81"/>
    <mergeCell ref="A78:A79"/>
    <mergeCell ref="B78:B79"/>
    <mergeCell ref="C78:C79"/>
    <mergeCell ref="D78:D79"/>
    <mergeCell ref="E78:G79"/>
    <mergeCell ref="H78:H79"/>
    <mergeCell ref="A84:A85"/>
    <mergeCell ref="B84:B85"/>
    <mergeCell ref="C84:C85"/>
    <mergeCell ref="D84:D85"/>
    <mergeCell ref="E84:G85"/>
    <mergeCell ref="H84:H85"/>
    <mergeCell ref="A82:A83"/>
    <mergeCell ref="B82:B83"/>
    <mergeCell ref="C82:C83"/>
    <mergeCell ref="D82:D83"/>
    <mergeCell ref="E82:G83"/>
    <mergeCell ref="H82:H83"/>
    <mergeCell ref="A88:A89"/>
    <mergeCell ref="B88:B89"/>
    <mergeCell ref="C88:C89"/>
    <mergeCell ref="D88:D89"/>
    <mergeCell ref="E88:G89"/>
    <mergeCell ref="H88:H89"/>
    <mergeCell ref="A86:A87"/>
    <mergeCell ref="B86:B87"/>
    <mergeCell ref="C86:C87"/>
    <mergeCell ref="D86:D87"/>
    <mergeCell ref="E86:G87"/>
    <mergeCell ref="H86:H87"/>
    <mergeCell ref="A92:A93"/>
    <mergeCell ref="B92:B93"/>
    <mergeCell ref="C92:C93"/>
    <mergeCell ref="D92:D93"/>
    <mergeCell ref="E92:G93"/>
    <mergeCell ref="H92:H93"/>
    <mergeCell ref="A90:A91"/>
    <mergeCell ref="B90:B91"/>
    <mergeCell ref="C90:C91"/>
    <mergeCell ref="D90:D91"/>
    <mergeCell ref="E90:G91"/>
    <mergeCell ref="H90:H91"/>
    <mergeCell ref="A96:A97"/>
    <mergeCell ref="B96:B97"/>
    <mergeCell ref="C96:C97"/>
    <mergeCell ref="D96:D97"/>
    <mergeCell ref="E96:G97"/>
    <mergeCell ref="H96:H97"/>
    <mergeCell ref="A94:A95"/>
    <mergeCell ref="B94:B95"/>
    <mergeCell ref="C94:C95"/>
    <mergeCell ref="D94:D95"/>
    <mergeCell ref="E94:G95"/>
    <mergeCell ref="H94:H95"/>
    <mergeCell ref="A100:A101"/>
    <mergeCell ref="B100:B101"/>
    <mergeCell ref="C100:C101"/>
    <mergeCell ref="D100:D101"/>
    <mergeCell ref="E100:G101"/>
    <mergeCell ref="H100:H101"/>
    <mergeCell ref="A98:A99"/>
    <mergeCell ref="B98:B99"/>
    <mergeCell ref="C98:C99"/>
    <mergeCell ref="D98:D99"/>
    <mergeCell ref="E98:G99"/>
    <mergeCell ref="H98:H99"/>
    <mergeCell ref="A104:A105"/>
    <mergeCell ref="B104:B105"/>
    <mergeCell ref="C104:C105"/>
    <mergeCell ref="D104:D105"/>
    <mergeCell ref="E104:G105"/>
    <mergeCell ref="H104:H105"/>
    <mergeCell ref="A102:A103"/>
    <mergeCell ref="B102:B103"/>
    <mergeCell ref="C102:C103"/>
    <mergeCell ref="D102:D103"/>
    <mergeCell ref="E102:G103"/>
    <mergeCell ref="H102:H103"/>
  </mergeCells>
  <phoneticPr fontId="1" type="noConversion"/>
  <pageMargins left="0" right="0" top="0" bottom="0" header="0" footer="0"/>
  <pageSetup paperSize="9" scale="36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33"/>
  <sheetViews>
    <sheetView showGridLines="0" zoomScale="115" zoomScaleNormal="115" workbookViewId="0">
      <pane xSplit="8" ySplit="2" topLeftCell="I114" activePane="bottomRight" state="frozen"/>
      <selection pane="topRight" activeCell="I1" sqref="I1"/>
      <selection pane="bottomLeft" activeCell="A3" sqref="A3"/>
      <selection pane="bottomRight" activeCell="A126" sqref="A4:A127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9" max="9" width="8.625" customWidth="1"/>
    <col min="10" max="10" width="13.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  <col min="18" max="18" width="9.5" bestFit="1" customWidth="1"/>
  </cols>
  <sheetData>
    <row r="1" spans="1:18" ht="35.25" customHeight="1" thickBot="1">
      <c r="A1" s="388" t="s">
        <v>5475</v>
      </c>
      <c r="B1" s="389"/>
      <c r="C1" s="402" t="s">
        <v>27</v>
      </c>
      <c r="D1" s="403"/>
      <c r="E1" s="21" t="s">
        <v>26</v>
      </c>
      <c r="F1" s="20">
        <f>H1/31</f>
        <v>1056387.0967741935</v>
      </c>
      <c r="G1" s="21" t="s">
        <v>4</v>
      </c>
      <c r="H1" s="22">
        <f>SUM(D4:D133)</f>
        <v>32748000</v>
      </c>
      <c r="I1" s="392"/>
      <c r="J1" s="338"/>
      <c r="K1" s="394"/>
      <c r="L1" s="396"/>
      <c r="M1" s="377"/>
      <c r="N1" s="379"/>
      <c r="O1" s="381"/>
      <c r="P1" s="383"/>
      <c r="Q1" s="377"/>
      <c r="R1" s="376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385" t="s">
        <v>25</v>
      </c>
      <c r="F2" s="386"/>
      <c r="G2" s="387"/>
      <c r="H2" s="25" t="s">
        <v>5</v>
      </c>
      <c r="I2" s="393"/>
      <c r="J2" s="333"/>
      <c r="K2" s="395"/>
      <c r="L2" s="397"/>
      <c r="M2" s="378"/>
      <c r="N2" s="380"/>
      <c r="O2" s="382"/>
      <c r="P2" s="384"/>
      <c r="Q2" s="378"/>
      <c r="R2" s="376"/>
    </row>
    <row r="3" spans="1:18" ht="57.75" customHeight="1">
      <c r="A3" s="441" t="s">
        <v>5801</v>
      </c>
      <c r="B3" s="442"/>
      <c r="C3" s="442"/>
      <c r="D3" s="442"/>
      <c r="E3" s="442"/>
      <c r="F3" s="442"/>
      <c r="G3" s="442"/>
      <c r="H3" s="443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322">
        <v>45962</v>
      </c>
      <c r="B4" s="341" t="s">
        <v>41</v>
      </c>
      <c r="C4" s="341"/>
      <c r="D4" s="326">
        <v>250000</v>
      </c>
      <c r="E4" s="327" t="s">
        <v>5776</v>
      </c>
      <c r="F4" s="328"/>
      <c r="G4" s="329"/>
      <c r="H4" s="398" t="s">
        <v>5781</v>
      </c>
      <c r="J4" s="43"/>
    </row>
    <row r="5" spans="1:18" ht="16.5" customHeight="1">
      <c r="A5" s="323"/>
      <c r="B5" s="342"/>
      <c r="C5" s="342"/>
      <c r="D5" s="326"/>
      <c r="E5" s="330"/>
      <c r="F5" s="331"/>
      <c r="G5" s="332"/>
      <c r="H5" s="399"/>
      <c r="J5" s="43"/>
    </row>
    <row r="6" spans="1:18" ht="16.5" customHeight="1">
      <c r="A6" s="322">
        <v>45963</v>
      </c>
      <c r="B6" s="341" t="s">
        <v>5780</v>
      </c>
      <c r="C6" s="341"/>
      <c r="D6" s="343">
        <v>68000</v>
      </c>
      <c r="E6" s="327" t="s">
        <v>5779</v>
      </c>
      <c r="F6" s="345"/>
      <c r="G6" s="346"/>
      <c r="H6" s="398" t="s">
        <v>5778</v>
      </c>
    </row>
    <row r="7" spans="1:18" ht="51" customHeight="1">
      <c r="A7" s="323"/>
      <c r="B7" s="342"/>
      <c r="C7" s="342"/>
      <c r="D7" s="344"/>
      <c r="E7" s="347"/>
      <c r="F7" s="348"/>
      <c r="G7" s="349"/>
      <c r="H7" s="399"/>
    </row>
    <row r="8" spans="1:18" ht="16.5" customHeight="1">
      <c r="A8" s="322">
        <v>45965</v>
      </c>
      <c r="B8" s="324" t="s">
        <v>5774</v>
      </c>
      <c r="C8" s="341"/>
      <c r="D8" s="326">
        <v>390000</v>
      </c>
      <c r="E8" s="562" t="s">
        <v>5766</v>
      </c>
      <c r="F8" s="582"/>
      <c r="G8" s="583"/>
      <c r="H8" s="400" t="s">
        <v>5768</v>
      </c>
      <c r="J8" s="48"/>
    </row>
    <row r="9" spans="1:18" ht="33.75" customHeight="1">
      <c r="A9" s="323"/>
      <c r="B9" s="325"/>
      <c r="C9" s="342"/>
      <c r="D9" s="326"/>
      <c r="E9" s="584"/>
      <c r="F9" s="585"/>
      <c r="G9" s="586"/>
      <c r="H9" s="401"/>
    </row>
    <row r="10" spans="1:18" ht="16.5" customHeight="1">
      <c r="A10" s="322">
        <v>45965</v>
      </c>
      <c r="B10" s="324" t="s">
        <v>5773</v>
      </c>
      <c r="C10" s="341"/>
      <c r="D10" s="326">
        <v>1400000</v>
      </c>
      <c r="E10" s="562" t="s">
        <v>5766</v>
      </c>
      <c r="F10" s="582"/>
      <c r="G10" s="583"/>
      <c r="H10" s="398" t="s">
        <v>5768</v>
      </c>
    </row>
    <row r="11" spans="1:18" ht="26.25" customHeight="1">
      <c r="A11" s="323"/>
      <c r="B11" s="325"/>
      <c r="C11" s="342"/>
      <c r="D11" s="326"/>
      <c r="E11" s="584"/>
      <c r="F11" s="585"/>
      <c r="G11" s="586"/>
      <c r="H11" s="399"/>
    </row>
    <row r="12" spans="1:18" ht="45" customHeight="1">
      <c r="A12" s="285">
        <v>45966</v>
      </c>
      <c r="B12" s="289" t="s">
        <v>5772</v>
      </c>
      <c r="C12" s="289"/>
      <c r="D12" s="290">
        <v>1390000</v>
      </c>
      <c r="E12" s="721" t="s">
        <v>5767</v>
      </c>
      <c r="F12" s="722"/>
      <c r="G12" s="723"/>
      <c r="H12" s="98" t="s">
        <v>5768</v>
      </c>
    </row>
    <row r="13" spans="1:18">
      <c r="A13" s="322">
        <v>45966</v>
      </c>
      <c r="B13" s="324" t="s">
        <v>5769</v>
      </c>
      <c r="C13" s="325"/>
      <c r="D13" s="326">
        <v>470000</v>
      </c>
      <c r="E13" s="574" t="s">
        <v>5770</v>
      </c>
      <c r="F13" s="575"/>
      <c r="G13" s="575"/>
      <c r="H13" s="398" t="s">
        <v>5771</v>
      </c>
    </row>
    <row r="14" spans="1:18" ht="42.75" customHeight="1">
      <c r="A14" s="323"/>
      <c r="B14" s="325"/>
      <c r="C14" s="325"/>
      <c r="D14" s="326"/>
      <c r="E14" s="575"/>
      <c r="F14" s="575"/>
      <c r="G14" s="575"/>
      <c r="H14" s="399"/>
    </row>
    <row r="15" spans="1:18">
      <c r="A15" s="322">
        <v>45966</v>
      </c>
      <c r="B15" s="325" t="s">
        <v>5775</v>
      </c>
      <c r="C15" s="325"/>
      <c r="D15" s="326">
        <v>33000</v>
      </c>
      <c r="E15" s="337" t="s">
        <v>5776</v>
      </c>
      <c r="F15" s="326"/>
      <c r="G15" s="326"/>
      <c r="H15" s="359" t="s">
        <v>5777</v>
      </c>
    </row>
    <row r="16" spans="1:18" ht="30.75" customHeight="1">
      <c r="A16" s="323"/>
      <c r="B16" s="325"/>
      <c r="C16" s="325"/>
      <c r="D16" s="326"/>
      <c r="E16" s="326"/>
      <c r="F16" s="326"/>
      <c r="G16" s="326"/>
      <c r="H16" s="359"/>
    </row>
    <row r="17" spans="1:10">
      <c r="A17" s="322">
        <v>45966</v>
      </c>
      <c r="B17" s="322" t="s">
        <v>5784</v>
      </c>
      <c r="C17" s="325"/>
      <c r="D17" s="343">
        <v>320000</v>
      </c>
      <c r="E17" s="337" t="s">
        <v>5782</v>
      </c>
      <c r="F17" s="326"/>
      <c r="G17" s="326"/>
      <c r="H17" s="359" t="s">
        <v>5785</v>
      </c>
    </row>
    <row r="18" spans="1:10" ht="28.5" customHeight="1">
      <c r="A18" s="323"/>
      <c r="B18" s="323"/>
      <c r="C18" s="325"/>
      <c r="D18" s="344"/>
      <c r="E18" s="326"/>
      <c r="F18" s="326"/>
      <c r="G18" s="326"/>
      <c r="H18" s="359"/>
    </row>
    <row r="19" spans="1:10">
      <c r="A19" s="322">
        <v>45967</v>
      </c>
      <c r="B19" s="324" t="s">
        <v>5783</v>
      </c>
      <c r="C19" s="325"/>
      <c r="D19" s="343">
        <v>1200000</v>
      </c>
      <c r="E19" s="574" t="s">
        <v>5786</v>
      </c>
      <c r="F19" s="575"/>
      <c r="G19" s="575"/>
      <c r="H19" s="359" t="s">
        <v>5785</v>
      </c>
    </row>
    <row r="20" spans="1:10" ht="21.75" customHeight="1">
      <c r="A20" s="323"/>
      <c r="B20" s="325"/>
      <c r="C20" s="325"/>
      <c r="D20" s="344"/>
      <c r="E20" s="575"/>
      <c r="F20" s="575"/>
      <c r="G20" s="575"/>
      <c r="H20" s="359"/>
    </row>
    <row r="21" spans="1:10" ht="16.5" customHeight="1">
      <c r="A21" s="322">
        <v>45967</v>
      </c>
      <c r="B21" s="324" t="s">
        <v>5788</v>
      </c>
      <c r="C21" s="325"/>
      <c r="D21" s="326">
        <v>400000</v>
      </c>
      <c r="E21" s="575" t="s">
        <v>5787</v>
      </c>
      <c r="F21" s="575"/>
      <c r="G21" s="575"/>
      <c r="H21" s="333" t="s">
        <v>5789</v>
      </c>
    </row>
    <row r="22" spans="1:10" ht="16.5" customHeight="1">
      <c r="A22" s="323"/>
      <c r="B22" s="325"/>
      <c r="C22" s="325"/>
      <c r="D22" s="326"/>
      <c r="E22" s="575"/>
      <c r="F22" s="575"/>
      <c r="G22" s="575"/>
      <c r="H22" s="333"/>
    </row>
    <row r="23" spans="1:10">
      <c r="A23" s="322">
        <v>45968</v>
      </c>
      <c r="B23" s="325" t="s">
        <v>5790</v>
      </c>
      <c r="C23" s="325"/>
      <c r="D23" s="326">
        <v>290000</v>
      </c>
      <c r="E23" s="326" t="s">
        <v>5791</v>
      </c>
      <c r="F23" s="326"/>
      <c r="G23" s="326"/>
      <c r="H23" s="398" t="s">
        <v>5785</v>
      </c>
    </row>
    <row r="24" spans="1:10">
      <c r="A24" s="323"/>
      <c r="B24" s="325"/>
      <c r="C24" s="325"/>
      <c r="D24" s="326"/>
      <c r="E24" s="326"/>
      <c r="F24" s="326"/>
      <c r="G24" s="326"/>
      <c r="H24" s="399"/>
    </row>
    <row r="25" spans="1:10" ht="33" customHeight="1">
      <c r="A25" s="285">
        <v>45968</v>
      </c>
      <c r="B25" s="287" t="s">
        <v>5792</v>
      </c>
      <c r="C25" s="287"/>
      <c r="D25" s="288">
        <v>550000</v>
      </c>
      <c r="E25" s="627" t="s">
        <v>5793</v>
      </c>
      <c r="F25" s="628"/>
      <c r="G25" s="629"/>
      <c r="H25" s="291" t="s">
        <v>5794</v>
      </c>
    </row>
    <row r="26" spans="1:10" ht="17.25" customHeight="1">
      <c r="A26" s="322">
        <v>45968</v>
      </c>
      <c r="B26" s="325" t="s">
        <v>5795</v>
      </c>
      <c r="C26" s="325"/>
      <c r="D26" s="326">
        <v>240000</v>
      </c>
      <c r="E26" s="923" t="s">
        <v>5796</v>
      </c>
      <c r="F26" s="326"/>
      <c r="G26" s="326"/>
      <c r="H26" s="359" t="s">
        <v>5797</v>
      </c>
      <c r="J26" s="48"/>
    </row>
    <row r="27" spans="1:10" ht="17.25" customHeight="1">
      <c r="A27" s="323"/>
      <c r="B27" s="325"/>
      <c r="C27" s="325"/>
      <c r="D27" s="326"/>
      <c r="E27" s="326"/>
      <c r="F27" s="326"/>
      <c r="G27" s="326"/>
      <c r="H27" s="359"/>
      <c r="J27" s="48"/>
    </row>
    <row r="28" spans="1:10" ht="31.5" customHeight="1">
      <c r="A28" s="285">
        <v>45969</v>
      </c>
      <c r="B28" s="287" t="s">
        <v>5798</v>
      </c>
      <c r="C28" s="287"/>
      <c r="D28" s="288">
        <v>220000</v>
      </c>
      <c r="E28" s="627" t="s">
        <v>5799</v>
      </c>
      <c r="F28" s="628"/>
      <c r="G28" s="629"/>
      <c r="H28" s="292" t="s">
        <v>5800</v>
      </c>
      <c r="J28" s="48"/>
    </row>
    <row r="29" spans="1:10">
      <c r="A29" s="322"/>
      <c r="B29" s="933">
        <v>10128000</v>
      </c>
      <c r="C29" s="671"/>
      <c r="D29" s="671"/>
      <c r="E29" s="671"/>
      <c r="F29" s="671"/>
      <c r="G29" s="671"/>
      <c r="H29" s="672"/>
      <c r="J29" s="48"/>
    </row>
    <row r="30" spans="1:10" ht="34.5" customHeight="1">
      <c r="A30" s="323"/>
      <c r="B30" s="673"/>
      <c r="C30" s="674"/>
      <c r="D30" s="674"/>
      <c r="E30" s="674"/>
      <c r="F30" s="674"/>
      <c r="G30" s="674"/>
      <c r="H30" s="675"/>
      <c r="J30" s="48"/>
    </row>
    <row r="31" spans="1:10" ht="17.25" customHeight="1">
      <c r="A31" s="322">
        <v>45971</v>
      </c>
      <c r="B31" s="325" t="s">
        <v>5802</v>
      </c>
      <c r="C31" s="325"/>
      <c r="D31" s="343">
        <v>700000</v>
      </c>
      <c r="E31" s="575" t="s">
        <v>5803</v>
      </c>
      <c r="F31" s="575"/>
      <c r="G31" s="575"/>
      <c r="H31" s="398" t="s">
        <v>145</v>
      </c>
      <c r="J31" s="48"/>
    </row>
    <row r="32" spans="1:10" ht="17.25" customHeight="1">
      <c r="A32" s="323"/>
      <c r="B32" s="325"/>
      <c r="C32" s="325"/>
      <c r="D32" s="344"/>
      <c r="E32" s="575"/>
      <c r="F32" s="575"/>
      <c r="G32" s="575"/>
      <c r="H32" s="399"/>
      <c r="J32" s="48"/>
    </row>
    <row r="33" spans="1:10">
      <c r="A33" s="322">
        <v>45971</v>
      </c>
      <c r="B33" s="325" t="s">
        <v>5805</v>
      </c>
      <c r="C33" s="325"/>
      <c r="D33" s="343">
        <v>410000</v>
      </c>
      <c r="E33" s="575" t="s">
        <v>5804</v>
      </c>
      <c r="F33" s="575"/>
      <c r="G33" s="575"/>
      <c r="H33" s="333" t="s">
        <v>5839</v>
      </c>
      <c r="J33" s="48"/>
    </row>
    <row r="34" spans="1:10">
      <c r="A34" s="323"/>
      <c r="B34" s="325"/>
      <c r="C34" s="325"/>
      <c r="D34" s="344"/>
      <c r="E34" s="575"/>
      <c r="F34" s="575"/>
      <c r="G34" s="575"/>
      <c r="H34" s="333"/>
      <c r="J34" s="48"/>
    </row>
    <row r="35" spans="1:10">
      <c r="A35" s="322">
        <v>45971</v>
      </c>
      <c r="B35" s="325" t="s">
        <v>5807</v>
      </c>
      <c r="C35" s="325"/>
      <c r="D35" s="326">
        <v>570000</v>
      </c>
      <c r="E35" s="575" t="s">
        <v>5806</v>
      </c>
      <c r="F35" s="575"/>
      <c r="G35" s="575"/>
      <c r="H35" s="398" t="s">
        <v>145</v>
      </c>
    </row>
    <row r="36" spans="1:10">
      <c r="A36" s="323"/>
      <c r="B36" s="325"/>
      <c r="C36" s="325"/>
      <c r="D36" s="326"/>
      <c r="E36" s="575"/>
      <c r="F36" s="575"/>
      <c r="G36" s="575"/>
      <c r="H36" s="399"/>
    </row>
    <row r="37" spans="1:10">
      <c r="A37" s="313">
        <v>45972</v>
      </c>
      <c r="B37" s="325" t="s">
        <v>5808</v>
      </c>
      <c r="C37" s="325"/>
      <c r="D37" s="326">
        <v>500000</v>
      </c>
      <c r="E37" s="326" t="s">
        <v>5811</v>
      </c>
      <c r="F37" s="326"/>
      <c r="G37" s="326"/>
      <c r="H37" s="359" t="s">
        <v>5809</v>
      </c>
    </row>
    <row r="38" spans="1:10">
      <c r="A38" s="305"/>
      <c r="B38" s="325"/>
      <c r="C38" s="325"/>
      <c r="D38" s="326"/>
      <c r="E38" s="326"/>
      <c r="F38" s="326"/>
      <c r="G38" s="326"/>
      <c r="H38" s="359"/>
    </row>
    <row r="39" spans="1:10">
      <c r="A39" s="313">
        <v>45972</v>
      </c>
      <c r="B39" s="325" t="s">
        <v>5810</v>
      </c>
      <c r="C39" s="325"/>
      <c r="D39" s="326">
        <v>2140000</v>
      </c>
      <c r="E39" s="575" t="s">
        <v>1748</v>
      </c>
      <c r="F39" s="575"/>
      <c r="G39" s="575"/>
      <c r="H39" s="333" t="s">
        <v>5818</v>
      </c>
    </row>
    <row r="40" spans="1:10">
      <c r="A40" s="305"/>
      <c r="B40" s="325"/>
      <c r="C40" s="325"/>
      <c r="D40" s="326"/>
      <c r="E40" s="575"/>
      <c r="F40" s="575"/>
      <c r="G40" s="575"/>
      <c r="H40" s="333"/>
    </row>
    <row r="41" spans="1:10">
      <c r="A41" s="313">
        <v>45972</v>
      </c>
      <c r="B41" s="325" t="s">
        <v>5815</v>
      </c>
      <c r="C41" s="325"/>
      <c r="D41" s="326">
        <v>880000</v>
      </c>
      <c r="E41" s="575" t="s">
        <v>1748</v>
      </c>
      <c r="F41" s="575"/>
      <c r="G41" s="575"/>
      <c r="H41" s="398" t="s">
        <v>145</v>
      </c>
    </row>
    <row r="42" spans="1:10">
      <c r="A42" s="305"/>
      <c r="B42" s="325"/>
      <c r="C42" s="325"/>
      <c r="D42" s="326"/>
      <c r="E42" s="575"/>
      <c r="F42" s="575"/>
      <c r="G42" s="575"/>
      <c r="H42" s="399"/>
    </row>
    <row r="43" spans="1:10">
      <c r="A43" s="313">
        <v>45973</v>
      </c>
      <c r="B43" s="325" t="s">
        <v>5819</v>
      </c>
      <c r="C43" s="325"/>
      <c r="D43" s="326">
        <v>330000</v>
      </c>
      <c r="E43" s="575" t="s">
        <v>5820</v>
      </c>
      <c r="F43" s="575"/>
      <c r="G43" s="575"/>
      <c r="H43" s="398" t="s">
        <v>145</v>
      </c>
    </row>
    <row r="44" spans="1:10">
      <c r="A44" s="305"/>
      <c r="B44" s="325"/>
      <c r="C44" s="325"/>
      <c r="D44" s="326"/>
      <c r="E44" s="575"/>
      <c r="F44" s="575"/>
      <c r="G44" s="575"/>
      <c r="H44" s="399"/>
    </row>
    <row r="45" spans="1:10">
      <c r="A45" s="313">
        <v>45973</v>
      </c>
      <c r="B45" s="325" t="s">
        <v>5812</v>
      </c>
      <c r="C45" s="325"/>
      <c r="D45" s="326">
        <v>242000</v>
      </c>
      <c r="E45" s="326" t="s">
        <v>5813</v>
      </c>
      <c r="F45" s="326"/>
      <c r="G45" s="326"/>
      <c r="H45" s="398" t="s">
        <v>5814</v>
      </c>
    </row>
    <row r="46" spans="1:10">
      <c r="A46" s="305"/>
      <c r="B46" s="325"/>
      <c r="C46" s="325"/>
      <c r="D46" s="326"/>
      <c r="E46" s="326"/>
      <c r="F46" s="326"/>
      <c r="G46" s="326"/>
      <c r="H46" s="399"/>
    </row>
    <row r="47" spans="1:10">
      <c r="A47" s="313">
        <v>45973</v>
      </c>
      <c r="B47" s="325" t="s">
        <v>5816</v>
      </c>
      <c r="C47" s="325"/>
      <c r="D47" s="326">
        <v>680000</v>
      </c>
      <c r="E47" s="326" t="s">
        <v>5817</v>
      </c>
      <c r="F47" s="326"/>
      <c r="G47" s="326"/>
      <c r="H47" s="333" t="s">
        <v>570</v>
      </c>
    </row>
    <row r="48" spans="1:10">
      <c r="A48" s="305"/>
      <c r="B48" s="325"/>
      <c r="C48" s="325"/>
      <c r="D48" s="326"/>
      <c r="E48" s="326"/>
      <c r="F48" s="326"/>
      <c r="G48" s="326"/>
      <c r="H48" s="333"/>
    </row>
    <row r="49" spans="1:8">
      <c r="A49" s="313">
        <v>45974</v>
      </c>
      <c r="B49" s="325" t="s">
        <v>5824</v>
      </c>
      <c r="C49" s="325"/>
      <c r="D49" s="326">
        <v>1050000</v>
      </c>
      <c r="E49" s="575" t="s">
        <v>5825</v>
      </c>
      <c r="F49" s="575"/>
      <c r="G49" s="575"/>
      <c r="H49" s="359" t="s">
        <v>5826</v>
      </c>
    </row>
    <row r="50" spans="1:8">
      <c r="A50" s="305"/>
      <c r="B50" s="325"/>
      <c r="C50" s="325"/>
      <c r="D50" s="326"/>
      <c r="E50" s="575"/>
      <c r="F50" s="575"/>
      <c r="G50" s="575"/>
      <c r="H50" s="359"/>
    </row>
    <row r="51" spans="1:8">
      <c r="A51" s="313">
        <v>45974</v>
      </c>
      <c r="B51" s="325" t="s">
        <v>5828</v>
      </c>
      <c r="C51" s="325"/>
      <c r="D51" s="326">
        <v>1200000</v>
      </c>
      <c r="E51" s="575" t="s">
        <v>5829</v>
      </c>
      <c r="F51" s="575"/>
      <c r="G51" s="575"/>
      <c r="H51" s="359" t="s">
        <v>5827</v>
      </c>
    </row>
    <row r="52" spans="1:8">
      <c r="A52" s="305"/>
      <c r="B52" s="325"/>
      <c r="C52" s="325"/>
      <c r="D52" s="326"/>
      <c r="E52" s="575"/>
      <c r="F52" s="575"/>
      <c r="G52" s="575"/>
      <c r="H52" s="359"/>
    </row>
    <row r="53" spans="1:8">
      <c r="A53" s="313">
        <v>45975</v>
      </c>
      <c r="B53" s="325" t="s">
        <v>5831</v>
      </c>
      <c r="C53" s="325"/>
      <c r="D53" s="326">
        <v>400000</v>
      </c>
      <c r="E53" s="575" t="s">
        <v>5830</v>
      </c>
      <c r="F53" s="575"/>
      <c r="G53" s="575"/>
      <c r="H53" s="359" t="s">
        <v>5832</v>
      </c>
    </row>
    <row r="54" spans="1:8">
      <c r="A54" s="305"/>
      <c r="B54" s="325"/>
      <c r="C54" s="325"/>
      <c r="D54" s="326"/>
      <c r="E54" s="575"/>
      <c r="F54" s="575"/>
      <c r="G54" s="575"/>
      <c r="H54" s="359"/>
    </row>
    <row r="55" spans="1:8">
      <c r="A55" s="313">
        <v>45975</v>
      </c>
      <c r="B55" s="325" t="s">
        <v>5821</v>
      </c>
      <c r="C55" s="325"/>
      <c r="D55" s="326">
        <v>36000</v>
      </c>
      <c r="E55" s="337" t="s">
        <v>5822</v>
      </c>
      <c r="F55" s="326"/>
      <c r="G55" s="326"/>
      <c r="H55" s="359" t="s">
        <v>5823</v>
      </c>
    </row>
    <row r="56" spans="1:8">
      <c r="A56" s="305"/>
      <c r="B56" s="325"/>
      <c r="C56" s="325"/>
      <c r="D56" s="326"/>
      <c r="E56" s="326"/>
      <c r="F56" s="326"/>
      <c r="G56" s="326"/>
      <c r="H56" s="359"/>
    </row>
    <row r="57" spans="1:8">
      <c r="A57" s="313">
        <v>45975</v>
      </c>
      <c r="B57" s="325" t="s">
        <v>5833</v>
      </c>
      <c r="C57" s="325"/>
      <c r="D57" s="326">
        <v>210000</v>
      </c>
      <c r="E57" s="337" t="s">
        <v>5834</v>
      </c>
      <c r="F57" s="326"/>
      <c r="G57" s="326"/>
      <c r="H57" s="359" t="s">
        <v>5835</v>
      </c>
    </row>
    <row r="58" spans="1:8">
      <c r="A58" s="305"/>
      <c r="B58" s="325"/>
      <c r="C58" s="325"/>
      <c r="D58" s="326"/>
      <c r="E58" s="326"/>
      <c r="F58" s="326"/>
      <c r="G58" s="326"/>
      <c r="H58" s="359"/>
    </row>
    <row r="59" spans="1:8">
      <c r="A59" s="313">
        <v>45975</v>
      </c>
      <c r="B59" s="325" t="s">
        <v>5836</v>
      </c>
      <c r="C59" s="325"/>
      <c r="D59" s="326">
        <v>170000</v>
      </c>
      <c r="E59" s="575" t="s">
        <v>5837</v>
      </c>
      <c r="F59" s="575"/>
      <c r="G59" s="575"/>
      <c r="H59" s="333" t="s">
        <v>5838</v>
      </c>
    </row>
    <row r="60" spans="1:8">
      <c r="A60" s="305"/>
      <c r="B60" s="325"/>
      <c r="C60" s="325"/>
      <c r="D60" s="326"/>
      <c r="E60" s="575"/>
      <c r="F60" s="575"/>
      <c r="G60" s="575"/>
      <c r="H60" s="333"/>
    </row>
    <row r="61" spans="1:8">
      <c r="A61" s="313">
        <v>45976</v>
      </c>
      <c r="B61" s="325"/>
      <c r="C61" s="325"/>
      <c r="D61" s="326">
        <v>320000</v>
      </c>
      <c r="E61" s="326"/>
      <c r="F61" s="326"/>
      <c r="G61" s="326"/>
      <c r="H61" s="398"/>
    </row>
    <row r="62" spans="1:8">
      <c r="A62" s="305"/>
      <c r="B62" s="325"/>
      <c r="C62" s="325"/>
      <c r="D62" s="326"/>
      <c r="E62" s="326"/>
      <c r="F62" s="326"/>
      <c r="G62" s="326"/>
      <c r="H62" s="399"/>
    </row>
    <row r="63" spans="1:8" ht="35.25" customHeight="1">
      <c r="A63" s="284">
        <v>45976</v>
      </c>
      <c r="B63" s="286"/>
      <c r="C63" s="287"/>
      <c r="D63" s="288">
        <v>290000</v>
      </c>
      <c r="E63" s="627"/>
      <c r="F63" s="628"/>
      <c r="G63" s="629"/>
      <c r="H63" s="291"/>
    </row>
    <row r="64" spans="1:8">
      <c r="A64" s="765"/>
      <c r="B64" s="932">
        <v>9603000</v>
      </c>
      <c r="C64" s="645"/>
      <c r="D64" s="645"/>
      <c r="E64" s="645"/>
      <c r="F64" s="645"/>
      <c r="G64" s="645"/>
      <c r="H64" s="646"/>
    </row>
    <row r="65" spans="1:8" ht="27" customHeight="1">
      <c r="A65" s="766"/>
      <c r="B65" s="647"/>
      <c r="C65" s="648"/>
      <c r="D65" s="648"/>
      <c r="E65" s="648"/>
      <c r="F65" s="648"/>
      <c r="G65" s="648"/>
      <c r="H65" s="649"/>
    </row>
    <row r="66" spans="1:8">
      <c r="A66" s="313">
        <v>45978</v>
      </c>
      <c r="B66" s="325" t="s">
        <v>5893</v>
      </c>
      <c r="C66" s="325"/>
      <c r="D66" s="326">
        <v>850000</v>
      </c>
      <c r="E66" s="575" t="s">
        <v>5840</v>
      </c>
      <c r="F66" s="575"/>
      <c r="G66" s="575"/>
      <c r="H66" s="359" t="s">
        <v>5841</v>
      </c>
    </row>
    <row r="67" spans="1:8">
      <c r="A67" s="305"/>
      <c r="B67" s="325"/>
      <c r="C67" s="325"/>
      <c r="D67" s="326"/>
      <c r="E67" s="575"/>
      <c r="F67" s="575"/>
      <c r="G67" s="575"/>
      <c r="H67" s="359"/>
    </row>
    <row r="68" spans="1:8">
      <c r="A68" s="313">
        <v>45978</v>
      </c>
      <c r="B68" s="325" t="s">
        <v>5842</v>
      </c>
      <c r="C68" s="325"/>
      <c r="D68" s="326">
        <v>180000</v>
      </c>
      <c r="E68" s="575" t="s">
        <v>5840</v>
      </c>
      <c r="F68" s="575"/>
      <c r="G68" s="575"/>
      <c r="H68" s="333" t="s">
        <v>5843</v>
      </c>
    </row>
    <row r="69" spans="1:8">
      <c r="A69" s="305"/>
      <c r="B69" s="325"/>
      <c r="C69" s="325"/>
      <c r="D69" s="326"/>
      <c r="E69" s="575"/>
      <c r="F69" s="575"/>
      <c r="G69" s="575"/>
      <c r="H69" s="333"/>
    </row>
    <row r="70" spans="1:8">
      <c r="A70" s="313">
        <v>45979</v>
      </c>
      <c r="B70" s="324" t="s">
        <v>5844</v>
      </c>
      <c r="C70" s="325"/>
      <c r="D70" s="343">
        <v>1250000</v>
      </c>
      <c r="E70" s="575" t="s">
        <v>5845</v>
      </c>
      <c r="F70" s="575"/>
      <c r="G70" s="575"/>
      <c r="H70" s="359" t="s">
        <v>5856</v>
      </c>
    </row>
    <row r="71" spans="1:8">
      <c r="A71" s="305"/>
      <c r="B71" s="325"/>
      <c r="C71" s="325"/>
      <c r="D71" s="344"/>
      <c r="E71" s="575"/>
      <c r="F71" s="575"/>
      <c r="G71" s="575"/>
      <c r="H71" s="359"/>
    </row>
    <row r="72" spans="1:8">
      <c r="A72" s="313">
        <v>45979</v>
      </c>
      <c r="B72" s="324" t="s">
        <v>5846</v>
      </c>
      <c r="C72" s="325"/>
      <c r="D72" s="326">
        <v>400000</v>
      </c>
      <c r="E72" s="575" t="s">
        <v>5847</v>
      </c>
      <c r="F72" s="575"/>
      <c r="G72" s="575"/>
      <c r="H72" s="359" t="s">
        <v>5849</v>
      </c>
    </row>
    <row r="73" spans="1:8">
      <c r="A73" s="305"/>
      <c r="B73" s="325"/>
      <c r="C73" s="325"/>
      <c r="D73" s="326"/>
      <c r="E73" s="575"/>
      <c r="F73" s="575"/>
      <c r="G73" s="575"/>
      <c r="H73" s="359"/>
    </row>
    <row r="74" spans="1:8">
      <c r="A74" s="313">
        <v>45979</v>
      </c>
      <c r="B74" s="325" t="s">
        <v>5850</v>
      </c>
      <c r="C74" s="325"/>
      <c r="D74" s="326">
        <v>800000</v>
      </c>
      <c r="E74" s="575" t="s">
        <v>5845</v>
      </c>
      <c r="F74" s="575"/>
      <c r="G74" s="575"/>
      <c r="H74" s="610" t="s">
        <v>5851</v>
      </c>
    </row>
    <row r="75" spans="1:8">
      <c r="A75" s="305"/>
      <c r="B75" s="325"/>
      <c r="C75" s="325"/>
      <c r="D75" s="326"/>
      <c r="E75" s="575"/>
      <c r="F75" s="575"/>
      <c r="G75" s="575"/>
      <c r="H75" s="611"/>
    </row>
    <row r="76" spans="1:8">
      <c r="A76" s="313">
        <v>45979</v>
      </c>
      <c r="B76" s="325" t="s">
        <v>5848</v>
      </c>
      <c r="C76" s="325"/>
      <c r="D76" s="326">
        <v>960000</v>
      </c>
      <c r="E76" s="575" t="s">
        <v>5845</v>
      </c>
      <c r="F76" s="575"/>
      <c r="G76" s="575"/>
      <c r="H76" s="333" t="s">
        <v>5851</v>
      </c>
    </row>
    <row r="77" spans="1:8">
      <c r="A77" s="305"/>
      <c r="B77" s="325"/>
      <c r="C77" s="325"/>
      <c r="D77" s="326"/>
      <c r="E77" s="575"/>
      <c r="F77" s="575"/>
      <c r="G77" s="575"/>
      <c r="H77" s="333"/>
    </row>
    <row r="78" spans="1:8">
      <c r="A78" s="313">
        <v>45979</v>
      </c>
      <c r="B78" s="325" t="s">
        <v>5852</v>
      </c>
      <c r="C78" s="325"/>
      <c r="D78" s="326">
        <v>280000</v>
      </c>
      <c r="E78" s="575" t="s">
        <v>5853</v>
      </c>
      <c r="F78" s="575"/>
      <c r="G78" s="575"/>
      <c r="H78" s="359" t="s">
        <v>5854</v>
      </c>
    </row>
    <row r="79" spans="1:8">
      <c r="A79" s="305"/>
      <c r="B79" s="325"/>
      <c r="C79" s="325"/>
      <c r="D79" s="326"/>
      <c r="E79" s="575"/>
      <c r="F79" s="575"/>
      <c r="G79" s="575"/>
      <c r="H79" s="359"/>
    </row>
    <row r="80" spans="1:8">
      <c r="A80" s="313">
        <v>45980</v>
      </c>
      <c r="B80" s="325" t="s">
        <v>5855</v>
      </c>
      <c r="C80" s="325"/>
      <c r="D80" s="326">
        <v>2200000</v>
      </c>
      <c r="E80" s="575" t="s">
        <v>5845</v>
      </c>
      <c r="F80" s="575"/>
      <c r="G80" s="575"/>
      <c r="H80" s="359" t="s">
        <v>5858</v>
      </c>
    </row>
    <row r="81" spans="1:8">
      <c r="A81" s="305"/>
      <c r="B81" s="325"/>
      <c r="C81" s="325"/>
      <c r="D81" s="326"/>
      <c r="E81" s="575"/>
      <c r="F81" s="575"/>
      <c r="G81" s="575"/>
      <c r="H81" s="359"/>
    </row>
    <row r="82" spans="1:8">
      <c r="A82" s="313">
        <v>45981</v>
      </c>
      <c r="B82" s="325" t="s">
        <v>5857</v>
      </c>
      <c r="C82" s="325"/>
      <c r="D82" s="326">
        <v>840000</v>
      </c>
      <c r="E82" s="575" t="s">
        <v>5845</v>
      </c>
      <c r="F82" s="575"/>
      <c r="G82" s="575"/>
      <c r="H82" s="359" t="s">
        <v>5858</v>
      </c>
    </row>
    <row r="83" spans="1:8">
      <c r="A83" s="305"/>
      <c r="B83" s="325"/>
      <c r="C83" s="325"/>
      <c r="D83" s="326"/>
      <c r="E83" s="575"/>
      <c r="F83" s="575"/>
      <c r="G83" s="575"/>
      <c r="H83" s="359"/>
    </row>
    <row r="84" spans="1:8">
      <c r="A84" s="313">
        <v>45981</v>
      </c>
      <c r="B84" s="325" t="s">
        <v>5859</v>
      </c>
      <c r="C84" s="325"/>
      <c r="D84" s="326">
        <v>333000</v>
      </c>
      <c r="E84" s="326" t="s">
        <v>5860</v>
      </c>
      <c r="F84" s="326"/>
      <c r="G84" s="326"/>
      <c r="H84" s="333" t="s">
        <v>5851</v>
      </c>
    </row>
    <row r="85" spans="1:8">
      <c r="A85" s="305"/>
      <c r="B85" s="325"/>
      <c r="C85" s="325"/>
      <c r="D85" s="326"/>
      <c r="E85" s="326"/>
      <c r="F85" s="326"/>
      <c r="G85" s="326"/>
      <c r="H85" s="333"/>
    </row>
    <row r="86" spans="1:8">
      <c r="A86" s="313">
        <v>45981</v>
      </c>
      <c r="B86" s="325" t="s">
        <v>5862</v>
      </c>
      <c r="C86" s="325"/>
      <c r="D86" s="326">
        <v>220000</v>
      </c>
      <c r="E86" s="326" t="s">
        <v>5861</v>
      </c>
      <c r="F86" s="326"/>
      <c r="G86" s="326"/>
      <c r="H86" s="333" t="s">
        <v>5851</v>
      </c>
    </row>
    <row r="87" spans="1:8">
      <c r="A87" s="305"/>
      <c r="B87" s="325"/>
      <c r="C87" s="325"/>
      <c r="D87" s="326"/>
      <c r="E87" s="326"/>
      <c r="F87" s="326"/>
      <c r="G87" s="326"/>
      <c r="H87" s="333"/>
    </row>
    <row r="88" spans="1:8">
      <c r="A88" s="313">
        <v>45982</v>
      </c>
      <c r="B88" s="325" t="s">
        <v>5866</v>
      </c>
      <c r="C88" s="325"/>
      <c r="D88" s="326">
        <v>520000</v>
      </c>
      <c r="E88" s="326" t="s">
        <v>5867</v>
      </c>
      <c r="F88" s="326"/>
      <c r="G88" s="326"/>
      <c r="H88" s="359" t="s">
        <v>5872</v>
      </c>
    </row>
    <row r="89" spans="1:8">
      <c r="A89" s="305"/>
      <c r="B89" s="325"/>
      <c r="C89" s="325"/>
      <c r="D89" s="326"/>
      <c r="E89" s="326"/>
      <c r="F89" s="326"/>
      <c r="G89" s="326"/>
      <c r="H89" s="359"/>
    </row>
    <row r="90" spans="1:8">
      <c r="A90" s="313">
        <v>45982</v>
      </c>
      <c r="B90" s="325" t="s">
        <v>5869</v>
      </c>
      <c r="C90" s="325"/>
      <c r="D90" s="326">
        <v>360000</v>
      </c>
      <c r="E90" s="326" t="s">
        <v>5870</v>
      </c>
      <c r="F90" s="326"/>
      <c r="G90" s="326"/>
      <c r="H90" s="359" t="s">
        <v>5871</v>
      </c>
    </row>
    <row r="91" spans="1:8">
      <c r="A91" s="305"/>
      <c r="B91" s="325"/>
      <c r="C91" s="325"/>
      <c r="D91" s="326"/>
      <c r="E91" s="326"/>
      <c r="F91" s="326"/>
      <c r="G91" s="326"/>
      <c r="H91" s="359"/>
    </row>
    <row r="92" spans="1:8">
      <c r="A92" s="313">
        <v>45982</v>
      </c>
      <c r="B92" s="325" t="s">
        <v>5865</v>
      </c>
      <c r="C92" s="325"/>
      <c r="D92" s="326">
        <v>120000</v>
      </c>
      <c r="E92" s="326" t="s">
        <v>5864</v>
      </c>
      <c r="F92" s="326"/>
      <c r="G92" s="326"/>
      <c r="H92" s="359" t="s">
        <v>5863</v>
      </c>
    </row>
    <row r="93" spans="1:8">
      <c r="A93" s="305"/>
      <c r="B93" s="325"/>
      <c r="C93" s="325"/>
      <c r="D93" s="326"/>
      <c r="E93" s="326"/>
      <c r="F93" s="326"/>
      <c r="G93" s="326"/>
      <c r="H93" s="359"/>
    </row>
    <row r="94" spans="1:8">
      <c r="A94" s="313">
        <v>45983</v>
      </c>
      <c r="B94" s="325" t="s">
        <v>5868</v>
      </c>
      <c r="C94" s="325"/>
      <c r="D94" s="326">
        <v>40000</v>
      </c>
      <c r="E94" s="326"/>
      <c r="F94" s="326"/>
      <c r="G94" s="326"/>
      <c r="H94" s="359"/>
    </row>
    <row r="95" spans="1:8">
      <c r="A95" s="305"/>
      <c r="B95" s="325"/>
      <c r="C95" s="325"/>
      <c r="D95" s="326"/>
      <c r="E95" s="326"/>
      <c r="F95" s="326"/>
      <c r="G95" s="326"/>
      <c r="H95" s="359"/>
    </row>
    <row r="96" spans="1:8">
      <c r="A96" s="313">
        <v>45983</v>
      </c>
      <c r="B96" s="325"/>
      <c r="C96" s="325"/>
      <c r="D96" s="326">
        <v>250000</v>
      </c>
      <c r="E96" s="326"/>
      <c r="F96" s="326"/>
      <c r="G96" s="326"/>
      <c r="H96" s="359"/>
    </row>
    <row r="97" spans="1:8">
      <c r="A97" s="305"/>
      <c r="B97" s="325"/>
      <c r="C97" s="325"/>
      <c r="D97" s="326"/>
      <c r="E97" s="326"/>
      <c r="F97" s="326"/>
      <c r="G97" s="326"/>
      <c r="H97" s="359"/>
    </row>
    <row r="98" spans="1:8">
      <c r="A98" s="313"/>
      <c r="B98" s="884"/>
      <c r="C98" s="671"/>
      <c r="D98" s="671"/>
      <c r="E98" s="671"/>
      <c r="F98" s="671"/>
      <c r="G98" s="671"/>
      <c r="H98" s="672"/>
    </row>
    <row r="99" spans="1:8" ht="25.5" customHeight="1">
      <c r="A99" s="305"/>
      <c r="B99" s="673"/>
      <c r="C99" s="674"/>
      <c r="D99" s="674"/>
      <c r="E99" s="674"/>
      <c r="F99" s="674"/>
      <c r="G99" s="674"/>
      <c r="H99" s="675"/>
    </row>
    <row r="100" spans="1:8">
      <c r="A100" s="313">
        <v>45985</v>
      </c>
      <c r="B100" s="325" t="s">
        <v>5873</v>
      </c>
      <c r="C100" s="325"/>
      <c r="D100" s="326">
        <v>20000</v>
      </c>
      <c r="E100" s="326" t="s">
        <v>5878</v>
      </c>
      <c r="F100" s="326"/>
      <c r="G100" s="326"/>
      <c r="H100" s="359" t="s">
        <v>145</v>
      </c>
    </row>
    <row r="101" spans="1:8">
      <c r="A101" s="305"/>
      <c r="B101" s="325"/>
      <c r="C101" s="325"/>
      <c r="D101" s="326"/>
      <c r="E101" s="326"/>
      <c r="F101" s="326"/>
      <c r="G101" s="326"/>
      <c r="H101" s="359"/>
    </row>
    <row r="102" spans="1:8">
      <c r="A102" s="313">
        <v>45986</v>
      </c>
      <c r="B102" s="325" t="s">
        <v>5874</v>
      </c>
      <c r="C102" s="325"/>
      <c r="D102" s="326">
        <v>820000</v>
      </c>
      <c r="E102" s="575" t="s">
        <v>5877</v>
      </c>
      <c r="F102" s="575"/>
      <c r="G102" s="575"/>
      <c r="H102" s="359" t="s">
        <v>5897</v>
      </c>
    </row>
    <row r="103" spans="1:8">
      <c r="A103" s="305"/>
      <c r="B103" s="325"/>
      <c r="C103" s="325"/>
      <c r="D103" s="326"/>
      <c r="E103" s="575"/>
      <c r="F103" s="575"/>
      <c r="G103" s="575"/>
      <c r="H103" s="359"/>
    </row>
    <row r="104" spans="1:8">
      <c r="A104" s="313">
        <v>45986</v>
      </c>
      <c r="B104" s="325" t="s">
        <v>5875</v>
      </c>
      <c r="C104" s="325"/>
      <c r="D104" s="326">
        <v>300000</v>
      </c>
      <c r="E104" s="326" t="s">
        <v>5876</v>
      </c>
      <c r="F104" s="326"/>
      <c r="G104" s="326"/>
      <c r="H104" s="359" t="s">
        <v>5896</v>
      </c>
    </row>
    <row r="105" spans="1:8">
      <c r="A105" s="305"/>
      <c r="B105" s="325"/>
      <c r="C105" s="325"/>
      <c r="D105" s="326"/>
      <c r="E105" s="326"/>
      <c r="F105" s="326"/>
      <c r="G105" s="326"/>
      <c r="H105" s="359"/>
    </row>
    <row r="106" spans="1:8">
      <c r="A106" s="313">
        <v>45986</v>
      </c>
      <c r="B106" s="325" t="s">
        <v>5894</v>
      </c>
      <c r="C106" s="325"/>
      <c r="D106" s="326">
        <v>320000</v>
      </c>
      <c r="E106" s="575" t="s">
        <v>5898</v>
      </c>
      <c r="F106" s="575"/>
      <c r="G106" s="575"/>
      <c r="H106" s="359" t="s">
        <v>5895</v>
      </c>
    </row>
    <row r="107" spans="1:8">
      <c r="A107" s="305"/>
      <c r="B107" s="325"/>
      <c r="C107" s="325"/>
      <c r="D107" s="326"/>
      <c r="E107" s="575"/>
      <c r="F107" s="575"/>
      <c r="G107" s="575"/>
      <c r="H107" s="359"/>
    </row>
    <row r="108" spans="1:8">
      <c r="A108" s="313">
        <v>45986</v>
      </c>
      <c r="B108" s="325"/>
      <c r="C108" s="325"/>
      <c r="D108" s="326">
        <v>300000</v>
      </c>
      <c r="E108" s="326"/>
      <c r="F108" s="326"/>
      <c r="G108" s="326"/>
      <c r="H108" s="359"/>
    </row>
    <row r="109" spans="1:8">
      <c r="A109" s="305"/>
      <c r="B109" s="325"/>
      <c r="C109" s="325"/>
      <c r="D109" s="326"/>
      <c r="E109" s="326"/>
      <c r="F109" s="326"/>
      <c r="G109" s="326"/>
      <c r="H109" s="359"/>
    </row>
    <row r="110" spans="1:8">
      <c r="A110" s="313">
        <v>45986</v>
      </c>
      <c r="B110" s="325" t="s">
        <v>5879</v>
      </c>
      <c r="C110" s="325"/>
      <c r="D110" s="326">
        <v>140000</v>
      </c>
      <c r="E110" s="326"/>
      <c r="F110" s="326"/>
      <c r="G110" s="326"/>
      <c r="H110" s="359"/>
    </row>
    <row r="111" spans="1:8">
      <c r="A111" s="305"/>
      <c r="B111" s="325"/>
      <c r="C111" s="325"/>
      <c r="D111" s="326"/>
      <c r="E111" s="326"/>
      <c r="F111" s="326"/>
      <c r="G111" s="326"/>
      <c r="H111" s="359"/>
    </row>
    <row r="112" spans="1:8">
      <c r="A112" s="313">
        <v>45986</v>
      </c>
      <c r="B112" s="325" t="s">
        <v>5892</v>
      </c>
      <c r="C112" s="325"/>
      <c r="D112" s="326">
        <v>1180000</v>
      </c>
      <c r="E112" s="326" t="s">
        <v>5880</v>
      </c>
      <c r="F112" s="326"/>
      <c r="G112" s="326"/>
      <c r="H112" s="359" t="s">
        <v>145</v>
      </c>
    </row>
    <row r="113" spans="1:8">
      <c r="A113" s="305"/>
      <c r="B113" s="325"/>
      <c r="C113" s="325"/>
      <c r="D113" s="326"/>
      <c r="E113" s="326"/>
      <c r="F113" s="326"/>
      <c r="G113" s="326"/>
      <c r="H113" s="359"/>
    </row>
    <row r="114" spans="1:8">
      <c r="A114" s="313">
        <v>45987</v>
      </c>
      <c r="B114" s="325"/>
      <c r="C114" s="325"/>
      <c r="D114" s="326">
        <v>150000</v>
      </c>
      <c r="E114" s="326"/>
      <c r="F114" s="326"/>
      <c r="G114" s="326"/>
      <c r="H114" s="359"/>
    </row>
    <row r="115" spans="1:8">
      <c r="A115" s="305"/>
      <c r="B115" s="325"/>
      <c r="C115" s="325"/>
      <c r="D115" s="326"/>
      <c r="E115" s="326"/>
      <c r="F115" s="326"/>
      <c r="G115" s="326"/>
      <c r="H115" s="359"/>
    </row>
    <row r="116" spans="1:8">
      <c r="A116" s="313">
        <v>45987</v>
      </c>
      <c r="B116" s="325" t="s">
        <v>5885</v>
      </c>
      <c r="C116" s="325"/>
      <c r="D116" s="326">
        <v>1370000</v>
      </c>
      <c r="E116" s="326" t="s">
        <v>5882</v>
      </c>
      <c r="F116" s="326"/>
      <c r="G116" s="326"/>
      <c r="H116" s="359" t="s">
        <v>5883</v>
      </c>
    </row>
    <row r="117" spans="1:8">
      <c r="A117" s="305"/>
      <c r="B117" s="325"/>
      <c r="C117" s="325"/>
      <c r="D117" s="326"/>
      <c r="E117" s="326"/>
      <c r="F117" s="326"/>
      <c r="G117" s="326"/>
      <c r="H117" s="359"/>
    </row>
    <row r="118" spans="1:8">
      <c r="A118" s="313">
        <v>45987</v>
      </c>
      <c r="B118" s="325" t="s">
        <v>5884</v>
      </c>
      <c r="C118" s="325"/>
      <c r="D118" s="326">
        <v>90000</v>
      </c>
      <c r="E118" s="326" t="s">
        <v>5881</v>
      </c>
      <c r="F118" s="326"/>
      <c r="G118" s="326"/>
      <c r="H118" s="359" t="s">
        <v>5891</v>
      </c>
    </row>
    <row r="119" spans="1:8">
      <c r="A119" s="305"/>
      <c r="B119" s="325"/>
      <c r="C119" s="325"/>
      <c r="D119" s="326"/>
      <c r="E119" s="326"/>
      <c r="F119" s="326"/>
      <c r="G119" s="326"/>
      <c r="H119" s="359"/>
    </row>
    <row r="120" spans="1:8">
      <c r="A120" s="313">
        <v>45988</v>
      </c>
      <c r="B120" s="325" t="s">
        <v>5888</v>
      </c>
      <c r="C120" s="325"/>
      <c r="D120" s="326">
        <v>140000</v>
      </c>
      <c r="E120" s="326" t="s">
        <v>5889</v>
      </c>
      <c r="F120" s="326"/>
      <c r="G120" s="326"/>
      <c r="H120" s="359" t="s">
        <v>5890</v>
      </c>
    </row>
    <row r="121" spans="1:8">
      <c r="A121" s="305"/>
      <c r="B121" s="325"/>
      <c r="C121" s="325"/>
      <c r="D121" s="326"/>
      <c r="E121" s="326"/>
      <c r="F121" s="326"/>
      <c r="G121" s="326"/>
      <c r="H121" s="359"/>
    </row>
    <row r="122" spans="1:8">
      <c r="A122" s="313">
        <v>45988</v>
      </c>
      <c r="B122" s="325" t="s">
        <v>5887</v>
      </c>
      <c r="C122" s="325"/>
      <c r="D122" s="326">
        <v>430000</v>
      </c>
      <c r="E122" s="326" t="s">
        <v>5886</v>
      </c>
      <c r="F122" s="326"/>
      <c r="G122" s="326"/>
      <c r="H122" s="359" t="s">
        <v>145</v>
      </c>
    </row>
    <row r="123" spans="1:8">
      <c r="A123" s="305"/>
      <c r="B123" s="325"/>
      <c r="C123" s="325"/>
      <c r="D123" s="326"/>
      <c r="E123" s="326"/>
      <c r="F123" s="326"/>
      <c r="G123" s="326"/>
      <c r="H123" s="359"/>
    </row>
    <row r="124" spans="1:8">
      <c r="A124" s="313">
        <v>45989</v>
      </c>
      <c r="B124" s="325"/>
      <c r="C124" s="325"/>
      <c r="D124" s="326">
        <v>340000</v>
      </c>
      <c r="E124" s="326"/>
      <c r="F124" s="326"/>
      <c r="G124" s="326"/>
      <c r="H124" s="359"/>
    </row>
    <row r="125" spans="1:8">
      <c r="A125" s="305"/>
      <c r="B125" s="325"/>
      <c r="C125" s="325"/>
      <c r="D125" s="326"/>
      <c r="E125" s="326"/>
      <c r="F125" s="326"/>
      <c r="G125" s="326"/>
      <c r="H125" s="359"/>
    </row>
    <row r="126" spans="1:8">
      <c r="A126" s="313">
        <v>45989</v>
      </c>
      <c r="B126" s="325"/>
      <c r="C126" s="325"/>
      <c r="D126" s="326">
        <v>196000</v>
      </c>
      <c r="E126" s="326"/>
      <c r="F126" s="326"/>
      <c r="G126" s="326"/>
      <c r="H126" s="359"/>
    </row>
    <row r="127" spans="1:8">
      <c r="A127" s="305"/>
      <c r="B127" s="325"/>
      <c r="C127" s="325"/>
      <c r="D127" s="326"/>
      <c r="E127" s="326"/>
      <c r="F127" s="326"/>
      <c r="G127" s="326"/>
      <c r="H127" s="359"/>
    </row>
    <row r="128" spans="1:8">
      <c r="A128" s="313"/>
      <c r="B128" s="325"/>
      <c r="C128" s="325"/>
      <c r="D128" s="326"/>
      <c r="E128" s="326"/>
      <c r="F128" s="326"/>
      <c r="G128" s="326"/>
      <c r="H128" s="359"/>
    </row>
    <row r="129" spans="1:8">
      <c r="A129" s="305"/>
      <c r="B129" s="325"/>
      <c r="C129" s="325"/>
      <c r="D129" s="326"/>
      <c r="E129" s="326"/>
      <c r="F129" s="326"/>
      <c r="G129" s="326"/>
      <c r="H129" s="359"/>
    </row>
    <row r="130" spans="1:8">
      <c r="A130" s="313"/>
      <c r="B130" s="325"/>
      <c r="C130" s="325"/>
      <c r="D130" s="326"/>
      <c r="E130" s="326"/>
      <c r="F130" s="326"/>
      <c r="G130" s="326"/>
      <c r="H130" s="359"/>
    </row>
    <row r="131" spans="1:8">
      <c r="A131" s="305"/>
      <c r="B131" s="325"/>
      <c r="C131" s="325"/>
      <c r="D131" s="326"/>
      <c r="E131" s="326"/>
      <c r="F131" s="326"/>
      <c r="G131" s="326"/>
      <c r="H131" s="359"/>
    </row>
    <row r="132" spans="1:8">
      <c r="A132" s="313"/>
      <c r="B132" s="325"/>
      <c r="C132" s="325"/>
      <c r="D132" s="326"/>
      <c r="E132" s="326"/>
      <c r="F132" s="326"/>
      <c r="G132" s="326"/>
      <c r="H132" s="359"/>
    </row>
    <row r="133" spans="1:8">
      <c r="A133" s="305"/>
      <c r="B133" s="325"/>
      <c r="C133" s="325"/>
      <c r="D133" s="326"/>
      <c r="E133" s="326"/>
      <c r="F133" s="326"/>
      <c r="G133" s="326"/>
      <c r="H133" s="359"/>
    </row>
  </sheetData>
  <mergeCells count="384"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  <mergeCell ref="A6:A7"/>
    <mergeCell ref="B6:B7"/>
    <mergeCell ref="C6:C7"/>
    <mergeCell ref="D6:D7"/>
    <mergeCell ref="E6:G7"/>
    <mergeCell ref="H6:H7"/>
    <mergeCell ref="A3:H3"/>
    <mergeCell ref="A4:A5"/>
    <mergeCell ref="B4:B5"/>
    <mergeCell ref="C4:C5"/>
    <mergeCell ref="D4:D5"/>
    <mergeCell ref="E4:G5"/>
    <mergeCell ref="H4:H5"/>
    <mergeCell ref="A10:A11"/>
    <mergeCell ref="B10:B11"/>
    <mergeCell ref="C10:C11"/>
    <mergeCell ref="D10:D11"/>
    <mergeCell ref="E10:G11"/>
    <mergeCell ref="H10:H11"/>
    <mergeCell ref="A8:A9"/>
    <mergeCell ref="B8:B9"/>
    <mergeCell ref="C8:C9"/>
    <mergeCell ref="D8:D9"/>
    <mergeCell ref="E8:G9"/>
    <mergeCell ref="H8:H9"/>
    <mergeCell ref="H13:H14"/>
    <mergeCell ref="A15:A16"/>
    <mergeCell ref="B15:B16"/>
    <mergeCell ref="C15:C16"/>
    <mergeCell ref="D15:D16"/>
    <mergeCell ref="E15:G16"/>
    <mergeCell ref="H15:H16"/>
    <mergeCell ref="E12:G12"/>
    <mergeCell ref="A13:A14"/>
    <mergeCell ref="B13:B14"/>
    <mergeCell ref="C13:C14"/>
    <mergeCell ref="D13:D14"/>
    <mergeCell ref="E13:G14"/>
    <mergeCell ref="A19:A20"/>
    <mergeCell ref="B19:B20"/>
    <mergeCell ref="C19:C20"/>
    <mergeCell ref="D19:D20"/>
    <mergeCell ref="E19:G20"/>
    <mergeCell ref="H19:H20"/>
    <mergeCell ref="A17:A18"/>
    <mergeCell ref="B17:B18"/>
    <mergeCell ref="C17:C18"/>
    <mergeCell ref="D17:D18"/>
    <mergeCell ref="E17:G18"/>
    <mergeCell ref="H17:H18"/>
    <mergeCell ref="A23:A24"/>
    <mergeCell ref="B23:B24"/>
    <mergeCell ref="C23:C24"/>
    <mergeCell ref="D23:D24"/>
    <mergeCell ref="E23:G24"/>
    <mergeCell ref="H23:H24"/>
    <mergeCell ref="A21:A22"/>
    <mergeCell ref="B21:B22"/>
    <mergeCell ref="C21:C22"/>
    <mergeCell ref="D21:D22"/>
    <mergeCell ref="E21:G22"/>
    <mergeCell ref="H21:H22"/>
    <mergeCell ref="A33:A34"/>
    <mergeCell ref="B33:B34"/>
    <mergeCell ref="C33:C34"/>
    <mergeCell ref="D33:D34"/>
    <mergeCell ref="E33:G34"/>
    <mergeCell ref="H33:H34"/>
    <mergeCell ref="E25:G25"/>
    <mergeCell ref="A26:A27"/>
    <mergeCell ref="B26:B27"/>
    <mergeCell ref="C26:C27"/>
    <mergeCell ref="D26:D27"/>
    <mergeCell ref="E26:G27"/>
    <mergeCell ref="H26:H27"/>
    <mergeCell ref="A31:A32"/>
    <mergeCell ref="B31:B32"/>
    <mergeCell ref="C31:C32"/>
    <mergeCell ref="D31:D32"/>
    <mergeCell ref="E31:G32"/>
    <mergeCell ref="H31:H32"/>
    <mergeCell ref="E28:G28"/>
    <mergeCell ref="A29:A30"/>
    <mergeCell ref="B29:H30"/>
    <mergeCell ref="A37:A38"/>
    <mergeCell ref="B37:B38"/>
    <mergeCell ref="C37:C38"/>
    <mergeCell ref="D37:D38"/>
    <mergeCell ref="E37:G38"/>
    <mergeCell ref="H37:H38"/>
    <mergeCell ref="A35:A36"/>
    <mergeCell ref="B35:B36"/>
    <mergeCell ref="C35:C36"/>
    <mergeCell ref="D35:D36"/>
    <mergeCell ref="E35:G36"/>
    <mergeCell ref="H35:H36"/>
    <mergeCell ref="A41:A42"/>
    <mergeCell ref="B41:B42"/>
    <mergeCell ref="C41:C42"/>
    <mergeCell ref="D41:D42"/>
    <mergeCell ref="E41:G42"/>
    <mergeCell ref="H41:H42"/>
    <mergeCell ref="A39:A40"/>
    <mergeCell ref="B39:B40"/>
    <mergeCell ref="C39:C40"/>
    <mergeCell ref="D39:D40"/>
    <mergeCell ref="E39:G40"/>
    <mergeCell ref="H39:H40"/>
    <mergeCell ref="A45:A46"/>
    <mergeCell ref="B45:B46"/>
    <mergeCell ref="C45:C46"/>
    <mergeCell ref="D45:D46"/>
    <mergeCell ref="E45:G46"/>
    <mergeCell ref="H45:H46"/>
    <mergeCell ref="A43:A44"/>
    <mergeCell ref="B43:B44"/>
    <mergeCell ref="C43:C44"/>
    <mergeCell ref="D43:D44"/>
    <mergeCell ref="E43:G44"/>
    <mergeCell ref="H43:H44"/>
    <mergeCell ref="A49:A50"/>
    <mergeCell ref="B49:B50"/>
    <mergeCell ref="C49:C50"/>
    <mergeCell ref="D49:D50"/>
    <mergeCell ref="E49:G50"/>
    <mergeCell ref="H49:H50"/>
    <mergeCell ref="A47:A48"/>
    <mergeCell ref="B47:B48"/>
    <mergeCell ref="C47:C48"/>
    <mergeCell ref="D47:D48"/>
    <mergeCell ref="E47:G48"/>
    <mergeCell ref="H47:H48"/>
    <mergeCell ref="A53:A54"/>
    <mergeCell ref="B53:B54"/>
    <mergeCell ref="C53:C54"/>
    <mergeCell ref="D53:D54"/>
    <mergeCell ref="E53:G54"/>
    <mergeCell ref="H53:H54"/>
    <mergeCell ref="A51:A52"/>
    <mergeCell ref="B51:B52"/>
    <mergeCell ref="C51:C52"/>
    <mergeCell ref="D51:D52"/>
    <mergeCell ref="E51:G52"/>
    <mergeCell ref="H51:H52"/>
    <mergeCell ref="A57:A58"/>
    <mergeCell ref="B57:B58"/>
    <mergeCell ref="C57:C58"/>
    <mergeCell ref="D57:D58"/>
    <mergeCell ref="E57:G58"/>
    <mergeCell ref="H57:H58"/>
    <mergeCell ref="A55:A56"/>
    <mergeCell ref="B55:B56"/>
    <mergeCell ref="C55:C56"/>
    <mergeCell ref="D55:D56"/>
    <mergeCell ref="E55:G56"/>
    <mergeCell ref="H55:H56"/>
    <mergeCell ref="A61:A62"/>
    <mergeCell ref="B61:B62"/>
    <mergeCell ref="C61:C62"/>
    <mergeCell ref="D61:D62"/>
    <mergeCell ref="E61:G62"/>
    <mergeCell ref="H61:H62"/>
    <mergeCell ref="A59:A60"/>
    <mergeCell ref="B59:B60"/>
    <mergeCell ref="C59:C60"/>
    <mergeCell ref="D59:D60"/>
    <mergeCell ref="E59:G60"/>
    <mergeCell ref="H59:H60"/>
    <mergeCell ref="A64:A65"/>
    <mergeCell ref="B64:H65"/>
    <mergeCell ref="A66:A67"/>
    <mergeCell ref="B66:B67"/>
    <mergeCell ref="C66:C67"/>
    <mergeCell ref="D66:D67"/>
    <mergeCell ref="E66:G67"/>
    <mergeCell ref="H66:H67"/>
    <mergeCell ref="E63:G63"/>
    <mergeCell ref="A70:A71"/>
    <mergeCell ref="B70:B71"/>
    <mergeCell ref="C70:C71"/>
    <mergeCell ref="D70:D71"/>
    <mergeCell ref="E70:G71"/>
    <mergeCell ref="H70:H71"/>
    <mergeCell ref="A68:A69"/>
    <mergeCell ref="B68:B69"/>
    <mergeCell ref="C68:C69"/>
    <mergeCell ref="D68:D69"/>
    <mergeCell ref="E68:G69"/>
    <mergeCell ref="H68:H69"/>
    <mergeCell ref="A74:A75"/>
    <mergeCell ref="B74:B75"/>
    <mergeCell ref="C74:C75"/>
    <mergeCell ref="D74:D75"/>
    <mergeCell ref="E74:G75"/>
    <mergeCell ref="H74:H75"/>
    <mergeCell ref="A72:A73"/>
    <mergeCell ref="B72:B73"/>
    <mergeCell ref="C72:C73"/>
    <mergeCell ref="D72:D73"/>
    <mergeCell ref="E72:G73"/>
    <mergeCell ref="H72:H73"/>
    <mergeCell ref="A78:A79"/>
    <mergeCell ref="B78:B79"/>
    <mergeCell ref="C78:C79"/>
    <mergeCell ref="D78:D79"/>
    <mergeCell ref="E78:G79"/>
    <mergeCell ref="H78:H79"/>
    <mergeCell ref="A76:A77"/>
    <mergeCell ref="B76:B77"/>
    <mergeCell ref="C76:C77"/>
    <mergeCell ref="D76:D77"/>
    <mergeCell ref="E76:G77"/>
    <mergeCell ref="H76:H77"/>
    <mergeCell ref="A82:A83"/>
    <mergeCell ref="B82:B83"/>
    <mergeCell ref="C82:C83"/>
    <mergeCell ref="D82:D83"/>
    <mergeCell ref="E82:G83"/>
    <mergeCell ref="H82:H83"/>
    <mergeCell ref="A80:A81"/>
    <mergeCell ref="B80:B81"/>
    <mergeCell ref="C80:C81"/>
    <mergeCell ref="D80:D81"/>
    <mergeCell ref="E80:G81"/>
    <mergeCell ref="H80:H81"/>
    <mergeCell ref="A86:A87"/>
    <mergeCell ref="B86:B87"/>
    <mergeCell ref="C86:C87"/>
    <mergeCell ref="D86:D87"/>
    <mergeCell ref="E86:G87"/>
    <mergeCell ref="H86:H87"/>
    <mergeCell ref="A84:A85"/>
    <mergeCell ref="B84:B85"/>
    <mergeCell ref="C84:C85"/>
    <mergeCell ref="D84:D85"/>
    <mergeCell ref="E84:G85"/>
    <mergeCell ref="H84:H85"/>
    <mergeCell ref="A90:A91"/>
    <mergeCell ref="B90:B91"/>
    <mergeCell ref="C90:C91"/>
    <mergeCell ref="D90:D91"/>
    <mergeCell ref="E90:G91"/>
    <mergeCell ref="H90:H91"/>
    <mergeCell ref="A88:A89"/>
    <mergeCell ref="B88:B89"/>
    <mergeCell ref="C88:C89"/>
    <mergeCell ref="D88:D89"/>
    <mergeCell ref="E88:G89"/>
    <mergeCell ref="H88:H89"/>
    <mergeCell ref="A94:A95"/>
    <mergeCell ref="B94:B95"/>
    <mergeCell ref="C94:C95"/>
    <mergeCell ref="D94:D95"/>
    <mergeCell ref="E94:G95"/>
    <mergeCell ref="H94:H95"/>
    <mergeCell ref="A92:A93"/>
    <mergeCell ref="B92:B93"/>
    <mergeCell ref="C92:C93"/>
    <mergeCell ref="D92:D93"/>
    <mergeCell ref="E92:G93"/>
    <mergeCell ref="H92:H93"/>
    <mergeCell ref="A96:A97"/>
    <mergeCell ref="B96:B97"/>
    <mergeCell ref="C96:C97"/>
    <mergeCell ref="D96:D97"/>
    <mergeCell ref="E96:G97"/>
    <mergeCell ref="H96:H97"/>
    <mergeCell ref="A98:A99"/>
    <mergeCell ref="B98:H99"/>
    <mergeCell ref="A100:A101"/>
    <mergeCell ref="B100:B101"/>
    <mergeCell ref="C100:C101"/>
    <mergeCell ref="D100:D101"/>
    <mergeCell ref="E100:G101"/>
    <mergeCell ref="H100:H101"/>
    <mergeCell ref="A102:A103"/>
    <mergeCell ref="B102:B103"/>
    <mergeCell ref="C102:C103"/>
    <mergeCell ref="D102:D103"/>
    <mergeCell ref="E102:G103"/>
    <mergeCell ref="H102:H103"/>
    <mergeCell ref="A104:A105"/>
    <mergeCell ref="B104:B105"/>
    <mergeCell ref="C104:C105"/>
    <mergeCell ref="D104:D105"/>
    <mergeCell ref="E104:G105"/>
    <mergeCell ref="H104:H105"/>
    <mergeCell ref="A106:A107"/>
    <mergeCell ref="B106:B107"/>
    <mergeCell ref="C106:C107"/>
    <mergeCell ref="D106:D107"/>
    <mergeCell ref="E106:G107"/>
    <mergeCell ref="H106:H107"/>
    <mergeCell ref="A116:A117"/>
    <mergeCell ref="B116:B117"/>
    <mergeCell ref="C116:C117"/>
    <mergeCell ref="D116:D117"/>
    <mergeCell ref="E116:G117"/>
    <mergeCell ref="H116:H117"/>
    <mergeCell ref="A108:A109"/>
    <mergeCell ref="B108:B109"/>
    <mergeCell ref="C108:C109"/>
    <mergeCell ref="D108:D109"/>
    <mergeCell ref="E108:G109"/>
    <mergeCell ref="H108:H109"/>
    <mergeCell ref="A110:A111"/>
    <mergeCell ref="B110:B111"/>
    <mergeCell ref="C110:C111"/>
    <mergeCell ref="D110:D111"/>
    <mergeCell ref="E110:G111"/>
    <mergeCell ref="H110:H111"/>
    <mergeCell ref="A112:A113"/>
    <mergeCell ref="B112:B113"/>
    <mergeCell ref="C112:C113"/>
    <mergeCell ref="D112:D113"/>
    <mergeCell ref="E112:G113"/>
    <mergeCell ref="H112:H113"/>
    <mergeCell ref="A114:A115"/>
    <mergeCell ref="B114:B115"/>
    <mergeCell ref="C114:C115"/>
    <mergeCell ref="D114:D115"/>
    <mergeCell ref="E114:G115"/>
    <mergeCell ref="H114:H115"/>
    <mergeCell ref="A118:A119"/>
    <mergeCell ref="B118:B119"/>
    <mergeCell ref="C118:C119"/>
    <mergeCell ref="D118:D119"/>
    <mergeCell ref="E118:G119"/>
    <mergeCell ref="H118:H119"/>
    <mergeCell ref="A122:A123"/>
    <mergeCell ref="B122:B123"/>
    <mergeCell ref="C122:C123"/>
    <mergeCell ref="D122:D123"/>
    <mergeCell ref="E122:G123"/>
    <mergeCell ref="H122:H123"/>
    <mergeCell ref="A120:A121"/>
    <mergeCell ref="B120:B121"/>
    <mergeCell ref="C120:C121"/>
    <mergeCell ref="D120:D121"/>
    <mergeCell ref="E120:G121"/>
    <mergeCell ref="H120:H121"/>
    <mergeCell ref="A126:A127"/>
    <mergeCell ref="B126:B127"/>
    <mergeCell ref="C126:C127"/>
    <mergeCell ref="D126:D127"/>
    <mergeCell ref="E126:G127"/>
    <mergeCell ref="H126:H127"/>
    <mergeCell ref="A124:A125"/>
    <mergeCell ref="B124:B125"/>
    <mergeCell ref="C124:C125"/>
    <mergeCell ref="D124:D125"/>
    <mergeCell ref="E124:G125"/>
    <mergeCell ref="H124:H125"/>
    <mergeCell ref="A132:A133"/>
    <mergeCell ref="B132:B133"/>
    <mergeCell ref="C132:C133"/>
    <mergeCell ref="D132:D133"/>
    <mergeCell ref="E132:G133"/>
    <mergeCell ref="H132:H133"/>
    <mergeCell ref="A128:A129"/>
    <mergeCell ref="B128:B129"/>
    <mergeCell ref="C128:C129"/>
    <mergeCell ref="D128:D129"/>
    <mergeCell ref="E128:G129"/>
    <mergeCell ref="H128:H129"/>
    <mergeCell ref="A130:A131"/>
    <mergeCell ref="B130:B131"/>
    <mergeCell ref="C130:C131"/>
    <mergeCell ref="D130:D131"/>
    <mergeCell ref="E130:G131"/>
    <mergeCell ref="H130:H131"/>
  </mergeCells>
  <phoneticPr fontId="1" type="noConversion"/>
  <pageMargins left="0" right="0" top="0" bottom="0" header="0" footer="0"/>
  <pageSetup paperSize="9" scale="36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34"/>
  <sheetViews>
    <sheetView showGridLines="0" zoomScale="115" zoomScaleNormal="115" workbookViewId="0">
      <pane xSplit="8" ySplit="2" topLeftCell="I114" activePane="bottomRight" state="frozen"/>
      <selection pane="topRight" activeCell="I1" sqref="I1"/>
      <selection pane="bottomLeft" activeCell="A3" sqref="A3"/>
      <selection pane="bottomRight" activeCell="B109" sqref="B109:B110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9" max="9" width="8.625" customWidth="1"/>
    <col min="10" max="10" width="13.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  <col min="18" max="18" width="9.5" bestFit="1" customWidth="1"/>
  </cols>
  <sheetData>
    <row r="1" spans="1:18" ht="35.25" customHeight="1" thickBot="1">
      <c r="A1" s="388" t="s">
        <v>6039</v>
      </c>
      <c r="B1" s="389"/>
      <c r="C1" s="402" t="s">
        <v>27</v>
      </c>
      <c r="D1" s="403"/>
      <c r="E1" s="21" t="s">
        <v>26</v>
      </c>
      <c r="F1" s="20">
        <f>H1/30</f>
        <v>1026683.3333333334</v>
      </c>
      <c r="G1" s="21" t="s">
        <v>4</v>
      </c>
      <c r="H1" s="22">
        <f>SUM(D4:D134)</f>
        <v>30800500</v>
      </c>
      <c r="I1" s="392"/>
      <c r="J1" s="338"/>
      <c r="K1" s="394"/>
      <c r="L1" s="396"/>
      <c r="M1" s="377"/>
      <c r="N1" s="379"/>
      <c r="O1" s="381"/>
      <c r="P1" s="383"/>
      <c r="Q1" s="377"/>
      <c r="R1" s="376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385" t="s">
        <v>25</v>
      </c>
      <c r="F2" s="386"/>
      <c r="G2" s="387"/>
      <c r="H2" s="25" t="s">
        <v>5</v>
      </c>
      <c r="I2" s="393"/>
      <c r="J2" s="333"/>
      <c r="K2" s="395"/>
      <c r="L2" s="397"/>
      <c r="M2" s="378"/>
      <c r="N2" s="380"/>
      <c r="O2" s="382"/>
      <c r="P2" s="384"/>
      <c r="Q2" s="378"/>
      <c r="R2" s="376"/>
    </row>
    <row r="3" spans="1:18" ht="57.75" customHeight="1">
      <c r="A3" s="441" t="s">
        <v>5950</v>
      </c>
      <c r="B3" s="442"/>
      <c r="C3" s="442"/>
      <c r="D3" s="442"/>
      <c r="E3" s="442"/>
      <c r="F3" s="442"/>
      <c r="G3" s="442"/>
      <c r="H3" s="443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322">
        <v>45992</v>
      </c>
      <c r="B4" s="341" t="s">
        <v>5903</v>
      </c>
      <c r="C4" s="341"/>
      <c r="D4" s="326">
        <v>1150000</v>
      </c>
      <c r="E4" s="327" t="s">
        <v>5904</v>
      </c>
      <c r="F4" s="328"/>
      <c r="G4" s="329"/>
      <c r="H4" s="398" t="s">
        <v>145</v>
      </c>
      <c r="J4" s="43"/>
    </row>
    <row r="5" spans="1:18" ht="16.5" customHeight="1">
      <c r="A5" s="323"/>
      <c r="B5" s="342"/>
      <c r="C5" s="342"/>
      <c r="D5" s="326"/>
      <c r="E5" s="330"/>
      <c r="F5" s="331"/>
      <c r="G5" s="332"/>
      <c r="H5" s="399"/>
      <c r="J5" s="43"/>
    </row>
    <row r="6" spans="1:18" ht="16.5" customHeight="1">
      <c r="A6" s="322">
        <v>45992</v>
      </c>
      <c r="B6" s="341" t="s">
        <v>5928</v>
      </c>
      <c r="C6" s="341"/>
      <c r="D6" s="343">
        <v>338500</v>
      </c>
      <c r="E6" s="327"/>
      <c r="F6" s="345"/>
      <c r="G6" s="346"/>
      <c r="H6" s="610" t="s">
        <v>5929</v>
      </c>
    </row>
    <row r="7" spans="1:18" ht="51" customHeight="1">
      <c r="A7" s="323"/>
      <c r="B7" s="342"/>
      <c r="C7" s="342"/>
      <c r="D7" s="344"/>
      <c r="E7" s="347"/>
      <c r="F7" s="348"/>
      <c r="G7" s="349"/>
      <c r="H7" s="611"/>
    </row>
    <row r="8" spans="1:18" ht="16.5" customHeight="1">
      <c r="A8" s="322">
        <v>45992</v>
      </c>
      <c r="B8" s="324" t="s">
        <v>5935</v>
      </c>
      <c r="C8" s="341"/>
      <c r="D8" s="326">
        <v>320000</v>
      </c>
      <c r="E8" s="327" t="s">
        <v>5936</v>
      </c>
      <c r="F8" s="328"/>
      <c r="G8" s="329"/>
      <c r="H8" s="400" t="s">
        <v>5930</v>
      </c>
      <c r="J8" s="48"/>
    </row>
    <row r="9" spans="1:18" ht="33.75" customHeight="1">
      <c r="A9" s="323"/>
      <c r="B9" s="325"/>
      <c r="C9" s="342"/>
      <c r="D9" s="326"/>
      <c r="E9" s="330"/>
      <c r="F9" s="331"/>
      <c r="G9" s="332"/>
      <c r="H9" s="401"/>
    </row>
    <row r="10" spans="1:18" ht="16.5" customHeight="1">
      <c r="A10" s="322">
        <v>45993</v>
      </c>
      <c r="B10" s="324" t="s">
        <v>5900</v>
      </c>
      <c r="C10" s="341"/>
      <c r="D10" s="326">
        <v>330000</v>
      </c>
      <c r="E10" s="327" t="s">
        <v>5901</v>
      </c>
      <c r="F10" s="328"/>
      <c r="G10" s="329"/>
      <c r="H10" s="398" t="s">
        <v>5902</v>
      </c>
    </row>
    <row r="11" spans="1:18" ht="26.25" customHeight="1">
      <c r="A11" s="323"/>
      <c r="B11" s="325"/>
      <c r="C11" s="342"/>
      <c r="D11" s="326"/>
      <c r="E11" s="330"/>
      <c r="F11" s="331"/>
      <c r="G11" s="332"/>
      <c r="H11" s="399"/>
    </row>
    <row r="12" spans="1:18" ht="45" customHeight="1">
      <c r="A12" s="293">
        <v>45993</v>
      </c>
      <c r="B12" s="298" t="s">
        <v>5899</v>
      </c>
      <c r="C12" s="298"/>
      <c r="D12" s="299">
        <v>150000</v>
      </c>
      <c r="E12" s="721" t="s">
        <v>5907</v>
      </c>
      <c r="F12" s="722"/>
      <c r="G12" s="723"/>
      <c r="H12" s="272" t="s">
        <v>5906</v>
      </c>
    </row>
    <row r="13" spans="1:18">
      <c r="A13" s="322">
        <v>45993</v>
      </c>
      <c r="B13" s="324" t="s">
        <v>5905</v>
      </c>
      <c r="C13" s="325"/>
      <c r="D13" s="326">
        <v>35000</v>
      </c>
      <c r="E13" s="337" t="s">
        <v>5949</v>
      </c>
      <c r="F13" s="326"/>
      <c r="G13" s="326"/>
      <c r="H13" s="398" t="s">
        <v>5909</v>
      </c>
    </row>
    <row r="14" spans="1:18" ht="42.75" customHeight="1">
      <c r="A14" s="323"/>
      <c r="B14" s="325"/>
      <c r="C14" s="325"/>
      <c r="D14" s="326"/>
      <c r="E14" s="326"/>
      <c r="F14" s="326"/>
      <c r="G14" s="326"/>
      <c r="H14" s="399"/>
    </row>
    <row r="15" spans="1:18">
      <c r="A15" s="322">
        <v>45994</v>
      </c>
      <c r="B15" s="325" t="s">
        <v>5945</v>
      </c>
      <c r="C15" s="325"/>
      <c r="D15" s="326">
        <v>880000</v>
      </c>
      <c r="E15" s="574" t="s">
        <v>5908</v>
      </c>
      <c r="F15" s="575"/>
      <c r="G15" s="575"/>
      <c r="H15" s="359" t="s">
        <v>5910</v>
      </c>
    </row>
    <row r="16" spans="1:18" ht="30.75" customHeight="1">
      <c r="A16" s="323"/>
      <c r="B16" s="325"/>
      <c r="C16" s="325"/>
      <c r="D16" s="326"/>
      <c r="E16" s="575"/>
      <c r="F16" s="575"/>
      <c r="G16" s="575"/>
      <c r="H16" s="359"/>
    </row>
    <row r="17" spans="1:10">
      <c r="A17" s="322">
        <v>45994</v>
      </c>
      <c r="B17" s="325" t="s">
        <v>5911</v>
      </c>
      <c r="C17" s="325"/>
      <c r="D17" s="343">
        <v>160000</v>
      </c>
      <c r="E17" s="337" t="s">
        <v>5913</v>
      </c>
      <c r="F17" s="326"/>
      <c r="G17" s="326"/>
      <c r="H17" s="359" t="s">
        <v>5912</v>
      </c>
    </row>
    <row r="18" spans="1:10" ht="28.5" customHeight="1">
      <c r="A18" s="323"/>
      <c r="B18" s="325"/>
      <c r="C18" s="325"/>
      <c r="D18" s="344"/>
      <c r="E18" s="326"/>
      <c r="F18" s="326"/>
      <c r="G18" s="326"/>
      <c r="H18" s="359"/>
    </row>
    <row r="19" spans="1:10">
      <c r="A19" s="322">
        <v>45994</v>
      </c>
      <c r="B19" s="324" t="s">
        <v>5914</v>
      </c>
      <c r="C19" s="325"/>
      <c r="D19" s="343">
        <v>380000</v>
      </c>
      <c r="E19" s="574" t="s">
        <v>5908</v>
      </c>
      <c r="F19" s="575"/>
      <c r="G19" s="575"/>
      <c r="H19" s="610" t="s">
        <v>5919</v>
      </c>
    </row>
    <row r="20" spans="1:10" ht="21.75" customHeight="1">
      <c r="A20" s="323"/>
      <c r="B20" s="325"/>
      <c r="C20" s="325"/>
      <c r="D20" s="344"/>
      <c r="E20" s="575"/>
      <c r="F20" s="575"/>
      <c r="G20" s="575"/>
      <c r="H20" s="611"/>
    </row>
    <row r="21" spans="1:10" ht="16.5" customHeight="1">
      <c r="A21" s="322">
        <v>45994</v>
      </c>
      <c r="B21" s="324" t="s">
        <v>5915</v>
      </c>
      <c r="C21" s="325"/>
      <c r="D21" s="326">
        <v>855800</v>
      </c>
      <c r="E21" s="326" t="s">
        <v>5916</v>
      </c>
      <c r="F21" s="326"/>
      <c r="G21" s="326"/>
      <c r="H21" s="359" t="s">
        <v>5996</v>
      </c>
    </row>
    <row r="22" spans="1:10" ht="16.5" customHeight="1">
      <c r="A22" s="323"/>
      <c r="B22" s="325"/>
      <c r="C22" s="325"/>
      <c r="D22" s="326"/>
      <c r="E22" s="326"/>
      <c r="F22" s="326"/>
      <c r="G22" s="326"/>
      <c r="H22" s="359"/>
    </row>
    <row r="23" spans="1:10">
      <c r="A23" s="322">
        <v>45995</v>
      </c>
      <c r="B23" s="325" t="s">
        <v>5917</v>
      </c>
      <c r="C23" s="325"/>
      <c r="D23" s="326">
        <v>480000</v>
      </c>
      <c r="E23" s="326" t="s">
        <v>5918</v>
      </c>
      <c r="F23" s="326"/>
      <c r="G23" s="326"/>
      <c r="H23" s="398" t="s">
        <v>5934</v>
      </c>
    </row>
    <row r="24" spans="1:10">
      <c r="A24" s="323"/>
      <c r="B24" s="325"/>
      <c r="C24" s="325"/>
      <c r="D24" s="326"/>
      <c r="E24" s="326"/>
      <c r="F24" s="326"/>
      <c r="G24" s="326"/>
      <c r="H24" s="399"/>
    </row>
    <row r="25" spans="1:10" ht="33" customHeight="1">
      <c r="A25" s="293">
        <v>45995</v>
      </c>
      <c r="B25" s="295" t="s">
        <v>5920</v>
      </c>
      <c r="C25" s="295"/>
      <c r="D25" s="296">
        <v>550000</v>
      </c>
      <c r="E25" s="627" t="s">
        <v>5932</v>
      </c>
      <c r="F25" s="628"/>
      <c r="G25" s="629"/>
      <c r="H25" s="300" t="s">
        <v>5933</v>
      </c>
    </row>
    <row r="26" spans="1:10" ht="17.25" customHeight="1">
      <c r="A26" s="322">
        <v>45996</v>
      </c>
      <c r="B26" s="325" t="s">
        <v>5921</v>
      </c>
      <c r="C26" s="325"/>
      <c r="D26" s="326">
        <v>1140000</v>
      </c>
      <c r="E26" s="923" t="s">
        <v>5931</v>
      </c>
      <c r="F26" s="326"/>
      <c r="G26" s="326"/>
      <c r="H26" s="359" t="s">
        <v>5922</v>
      </c>
      <c r="J26" s="48"/>
    </row>
    <row r="27" spans="1:10" ht="17.25" customHeight="1">
      <c r="A27" s="323"/>
      <c r="B27" s="325"/>
      <c r="C27" s="325"/>
      <c r="D27" s="326"/>
      <c r="E27" s="326"/>
      <c r="F27" s="326"/>
      <c r="G27" s="326"/>
      <c r="H27" s="359"/>
      <c r="J27" s="48"/>
    </row>
    <row r="28" spans="1:10" ht="31.5" customHeight="1">
      <c r="A28" s="293">
        <v>45996</v>
      </c>
      <c r="B28" s="295" t="s">
        <v>5927</v>
      </c>
      <c r="C28" s="295"/>
      <c r="D28" s="296">
        <v>133000</v>
      </c>
      <c r="E28" s="627" t="s">
        <v>5924</v>
      </c>
      <c r="F28" s="628"/>
      <c r="G28" s="629"/>
      <c r="H28" s="297" t="s">
        <v>5930</v>
      </c>
      <c r="J28" s="48"/>
    </row>
    <row r="29" spans="1:10">
      <c r="A29" s="322"/>
      <c r="B29" s="933" t="s">
        <v>5983</v>
      </c>
      <c r="C29" s="671"/>
      <c r="D29" s="671"/>
      <c r="E29" s="671"/>
      <c r="F29" s="671"/>
      <c r="G29" s="671"/>
      <c r="H29" s="672"/>
      <c r="J29" s="48"/>
    </row>
    <row r="30" spans="1:10" ht="34.5" customHeight="1">
      <c r="A30" s="323"/>
      <c r="B30" s="673"/>
      <c r="C30" s="674"/>
      <c r="D30" s="674"/>
      <c r="E30" s="674"/>
      <c r="F30" s="674"/>
      <c r="G30" s="674"/>
      <c r="H30" s="675"/>
      <c r="J30" s="48"/>
    </row>
    <row r="31" spans="1:10" ht="17.25" customHeight="1">
      <c r="A31" s="322">
        <v>45999</v>
      </c>
      <c r="B31" s="325" t="s">
        <v>5944</v>
      </c>
      <c r="C31" s="325"/>
      <c r="D31" s="343">
        <v>1770000</v>
      </c>
      <c r="E31" s="326" t="s">
        <v>5943</v>
      </c>
      <c r="F31" s="326"/>
      <c r="G31" s="326"/>
      <c r="H31" s="610" t="s">
        <v>5930</v>
      </c>
      <c r="J31" s="48"/>
    </row>
    <row r="32" spans="1:10" ht="17.25" customHeight="1">
      <c r="A32" s="323"/>
      <c r="B32" s="325"/>
      <c r="C32" s="325"/>
      <c r="D32" s="344"/>
      <c r="E32" s="326"/>
      <c r="F32" s="326"/>
      <c r="G32" s="326"/>
      <c r="H32" s="611"/>
      <c r="J32" s="48"/>
    </row>
    <row r="33" spans="1:10" ht="30.75" customHeight="1">
      <c r="A33" s="301">
        <v>45999</v>
      </c>
      <c r="B33" s="302" t="s">
        <v>5946</v>
      </c>
      <c r="C33" s="302"/>
      <c r="D33" s="303">
        <v>300000</v>
      </c>
      <c r="E33" s="627" t="s">
        <v>5947</v>
      </c>
      <c r="F33" s="628"/>
      <c r="G33" s="629"/>
      <c r="H33" s="304" t="s">
        <v>5993</v>
      </c>
      <c r="J33" s="48"/>
    </row>
    <row r="34" spans="1:10">
      <c r="A34" s="322">
        <v>46000</v>
      </c>
      <c r="B34" s="325" t="s">
        <v>5925</v>
      </c>
      <c r="C34" s="325"/>
      <c r="D34" s="343">
        <v>1190000</v>
      </c>
      <c r="E34" s="326" t="s">
        <v>5926</v>
      </c>
      <c r="F34" s="326"/>
      <c r="G34" s="326"/>
      <c r="H34" s="359" t="s">
        <v>186</v>
      </c>
      <c r="J34" s="48"/>
    </row>
    <row r="35" spans="1:10">
      <c r="A35" s="323"/>
      <c r="B35" s="325"/>
      <c r="C35" s="325"/>
      <c r="D35" s="344"/>
      <c r="E35" s="326"/>
      <c r="F35" s="326"/>
      <c r="G35" s="326"/>
      <c r="H35" s="359"/>
      <c r="J35" s="48"/>
    </row>
    <row r="36" spans="1:10">
      <c r="A36" s="322">
        <v>46000</v>
      </c>
      <c r="B36" s="325" t="s">
        <v>5923</v>
      </c>
      <c r="C36" s="325"/>
      <c r="D36" s="326">
        <v>50000</v>
      </c>
      <c r="E36" s="326" t="s">
        <v>5924</v>
      </c>
      <c r="F36" s="326"/>
      <c r="G36" s="326"/>
      <c r="H36" s="398" t="s">
        <v>5942</v>
      </c>
    </row>
    <row r="37" spans="1:10">
      <c r="A37" s="323"/>
      <c r="B37" s="325"/>
      <c r="C37" s="325"/>
      <c r="D37" s="326"/>
      <c r="E37" s="326"/>
      <c r="F37" s="326"/>
      <c r="G37" s="326"/>
      <c r="H37" s="399"/>
    </row>
    <row r="38" spans="1:10">
      <c r="A38" s="322">
        <v>46000</v>
      </c>
      <c r="B38" s="325" t="s">
        <v>5941</v>
      </c>
      <c r="C38" s="325"/>
      <c r="D38" s="326">
        <v>200000</v>
      </c>
      <c r="E38" s="326" t="s">
        <v>5940</v>
      </c>
      <c r="F38" s="326"/>
      <c r="G38" s="326"/>
      <c r="H38" s="333" t="s">
        <v>5933</v>
      </c>
    </row>
    <row r="39" spans="1:10">
      <c r="A39" s="323"/>
      <c r="B39" s="325"/>
      <c r="C39" s="325"/>
      <c r="D39" s="326"/>
      <c r="E39" s="326"/>
      <c r="F39" s="326"/>
      <c r="G39" s="326"/>
      <c r="H39" s="333"/>
    </row>
    <row r="40" spans="1:10">
      <c r="A40" s="322">
        <v>46000</v>
      </c>
      <c r="B40" s="325" t="s">
        <v>5937</v>
      </c>
      <c r="C40" s="325"/>
      <c r="D40" s="326">
        <v>220000</v>
      </c>
      <c r="E40" s="326" t="s">
        <v>5939</v>
      </c>
      <c r="F40" s="326"/>
      <c r="G40" s="326"/>
      <c r="H40" s="333" t="s">
        <v>5938</v>
      </c>
    </row>
    <row r="41" spans="1:10">
      <c r="A41" s="323"/>
      <c r="B41" s="325"/>
      <c r="C41" s="325"/>
      <c r="D41" s="326"/>
      <c r="E41" s="326"/>
      <c r="F41" s="326"/>
      <c r="G41" s="326"/>
      <c r="H41" s="333"/>
    </row>
    <row r="42" spans="1:10">
      <c r="A42" s="322">
        <v>46001</v>
      </c>
      <c r="B42" s="325" t="s">
        <v>5951</v>
      </c>
      <c r="C42" s="325"/>
      <c r="D42" s="326">
        <v>1080000</v>
      </c>
      <c r="E42" s="326" t="s">
        <v>5952</v>
      </c>
      <c r="F42" s="326"/>
      <c r="G42" s="326"/>
      <c r="H42" s="398" t="s">
        <v>5953</v>
      </c>
    </row>
    <row r="43" spans="1:10">
      <c r="A43" s="323"/>
      <c r="B43" s="325"/>
      <c r="C43" s="325"/>
      <c r="D43" s="326"/>
      <c r="E43" s="326"/>
      <c r="F43" s="326"/>
      <c r="G43" s="326"/>
      <c r="H43" s="399"/>
    </row>
    <row r="44" spans="1:10">
      <c r="A44" s="322">
        <v>46001</v>
      </c>
      <c r="B44" s="325" t="s">
        <v>5955</v>
      </c>
      <c r="C44" s="325"/>
      <c r="D44" s="326">
        <v>280000</v>
      </c>
      <c r="E44" s="326" t="s">
        <v>5954</v>
      </c>
      <c r="F44" s="326"/>
      <c r="G44" s="326"/>
      <c r="H44" s="398" t="s">
        <v>1811</v>
      </c>
    </row>
    <row r="45" spans="1:10">
      <c r="A45" s="323"/>
      <c r="B45" s="325"/>
      <c r="C45" s="325"/>
      <c r="D45" s="326"/>
      <c r="E45" s="326"/>
      <c r="F45" s="326"/>
      <c r="G45" s="326"/>
      <c r="H45" s="399"/>
    </row>
    <row r="46" spans="1:10">
      <c r="A46" s="322">
        <v>46002</v>
      </c>
      <c r="B46" s="325" t="s">
        <v>5956</v>
      </c>
      <c r="C46" s="325"/>
      <c r="D46" s="326">
        <v>400000</v>
      </c>
      <c r="E46" s="326" t="s">
        <v>5957</v>
      </c>
      <c r="F46" s="326"/>
      <c r="G46" s="326"/>
      <c r="H46" s="610" t="s">
        <v>5958</v>
      </c>
    </row>
    <row r="47" spans="1:10">
      <c r="A47" s="323"/>
      <c r="B47" s="325"/>
      <c r="C47" s="325"/>
      <c r="D47" s="326"/>
      <c r="E47" s="326"/>
      <c r="F47" s="326"/>
      <c r="G47" s="326"/>
      <c r="H47" s="611"/>
    </row>
    <row r="48" spans="1:10">
      <c r="A48" s="322">
        <v>46002</v>
      </c>
      <c r="B48" s="325" t="s">
        <v>5960</v>
      </c>
      <c r="C48" s="325"/>
      <c r="D48" s="326">
        <v>130000</v>
      </c>
      <c r="E48" s="326" t="s">
        <v>5961</v>
      </c>
      <c r="F48" s="326"/>
      <c r="G48" s="326"/>
      <c r="H48" s="333" t="s">
        <v>5958</v>
      </c>
    </row>
    <row r="49" spans="1:8">
      <c r="A49" s="323"/>
      <c r="B49" s="325"/>
      <c r="C49" s="325"/>
      <c r="D49" s="326"/>
      <c r="E49" s="326"/>
      <c r="F49" s="326"/>
      <c r="G49" s="326"/>
      <c r="H49" s="333"/>
    </row>
    <row r="50" spans="1:8">
      <c r="A50" s="322">
        <v>46002</v>
      </c>
      <c r="B50" s="325" t="s">
        <v>5959</v>
      </c>
      <c r="C50" s="325"/>
      <c r="D50" s="326">
        <v>150000</v>
      </c>
      <c r="E50" s="326" t="s">
        <v>5961</v>
      </c>
      <c r="F50" s="326"/>
      <c r="G50" s="326"/>
      <c r="H50" s="359" t="s">
        <v>5962</v>
      </c>
    </row>
    <row r="51" spans="1:8">
      <c r="A51" s="323"/>
      <c r="B51" s="325"/>
      <c r="C51" s="325"/>
      <c r="D51" s="326"/>
      <c r="E51" s="326"/>
      <c r="F51" s="326"/>
      <c r="G51" s="326"/>
      <c r="H51" s="359"/>
    </row>
    <row r="52" spans="1:8">
      <c r="A52" s="322">
        <v>46002</v>
      </c>
      <c r="B52" s="325" t="s">
        <v>5964</v>
      </c>
      <c r="C52" s="325"/>
      <c r="D52" s="326">
        <v>154000</v>
      </c>
      <c r="E52" s="326" t="s">
        <v>5965</v>
      </c>
      <c r="F52" s="326"/>
      <c r="G52" s="326"/>
      <c r="H52" s="359" t="s">
        <v>5963</v>
      </c>
    </row>
    <row r="53" spans="1:8">
      <c r="A53" s="323"/>
      <c r="B53" s="325"/>
      <c r="C53" s="325"/>
      <c r="D53" s="326"/>
      <c r="E53" s="326"/>
      <c r="F53" s="326"/>
      <c r="G53" s="326"/>
      <c r="H53" s="359"/>
    </row>
    <row r="54" spans="1:8">
      <c r="A54" s="322">
        <v>46003</v>
      </c>
      <c r="B54" s="325" t="s">
        <v>5964</v>
      </c>
      <c r="C54" s="325"/>
      <c r="D54" s="326">
        <v>340000</v>
      </c>
      <c r="E54" s="326" t="s">
        <v>5965</v>
      </c>
      <c r="F54" s="326"/>
      <c r="G54" s="326"/>
      <c r="H54" s="359" t="s">
        <v>5966</v>
      </c>
    </row>
    <row r="55" spans="1:8">
      <c r="A55" s="323"/>
      <c r="B55" s="325"/>
      <c r="C55" s="325"/>
      <c r="D55" s="326"/>
      <c r="E55" s="326"/>
      <c r="F55" s="326"/>
      <c r="G55" s="326"/>
      <c r="H55" s="359"/>
    </row>
    <row r="56" spans="1:8">
      <c r="A56" s="322">
        <v>46003</v>
      </c>
      <c r="B56" s="325" t="s">
        <v>5967</v>
      </c>
      <c r="C56" s="325"/>
      <c r="D56" s="326">
        <v>30000</v>
      </c>
      <c r="E56" s="337" t="s">
        <v>5968</v>
      </c>
      <c r="F56" s="326"/>
      <c r="G56" s="326"/>
      <c r="H56" s="359" t="s">
        <v>5969</v>
      </c>
    </row>
    <row r="57" spans="1:8">
      <c r="A57" s="323"/>
      <c r="B57" s="325"/>
      <c r="C57" s="325"/>
      <c r="D57" s="326"/>
      <c r="E57" s="326"/>
      <c r="F57" s="326"/>
      <c r="G57" s="326"/>
      <c r="H57" s="359"/>
    </row>
    <row r="58" spans="1:8">
      <c r="A58" s="322">
        <v>46003</v>
      </c>
      <c r="B58" s="325" t="s">
        <v>5967</v>
      </c>
      <c r="C58" s="325"/>
      <c r="D58" s="326">
        <v>100000</v>
      </c>
      <c r="E58" s="337" t="s">
        <v>5970</v>
      </c>
      <c r="F58" s="326"/>
      <c r="G58" s="326"/>
      <c r="H58" s="398" t="s">
        <v>145</v>
      </c>
    </row>
    <row r="59" spans="1:8">
      <c r="A59" s="323"/>
      <c r="B59" s="325"/>
      <c r="C59" s="325"/>
      <c r="D59" s="326"/>
      <c r="E59" s="326"/>
      <c r="F59" s="326"/>
      <c r="G59" s="326"/>
      <c r="H59" s="399"/>
    </row>
    <row r="60" spans="1:8">
      <c r="A60" s="322">
        <v>46004</v>
      </c>
      <c r="B60" s="325" t="s">
        <v>5971</v>
      </c>
      <c r="C60" s="325"/>
      <c r="D60" s="326">
        <v>300000</v>
      </c>
      <c r="E60" s="326" t="s">
        <v>5972</v>
      </c>
      <c r="F60" s="326"/>
      <c r="G60" s="326"/>
      <c r="H60" s="398" t="s">
        <v>5973</v>
      </c>
    </row>
    <row r="61" spans="1:8">
      <c r="A61" s="323"/>
      <c r="B61" s="325"/>
      <c r="C61" s="325"/>
      <c r="D61" s="326"/>
      <c r="E61" s="326"/>
      <c r="F61" s="326"/>
      <c r="G61" s="326"/>
      <c r="H61" s="399"/>
    </row>
    <row r="62" spans="1:8" ht="35.25" customHeight="1">
      <c r="A62" s="293">
        <v>46004</v>
      </c>
      <c r="B62" s="294" t="s">
        <v>5977</v>
      </c>
      <c r="C62" s="295"/>
      <c r="D62" s="296">
        <v>30000</v>
      </c>
      <c r="E62" s="627" t="s">
        <v>5978</v>
      </c>
      <c r="F62" s="628"/>
      <c r="G62" s="629"/>
      <c r="H62" s="300" t="s">
        <v>5979</v>
      </c>
    </row>
    <row r="63" spans="1:8">
      <c r="A63" s="322">
        <v>46004</v>
      </c>
      <c r="B63" s="325" t="s">
        <v>5974</v>
      </c>
      <c r="C63" s="325"/>
      <c r="D63" s="326">
        <v>320000</v>
      </c>
      <c r="E63" s="326" t="s">
        <v>5975</v>
      </c>
      <c r="F63" s="326"/>
      <c r="G63" s="326"/>
      <c r="H63" s="359" t="s">
        <v>5976</v>
      </c>
    </row>
    <row r="64" spans="1:8">
      <c r="A64" s="323"/>
      <c r="B64" s="325"/>
      <c r="C64" s="325"/>
      <c r="D64" s="326"/>
      <c r="E64" s="326"/>
      <c r="F64" s="326"/>
      <c r="G64" s="326"/>
      <c r="H64" s="359"/>
    </row>
    <row r="65" spans="1:8">
      <c r="A65" s="322">
        <v>46004</v>
      </c>
      <c r="B65" s="325" t="s">
        <v>5980</v>
      </c>
      <c r="C65" s="325"/>
      <c r="D65" s="326">
        <v>490000</v>
      </c>
      <c r="E65" s="326" t="s">
        <v>5981</v>
      </c>
      <c r="F65" s="326"/>
      <c r="G65" s="326"/>
      <c r="H65" s="333" t="s">
        <v>5982</v>
      </c>
    </row>
    <row r="66" spans="1:8">
      <c r="A66" s="323"/>
      <c r="B66" s="325"/>
      <c r="C66" s="325"/>
      <c r="D66" s="326"/>
      <c r="E66" s="326"/>
      <c r="F66" s="326"/>
      <c r="G66" s="326"/>
      <c r="H66" s="333"/>
    </row>
    <row r="67" spans="1:8">
      <c r="A67" s="322"/>
      <c r="B67" s="644"/>
      <c r="C67" s="645"/>
      <c r="D67" s="645"/>
      <c r="E67" s="645"/>
      <c r="F67" s="645"/>
      <c r="G67" s="645"/>
      <c r="H67" s="646"/>
    </row>
    <row r="68" spans="1:8" ht="34.5" customHeight="1">
      <c r="A68" s="323"/>
      <c r="B68" s="647"/>
      <c r="C68" s="648"/>
      <c r="D68" s="648"/>
      <c r="E68" s="648"/>
      <c r="F68" s="648"/>
      <c r="G68" s="648"/>
      <c r="H68" s="649"/>
    </row>
    <row r="69" spans="1:8">
      <c r="A69" s="322">
        <v>46006</v>
      </c>
      <c r="B69" s="324" t="s">
        <v>5988</v>
      </c>
      <c r="C69" s="325"/>
      <c r="D69" s="326">
        <v>1340000</v>
      </c>
      <c r="E69" s="575" t="s">
        <v>5989</v>
      </c>
      <c r="F69" s="575"/>
      <c r="G69" s="575"/>
      <c r="H69" s="359" t="s">
        <v>5990</v>
      </c>
    </row>
    <row r="70" spans="1:8">
      <c r="A70" s="323"/>
      <c r="B70" s="325"/>
      <c r="C70" s="325"/>
      <c r="D70" s="326"/>
      <c r="E70" s="575"/>
      <c r="F70" s="575"/>
      <c r="G70" s="575"/>
      <c r="H70" s="359"/>
    </row>
    <row r="71" spans="1:8">
      <c r="A71" s="322">
        <v>46006</v>
      </c>
      <c r="B71" s="325" t="s">
        <v>5984</v>
      </c>
      <c r="C71" s="325"/>
      <c r="D71" s="326">
        <v>2036000</v>
      </c>
      <c r="E71" s="326" t="s">
        <v>5992</v>
      </c>
      <c r="F71" s="326"/>
      <c r="G71" s="326"/>
      <c r="H71" s="610" t="s">
        <v>5991</v>
      </c>
    </row>
    <row r="72" spans="1:8">
      <c r="A72" s="323"/>
      <c r="B72" s="325"/>
      <c r="C72" s="325"/>
      <c r="D72" s="326"/>
      <c r="E72" s="326"/>
      <c r="F72" s="326"/>
      <c r="G72" s="326"/>
      <c r="H72" s="611"/>
    </row>
    <row r="73" spans="1:8">
      <c r="A73" s="322">
        <v>46006</v>
      </c>
      <c r="B73" s="325" t="s">
        <v>5985</v>
      </c>
      <c r="C73" s="325"/>
      <c r="D73" s="326">
        <v>100000</v>
      </c>
      <c r="E73" s="326" t="s">
        <v>5986</v>
      </c>
      <c r="F73" s="326"/>
      <c r="G73" s="326"/>
      <c r="H73" s="359" t="s">
        <v>5987</v>
      </c>
    </row>
    <row r="74" spans="1:8">
      <c r="A74" s="323"/>
      <c r="B74" s="325"/>
      <c r="C74" s="325"/>
      <c r="D74" s="326"/>
      <c r="E74" s="326"/>
      <c r="F74" s="326"/>
      <c r="G74" s="326"/>
      <c r="H74" s="359"/>
    </row>
    <row r="75" spans="1:8">
      <c r="A75" s="322">
        <v>46007</v>
      </c>
      <c r="B75" s="325" t="s">
        <v>5995</v>
      </c>
      <c r="C75" s="325"/>
      <c r="D75" s="326">
        <v>230000</v>
      </c>
      <c r="E75" s="326"/>
      <c r="F75" s="326"/>
      <c r="G75" s="326"/>
      <c r="H75" s="333" t="s">
        <v>5997</v>
      </c>
    </row>
    <row r="76" spans="1:8">
      <c r="A76" s="323"/>
      <c r="B76" s="325"/>
      <c r="C76" s="325"/>
      <c r="D76" s="326"/>
      <c r="E76" s="326"/>
      <c r="F76" s="326"/>
      <c r="G76" s="326"/>
      <c r="H76" s="333"/>
    </row>
    <row r="77" spans="1:8">
      <c r="A77" s="322">
        <v>46008</v>
      </c>
      <c r="B77" s="325" t="s">
        <v>5994</v>
      </c>
      <c r="C77" s="325"/>
      <c r="D77" s="326">
        <v>930000</v>
      </c>
      <c r="E77" s="575" t="s">
        <v>5998</v>
      </c>
      <c r="F77" s="575"/>
      <c r="G77" s="575"/>
      <c r="H77" s="359" t="s">
        <v>5999</v>
      </c>
    </row>
    <row r="78" spans="1:8">
      <c r="A78" s="323"/>
      <c r="B78" s="325"/>
      <c r="C78" s="325"/>
      <c r="D78" s="326"/>
      <c r="E78" s="575"/>
      <c r="F78" s="575"/>
      <c r="G78" s="575"/>
      <c r="H78" s="359"/>
    </row>
    <row r="79" spans="1:8">
      <c r="A79" s="322">
        <v>46009</v>
      </c>
      <c r="B79" s="325" t="s">
        <v>6000</v>
      </c>
      <c r="C79" s="325"/>
      <c r="D79" s="326">
        <v>980000</v>
      </c>
      <c r="E79" s="575" t="s">
        <v>6001</v>
      </c>
      <c r="F79" s="575"/>
      <c r="G79" s="575"/>
      <c r="H79" s="333" t="s">
        <v>5997</v>
      </c>
    </row>
    <row r="80" spans="1:8">
      <c r="A80" s="323"/>
      <c r="B80" s="325"/>
      <c r="C80" s="325"/>
      <c r="D80" s="326"/>
      <c r="E80" s="575"/>
      <c r="F80" s="575"/>
      <c r="G80" s="575"/>
      <c r="H80" s="333"/>
    </row>
    <row r="81" spans="1:8">
      <c r="A81" s="322">
        <v>46009</v>
      </c>
      <c r="B81" s="325" t="s">
        <v>6003</v>
      </c>
      <c r="C81" s="325"/>
      <c r="D81" s="326">
        <v>540000</v>
      </c>
      <c r="E81" s="575" t="s">
        <v>6004</v>
      </c>
      <c r="F81" s="575"/>
      <c r="G81" s="575"/>
      <c r="H81" s="359" t="s">
        <v>6002</v>
      </c>
    </row>
    <row r="82" spans="1:8">
      <c r="A82" s="323"/>
      <c r="B82" s="325"/>
      <c r="C82" s="325"/>
      <c r="D82" s="326"/>
      <c r="E82" s="575"/>
      <c r="F82" s="575"/>
      <c r="G82" s="575"/>
      <c r="H82" s="359"/>
    </row>
    <row r="83" spans="1:8">
      <c r="A83" s="322">
        <v>46010</v>
      </c>
      <c r="B83" s="325" t="s">
        <v>6005</v>
      </c>
      <c r="C83" s="325"/>
      <c r="D83" s="326">
        <v>260000</v>
      </c>
      <c r="E83" s="326" t="s">
        <v>6006</v>
      </c>
      <c r="F83" s="326"/>
      <c r="G83" s="326"/>
      <c r="H83" s="359" t="s">
        <v>6002</v>
      </c>
    </row>
    <row r="84" spans="1:8">
      <c r="A84" s="323"/>
      <c r="B84" s="325"/>
      <c r="C84" s="325"/>
      <c r="D84" s="326"/>
      <c r="E84" s="326"/>
      <c r="F84" s="326"/>
      <c r="G84" s="326"/>
      <c r="H84" s="359"/>
    </row>
    <row r="85" spans="1:8">
      <c r="A85" s="322">
        <v>46010</v>
      </c>
      <c r="B85" s="325" t="s">
        <v>6018</v>
      </c>
      <c r="C85" s="325"/>
      <c r="D85" s="326">
        <v>520000</v>
      </c>
      <c r="E85" s="326" t="s">
        <v>6019</v>
      </c>
      <c r="F85" s="326"/>
      <c r="G85" s="326"/>
      <c r="H85" s="333" t="s">
        <v>6020</v>
      </c>
    </row>
    <row r="86" spans="1:8">
      <c r="A86" s="323"/>
      <c r="B86" s="325"/>
      <c r="C86" s="325"/>
      <c r="D86" s="326"/>
      <c r="E86" s="326"/>
      <c r="F86" s="326"/>
      <c r="G86" s="326"/>
      <c r="H86" s="333"/>
    </row>
    <row r="87" spans="1:8">
      <c r="A87" s="322">
        <v>46010</v>
      </c>
      <c r="B87" s="325" t="s">
        <v>6017</v>
      </c>
      <c r="C87" s="325"/>
      <c r="D87" s="326">
        <v>150000</v>
      </c>
      <c r="E87" s="326" t="s">
        <v>6016</v>
      </c>
      <c r="F87" s="326"/>
      <c r="G87" s="326"/>
      <c r="H87" s="359" t="s">
        <v>6015</v>
      </c>
    </row>
    <row r="88" spans="1:8">
      <c r="A88" s="323"/>
      <c r="B88" s="325"/>
      <c r="C88" s="325"/>
      <c r="D88" s="326"/>
      <c r="E88" s="326"/>
      <c r="F88" s="326"/>
      <c r="G88" s="326"/>
      <c r="H88" s="359"/>
    </row>
    <row r="89" spans="1:8">
      <c r="A89" s="322">
        <v>46010</v>
      </c>
      <c r="B89" s="325" t="s">
        <v>6014</v>
      </c>
      <c r="C89" s="325"/>
      <c r="D89" s="326">
        <v>150000</v>
      </c>
      <c r="E89" s="326" t="s">
        <v>6013</v>
      </c>
      <c r="F89" s="326"/>
      <c r="G89" s="326"/>
      <c r="H89" s="359" t="s">
        <v>6015</v>
      </c>
    </row>
    <row r="90" spans="1:8">
      <c r="A90" s="323"/>
      <c r="B90" s="325"/>
      <c r="C90" s="325"/>
      <c r="D90" s="326"/>
      <c r="E90" s="326"/>
      <c r="F90" s="326"/>
      <c r="G90" s="326"/>
      <c r="H90" s="359"/>
    </row>
    <row r="91" spans="1:8">
      <c r="A91" s="322">
        <v>46010</v>
      </c>
      <c r="B91" s="325" t="s">
        <v>6007</v>
      </c>
      <c r="C91" s="325"/>
      <c r="D91" s="326">
        <v>450000</v>
      </c>
      <c r="E91" s="326" t="s">
        <v>6008</v>
      </c>
      <c r="F91" s="326"/>
      <c r="G91" s="326"/>
      <c r="H91" s="359" t="s">
        <v>6009</v>
      </c>
    </row>
    <row r="92" spans="1:8">
      <c r="A92" s="323"/>
      <c r="B92" s="325"/>
      <c r="C92" s="325"/>
      <c r="D92" s="326"/>
      <c r="E92" s="326"/>
      <c r="F92" s="326"/>
      <c r="G92" s="326"/>
      <c r="H92" s="359"/>
    </row>
    <row r="93" spans="1:8">
      <c r="A93" s="322">
        <v>46010</v>
      </c>
      <c r="B93" s="325" t="s">
        <v>6007</v>
      </c>
      <c r="C93" s="325"/>
      <c r="D93" s="326">
        <v>160000</v>
      </c>
      <c r="E93" s="326" t="s">
        <v>3438</v>
      </c>
      <c r="F93" s="326"/>
      <c r="G93" s="326"/>
      <c r="H93" s="359" t="s">
        <v>6010</v>
      </c>
    </row>
    <row r="94" spans="1:8">
      <c r="A94" s="323"/>
      <c r="B94" s="325"/>
      <c r="C94" s="325"/>
      <c r="D94" s="326"/>
      <c r="E94" s="326"/>
      <c r="F94" s="326"/>
      <c r="G94" s="326"/>
      <c r="H94" s="359"/>
    </row>
    <row r="95" spans="1:8">
      <c r="A95" s="322"/>
      <c r="B95" s="884" t="s">
        <v>6059</v>
      </c>
      <c r="C95" s="671"/>
      <c r="D95" s="671"/>
      <c r="E95" s="671"/>
      <c r="F95" s="671"/>
      <c r="G95" s="671"/>
      <c r="H95" s="672"/>
    </row>
    <row r="96" spans="1:8" ht="25.5" customHeight="1">
      <c r="A96" s="323"/>
      <c r="B96" s="673"/>
      <c r="C96" s="674"/>
      <c r="D96" s="674"/>
      <c r="E96" s="674"/>
      <c r="F96" s="674"/>
      <c r="G96" s="674"/>
      <c r="H96" s="675"/>
    </row>
    <row r="97" spans="1:8">
      <c r="A97" s="322">
        <v>46011</v>
      </c>
      <c r="B97" s="325" t="s">
        <v>6011</v>
      </c>
      <c r="C97" s="325"/>
      <c r="D97" s="326">
        <v>10000</v>
      </c>
      <c r="E97" s="326" t="s">
        <v>6012</v>
      </c>
      <c r="F97" s="326"/>
      <c r="G97" s="326"/>
      <c r="H97" s="359" t="s">
        <v>6066</v>
      </c>
    </row>
    <row r="98" spans="1:8">
      <c r="A98" s="323"/>
      <c r="B98" s="325"/>
      <c r="C98" s="325"/>
      <c r="D98" s="326"/>
      <c r="E98" s="326"/>
      <c r="F98" s="326"/>
      <c r="G98" s="326"/>
      <c r="H98" s="359"/>
    </row>
    <row r="99" spans="1:8">
      <c r="A99" s="322">
        <v>46013</v>
      </c>
      <c r="B99" s="325" t="s">
        <v>6021</v>
      </c>
      <c r="C99" s="325"/>
      <c r="D99" s="326">
        <v>286000</v>
      </c>
      <c r="E99" s="326" t="s">
        <v>6023</v>
      </c>
      <c r="F99" s="326"/>
      <c r="G99" s="326"/>
      <c r="H99" s="333" t="s">
        <v>6022</v>
      </c>
    </row>
    <row r="100" spans="1:8">
      <c r="A100" s="323"/>
      <c r="B100" s="325"/>
      <c r="C100" s="325"/>
      <c r="D100" s="326"/>
      <c r="E100" s="326"/>
      <c r="F100" s="326"/>
      <c r="G100" s="326"/>
      <c r="H100" s="333"/>
    </row>
    <row r="101" spans="1:8">
      <c r="A101" s="322">
        <v>46014</v>
      </c>
      <c r="B101" s="325" t="s">
        <v>6024</v>
      </c>
      <c r="C101" s="325"/>
      <c r="D101" s="326">
        <v>440000</v>
      </c>
      <c r="E101" s="575" t="s">
        <v>6060</v>
      </c>
      <c r="F101" s="575"/>
      <c r="G101" s="575"/>
      <c r="H101" s="359" t="s">
        <v>6028</v>
      </c>
    </row>
    <row r="102" spans="1:8">
      <c r="A102" s="323"/>
      <c r="B102" s="325"/>
      <c r="C102" s="325"/>
      <c r="D102" s="326"/>
      <c r="E102" s="575"/>
      <c r="F102" s="575"/>
      <c r="G102" s="575"/>
      <c r="H102" s="359"/>
    </row>
    <row r="103" spans="1:8">
      <c r="A103" s="322">
        <v>46014</v>
      </c>
      <c r="B103" s="325" t="s">
        <v>6025</v>
      </c>
      <c r="C103" s="325"/>
      <c r="D103" s="326">
        <v>95000</v>
      </c>
      <c r="E103" s="326" t="s">
        <v>6026</v>
      </c>
      <c r="F103" s="326"/>
      <c r="G103" s="326"/>
      <c r="H103" s="359" t="s">
        <v>6027</v>
      </c>
    </row>
    <row r="104" spans="1:8">
      <c r="A104" s="323"/>
      <c r="B104" s="325"/>
      <c r="C104" s="325"/>
      <c r="D104" s="326"/>
      <c r="E104" s="326"/>
      <c r="F104" s="326"/>
      <c r="G104" s="326"/>
      <c r="H104" s="359"/>
    </row>
    <row r="105" spans="1:8">
      <c r="A105" s="322">
        <v>46014</v>
      </c>
      <c r="B105" s="325" t="s">
        <v>6032</v>
      </c>
      <c r="C105" s="325"/>
      <c r="D105" s="326">
        <v>920000</v>
      </c>
      <c r="E105" s="575" t="s">
        <v>6033</v>
      </c>
      <c r="F105" s="575"/>
      <c r="G105" s="575"/>
      <c r="H105" s="359" t="s">
        <v>6034</v>
      </c>
    </row>
    <row r="106" spans="1:8">
      <c r="A106" s="323"/>
      <c r="B106" s="325"/>
      <c r="C106" s="325"/>
      <c r="D106" s="326"/>
      <c r="E106" s="575"/>
      <c r="F106" s="575"/>
      <c r="G106" s="575"/>
      <c r="H106" s="359"/>
    </row>
    <row r="107" spans="1:8">
      <c r="A107" s="322">
        <v>46014</v>
      </c>
      <c r="B107" s="325" t="s">
        <v>6031</v>
      </c>
      <c r="C107" s="325"/>
      <c r="D107" s="326">
        <v>100000</v>
      </c>
      <c r="E107" s="326" t="s">
        <v>6029</v>
      </c>
      <c r="F107" s="326"/>
      <c r="G107" s="326"/>
      <c r="H107" s="359" t="s">
        <v>6030</v>
      </c>
    </row>
    <row r="108" spans="1:8">
      <c r="A108" s="323"/>
      <c r="B108" s="325"/>
      <c r="C108" s="325"/>
      <c r="D108" s="326"/>
      <c r="E108" s="326"/>
      <c r="F108" s="326"/>
      <c r="G108" s="326"/>
      <c r="H108" s="359"/>
    </row>
    <row r="109" spans="1:8">
      <c r="A109" s="322">
        <v>46015</v>
      </c>
      <c r="B109" s="325" t="s">
        <v>6037</v>
      </c>
      <c r="C109" s="325"/>
      <c r="D109" s="326">
        <v>600000</v>
      </c>
      <c r="E109" s="575" t="s">
        <v>6038</v>
      </c>
      <c r="F109" s="575"/>
      <c r="G109" s="575"/>
      <c r="H109" s="333" t="s">
        <v>6035</v>
      </c>
    </row>
    <row r="110" spans="1:8">
      <c r="A110" s="323"/>
      <c r="B110" s="325"/>
      <c r="C110" s="325"/>
      <c r="D110" s="326"/>
      <c r="E110" s="575"/>
      <c r="F110" s="575"/>
      <c r="G110" s="575"/>
      <c r="H110" s="333"/>
    </row>
    <row r="111" spans="1:8">
      <c r="A111" s="322">
        <v>46016</v>
      </c>
      <c r="B111" s="325" t="s">
        <v>6048</v>
      </c>
      <c r="C111" s="325"/>
      <c r="D111" s="326">
        <v>760000</v>
      </c>
      <c r="E111" s="575" t="s">
        <v>6038</v>
      </c>
      <c r="F111" s="575"/>
      <c r="G111" s="575"/>
      <c r="H111" s="333" t="s">
        <v>6049</v>
      </c>
    </row>
    <row r="112" spans="1:8">
      <c r="A112" s="323"/>
      <c r="B112" s="325"/>
      <c r="C112" s="325"/>
      <c r="D112" s="326"/>
      <c r="E112" s="575"/>
      <c r="F112" s="575"/>
      <c r="G112" s="575"/>
      <c r="H112" s="333"/>
    </row>
    <row r="113" spans="1:8">
      <c r="A113" s="322">
        <v>46380</v>
      </c>
      <c r="B113" s="325" t="s">
        <v>6068</v>
      </c>
      <c r="C113" s="325"/>
      <c r="D113" s="326">
        <v>900000</v>
      </c>
      <c r="E113" s="326" t="s">
        <v>6069</v>
      </c>
      <c r="F113" s="326"/>
      <c r="G113" s="326"/>
      <c r="H113" s="359" t="s">
        <v>6070</v>
      </c>
    </row>
    <row r="114" spans="1:8">
      <c r="A114" s="323"/>
      <c r="B114" s="325"/>
      <c r="C114" s="325"/>
      <c r="D114" s="326"/>
      <c r="E114" s="326"/>
      <c r="F114" s="326"/>
      <c r="G114" s="326"/>
      <c r="H114" s="359"/>
    </row>
    <row r="115" spans="1:8">
      <c r="A115" s="313">
        <v>46018</v>
      </c>
      <c r="B115" s="325" t="s">
        <v>6036</v>
      </c>
      <c r="C115" s="325"/>
      <c r="D115" s="326">
        <v>500000</v>
      </c>
      <c r="E115" s="575" t="s">
        <v>6040</v>
      </c>
      <c r="F115" s="575"/>
      <c r="G115" s="575"/>
      <c r="H115" s="359" t="s">
        <v>6041</v>
      </c>
    </row>
    <row r="116" spans="1:8">
      <c r="A116" s="305"/>
      <c r="B116" s="325"/>
      <c r="C116" s="325"/>
      <c r="D116" s="326"/>
      <c r="E116" s="575"/>
      <c r="F116" s="575"/>
      <c r="G116" s="575"/>
      <c r="H116" s="359"/>
    </row>
    <row r="117" spans="1:8">
      <c r="A117" s="313">
        <v>46018</v>
      </c>
      <c r="B117" s="325" t="s">
        <v>6046</v>
      </c>
      <c r="C117" s="325"/>
      <c r="D117" s="326">
        <v>660000</v>
      </c>
      <c r="E117" s="575" t="s">
        <v>6044</v>
      </c>
      <c r="F117" s="575"/>
      <c r="G117" s="575"/>
      <c r="H117" s="333" t="s">
        <v>6045</v>
      </c>
    </row>
    <row r="118" spans="1:8">
      <c r="A118" s="305"/>
      <c r="B118" s="325"/>
      <c r="C118" s="325"/>
      <c r="D118" s="326"/>
      <c r="E118" s="575"/>
      <c r="F118" s="575"/>
      <c r="G118" s="575"/>
      <c r="H118" s="333"/>
    </row>
    <row r="119" spans="1:8">
      <c r="A119" s="313">
        <v>46020</v>
      </c>
      <c r="B119" s="325" t="s">
        <v>6042</v>
      </c>
      <c r="C119" s="325"/>
      <c r="D119" s="326">
        <v>277200</v>
      </c>
      <c r="E119" s="326" t="s">
        <v>6043</v>
      </c>
      <c r="F119" s="326"/>
      <c r="G119" s="326"/>
      <c r="H119" s="359" t="s">
        <v>6051</v>
      </c>
    </row>
    <row r="120" spans="1:8">
      <c r="A120" s="305"/>
      <c r="B120" s="325"/>
      <c r="C120" s="325"/>
      <c r="D120" s="326"/>
      <c r="E120" s="326"/>
      <c r="F120" s="326"/>
      <c r="G120" s="326"/>
      <c r="H120" s="359"/>
    </row>
    <row r="121" spans="1:8">
      <c r="A121" s="313">
        <v>46020</v>
      </c>
      <c r="B121" s="325" t="s">
        <v>6052</v>
      </c>
      <c r="C121" s="325"/>
      <c r="D121" s="326">
        <v>1150000</v>
      </c>
      <c r="E121" s="575" t="s">
        <v>6047</v>
      </c>
      <c r="F121" s="575"/>
      <c r="G121" s="575"/>
      <c r="H121" s="359" t="s">
        <v>6050</v>
      </c>
    </row>
    <row r="122" spans="1:8">
      <c r="A122" s="305"/>
      <c r="B122" s="325"/>
      <c r="C122" s="325"/>
      <c r="D122" s="326"/>
      <c r="E122" s="575"/>
      <c r="F122" s="575"/>
      <c r="G122" s="575"/>
      <c r="H122" s="359"/>
    </row>
    <row r="123" spans="1:8">
      <c r="A123" s="313">
        <v>46021</v>
      </c>
      <c r="B123" s="325" t="s">
        <v>6057</v>
      </c>
      <c r="C123" s="325"/>
      <c r="D123" s="326">
        <v>200000</v>
      </c>
      <c r="E123" s="575" t="s">
        <v>6058</v>
      </c>
      <c r="F123" s="575"/>
      <c r="G123" s="575"/>
      <c r="H123" s="359" t="s">
        <v>6055</v>
      </c>
    </row>
    <row r="124" spans="1:8">
      <c r="A124" s="305"/>
      <c r="B124" s="325"/>
      <c r="C124" s="325"/>
      <c r="D124" s="326"/>
      <c r="E124" s="575"/>
      <c r="F124" s="575"/>
      <c r="G124" s="575"/>
      <c r="H124" s="359"/>
    </row>
    <row r="125" spans="1:8">
      <c r="A125" s="313">
        <v>46021</v>
      </c>
      <c r="B125" s="325" t="s">
        <v>6056</v>
      </c>
      <c r="C125" s="325"/>
      <c r="D125" s="326">
        <v>340000</v>
      </c>
      <c r="E125" s="575" t="s">
        <v>6053</v>
      </c>
      <c r="F125" s="575"/>
      <c r="G125" s="575"/>
      <c r="H125" s="359" t="s">
        <v>6054</v>
      </c>
    </row>
    <row r="126" spans="1:8">
      <c r="A126" s="305"/>
      <c r="B126" s="325"/>
      <c r="C126" s="325"/>
      <c r="D126" s="326"/>
      <c r="E126" s="575"/>
      <c r="F126" s="575"/>
      <c r="G126" s="575"/>
      <c r="H126" s="359"/>
    </row>
    <row r="127" spans="1:8">
      <c r="A127" s="313">
        <v>46022</v>
      </c>
      <c r="B127" s="325" t="s">
        <v>6061</v>
      </c>
      <c r="C127" s="325"/>
      <c r="D127" s="326">
        <v>480000</v>
      </c>
      <c r="E127" s="326" t="s">
        <v>6062</v>
      </c>
      <c r="F127" s="326"/>
      <c r="G127" s="326"/>
      <c r="H127" s="359" t="s">
        <v>6063</v>
      </c>
    </row>
    <row r="128" spans="1:8">
      <c r="A128" s="305"/>
      <c r="B128" s="325"/>
      <c r="C128" s="325"/>
      <c r="D128" s="326"/>
      <c r="E128" s="326"/>
      <c r="F128" s="326"/>
      <c r="G128" s="326"/>
      <c r="H128" s="359"/>
    </row>
    <row r="129" spans="1:8">
      <c r="A129" s="313">
        <v>46022</v>
      </c>
      <c r="B129" s="325" t="s">
        <v>6065</v>
      </c>
      <c r="C129" s="325"/>
      <c r="D129" s="326">
        <v>800000</v>
      </c>
      <c r="E129" s="575" t="s">
        <v>6064</v>
      </c>
      <c r="F129" s="575"/>
      <c r="G129" s="575"/>
      <c r="H129" s="359" t="s">
        <v>6067</v>
      </c>
    </row>
    <row r="130" spans="1:8">
      <c r="A130" s="305"/>
      <c r="B130" s="325"/>
      <c r="C130" s="325"/>
      <c r="D130" s="326"/>
      <c r="E130" s="575"/>
      <c r="F130" s="575"/>
      <c r="G130" s="575"/>
      <c r="H130" s="359"/>
    </row>
    <row r="131" spans="1:8">
      <c r="A131" s="313"/>
      <c r="B131" s="325"/>
      <c r="C131" s="325"/>
      <c r="D131" s="326"/>
      <c r="E131" s="326"/>
      <c r="F131" s="326"/>
      <c r="G131" s="326"/>
      <c r="H131" s="359"/>
    </row>
    <row r="132" spans="1:8">
      <c r="A132" s="305"/>
      <c r="B132" s="325"/>
      <c r="C132" s="325"/>
      <c r="D132" s="326"/>
      <c r="E132" s="326"/>
      <c r="F132" s="326"/>
      <c r="G132" s="326"/>
      <c r="H132" s="359"/>
    </row>
    <row r="133" spans="1:8">
      <c r="A133" s="313"/>
      <c r="B133" s="325"/>
      <c r="C133" s="325"/>
      <c r="D133" s="326"/>
      <c r="E133" s="326"/>
      <c r="F133" s="326"/>
      <c r="G133" s="326"/>
      <c r="H133" s="359"/>
    </row>
    <row r="134" spans="1:8">
      <c r="A134" s="305"/>
      <c r="B134" s="325"/>
      <c r="C134" s="325"/>
      <c r="D134" s="326"/>
      <c r="E134" s="326"/>
      <c r="F134" s="326"/>
      <c r="G134" s="326"/>
      <c r="H134" s="359"/>
    </row>
  </sheetData>
  <mergeCells count="385"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  <mergeCell ref="A3:H3"/>
    <mergeCell ref="A4:A5"/>
    <mergeCell ref="B4:B5"/>
    <mergeCell ref="C4:C5"/>
    <mergeCell ref="D4:D5"/>
    <mergeCell ref="E4:G5"/>
    <mergeCell ref="H4:H5"/>
    <mergeCell ref="M1:M2"/>
    <mergeCell ref="N1:N2"/>
    <mergeCell ref="H10:H11"/>
    <mergeCell ref="A8:A9"/>
    <mergeCell ref="B8:B9"/>
    <mergeCell ref="C8:C9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E12:G12"/>
    <mergeCell ref="A13:A14"/>
    <mergeCell ref="B13:B14"/>
    <mergeCell ref="C13:C14"/>
    <mergeCell ref="D13:D14"/>
    <mergeCell ref="E13:G14"/>
    <mergeCell ref="A10:A11"/>
    <mergeCell ref="B10:B11"/>
    <mergeCell ref="C10:C11"/>
    <mergeCell ref="D10:D11"/>
    <mergeCell ref="E10:G11"/>
    <mergeCell ref="A17:A18"/>
    <mergeCell ref="B17:B18"/>
    <mergeCell ref="C17:C18"/>
    <mergeCell ref="D17:D18"/>
    <mergeCell ref="E17:G18"/>
    <mergeCell ref="H17:H18"/>
    <mergeCell ref="H13:H14"/>
    <mergeCell ref="A15:A16"/>
    <mergeCell ref="B15:B16"/>
    <mergeCell ref="C15:C16"/>
    <mergeCell ref="D15:D16"/>
    <mergeCell ref="E15:G16"/>
    <mergeCell ref="H15:H16"/>
    <mergeCell ref="H23:H24"/>
    <mergeCell ref="A21:A22"/>
    <mergeCell ref="B21:B22"/>
    <mergeCell ref="C21:C22"/>
    <mergeCell ref="D21:D22"/>
    <mergeCell ref="E21:G22"/>
    <mergeCell ref="H21:H22"/>
    <mergeCell ref="A19:A20"/>
    <mergeCell ref="B19:B20"/>
    <mergeCell ref="C19:C20"/>
    <mergeCell ref="D19:D20"/>
    <mergeCell ref="E19:G20"/>
    <mergeCell ref="H19:H20"/>
    <mergeCell ref="E33:G33"/>
    <mergeCell ref="E25:G25"/>
    <mergeCell ref="A26:A27"/>
    <mergeCell ref="B26:B27"/>
    <mergeCell ref="C26:C27"/>
    <mergeCell ref="D26:D27"/>
    <mergeCell ref="E26:G27"/>
    <mergeCell ref="A23:A24"/>
    <mergeCell ref="B23:B24"/>
    <mergeCell ref="C23:C24"/>
    <mergeCell ref="D23:D24"/>
    <mergeCell ref="E23:G24"/>
    <mergeCell ref="H26:H27"/>
    <mergeCell ref="E28:G28"/>
    <mergeCell ref="A29:A30"/>
    <mergeCell ref="B29:H30"/>
    <mergeCell ref="A31:A32"/>
    <mergeCell ref="B31:B32"/>
    <mergeCell ref="C31:C32"/>
    <mergeCell ref="D31:D32"/>
    <mergeCell ref="E31:G32"/>
    <mergeCell ref="H31:H32"/>
    <mergeCell ref="A36:A37"/>
    <mergeCell ref="B36:B37"/>
    <mergeCell ref="C36:C37"/>
    <mergeCell ref="D36:D37"/>
    <mergeCell ref="E36:G37"/>
    <mergeCell ref="H36:H37"/>
    <mergeCell ref="A34:A35"/>
    <mergeCell ref="B34:B35"/>
    <mergeCell ref="C34:C35"/>
    <mergeCell ref="D34:D35"/>
    <mergeCell ref="E34:G35"/>
    <mergeCell ref="H34:H35"/>
    <mergeCell ref="A40:A41"/>
    <mergeCell ref="B40:B41"/>
    <mergeCell ref="C40:C41"/>
    <mergeCell ref="D40:D41"/>
    <mergeCell ref="E40:G41"/>
    <mergeCell ref="H40:H41"/>
    <mergeCell ref="A38:A39"/>
    <mergeCell ref="B38:B39"/>
    <mergeCell ref="C38:C39"/>
    <mergeCell ref="D38:D39"/>
    <mergeCell ref="E38:G39"/>
    <mergeCell ref="H38:H39"/>
    <mergeCell ref="A44:A45"/>
    <mergeCell ref="B44:B45"/>
    <mergeCell ref="C44:C45"/>
    <mergeCell ref="D44:D45"/>
    <mergeCell ref="E44:G45"/>
    <mergeCell ref="H44:H45"/>
    <mergeCell ref="A42:A43"/>
    <mergeCell ref="B42:B43"/>
    <mergeCell ref="C42:C43"/>
    <mergeCell ref="D42:D43"/>
    <mergeCell ref="E42:G43"/>
    <mergeCell ref="H42:H43"/>
    <mergeCell ref="A48:A49"/>
    <mergeCell ref="B48:B49"/>
    <mergeCell ref="C48:C49"/>
    <mergeCell ref="D48:D49"/>
    <mergeCell ref="E48:G49"/>
    <mergeCell ref="H48:H49"/>
    <mergeCell ref="A46:A47"/>
    <mergeCell ref="B46:B47"/>
    <mergeCell ref="C46:C47"/>
    <mergeCell ref="D46:D47"/>
    <mergeCell ref="E46:G47"/>
    <mergeCell ref="H46:H47"/>
    <mergeCell ref="A52:A53"/>
    <mergeCell ref="B52:B53"/>
    <mergeCell ref="C52:C53"/>
    <mergeCell ref="D52:D53"/>
    <mergeCell ref="E52:G53"/>
    <mergeCell ref="H52:H53"/>
    <mergeCell ref="A50:A51"/>
    <mergeCell ref="B50:B51"/>
    <mergeCell ref="C50:C51"/>
    <mergeCell ref="D50:D51"/>
    <mergeCell ref="E50:G51"/>
    <mergeCell ref="H50:H51"/>
    <mergeCell ref="A56:A57"/>
    <mergeCell ref="B56:B57"/>
    <mergeCell ref="C56:C57"/>
    <mergeCell ref="D56:D57"/>
    <mergeCell ref="E56:G57"/>
    <mergeCell ref="H56:H57"/>
    <mergeCell ref="A54:A55"/>
    <mergeCell ref="B54:B55"/>
    <mergeCell ref="C54:C55"/>
    <mergeCell ref="D54:D55"/>
    <mergeCell ref="E54:G55"/>
    <mergeCell ref="H54:H55"/>
    <mergeCell ref="A60:A61"/>
    <mergeCell ref="B60:B61"/>
    <mergeCell ref="C60:C61"/>
    <mergeCell ref="D60:D61"/>
    <mergeCell ref="E60:G61"/>
    <mergeCell ref="H60:H61"/>
    <mergeCell ref="A58:A59"/>
    <mergeCell ref="B58:B59"/>
    <mergeCell ref="C58:C59"/>
    <mergeCell ref="D58:D59"/>
    <mergeCell ref="E58:G59"/>
    <mergeCell ref="H58:H59"/>
    <mergeCell ref="E62:G62"/>
    <mergeCell ref="A63:A64"/>
    <mergeCell ref="B63:B64"/>
    <mergeCell ref="C63:C64"/>
    <mergeCell ref="D63:D64"/>
    <mergeCell ref="E63:G64"/>
    <mergeCell ref="H63:H64"/>
    <mergeCell ref="A67:A68"/>
    <mergeCell ref="A65:A66"/>
    <mergeCell ref="B65:B66"/>
    <mergeCell ref="C65:C66"/>
    <mergeCell ref="D65:D66"/>
    <mergeCell ref="E65:G66"/>
    <mergeCell ref="H65:H66"/>
    <mergeCell ref="B67:H68"/>
    <mergeCell ref="A71:A72"/>
    <mergeCell ref="B71:B72"/>
    <mergeCell ref="C71:C72"/>
    <mergeCell ref="D71:D72"/>
    <mergeCell ref="E71:G72"/>
    <mergeCell ref="H71:H72"/>
    <mergeCell ref="A69:A70"/>
    <mergeCell ref="B69:B70"/>
    <mergeCell ref="C69:C70"/>
    <mergeCell ref="D69:D70"/>
    <mergeCell ref="E69:G70"/>
    <mergeCell ref="H69:H70"/>
    <mergeCell ref="A75:A76"/>
    <mergeCell ref="B75:B76"/>
    <mergeCell ref="C75:C76"/>
    <mergeCell ref="D75:D76"/>
    <mergeCell ref="E75:G76"/>
    <mergeCell ref="H75:H76"/>
    <mergeCell ref="A73:A74"/>
    <mergeCell ref="B73:B74"/>
    <mergeCell ref="C73:C74"/>
    <mergeCell ref="D73:D74"/>
    <mergeCell ref="E73:G74"/>
    <mergeCell ref="H73:H74"/>
    <mergeCell ref="A79:A80"/>
    <mergeCell ref="B79:B80"/>
    <mergeCell ref="C79:C80"/>
    <mergeCell ref="D79:D80"/>
    <mergeCell ref="E79:G80"/>
    <mergeCell ref="H79:H80"/>
    <mergeCell ref="A77:A78"/>
    <mergeCell ref="B77:B78"/>
    <mergeCell ref="C77:C78"/>
    <mergeCell ref="D77:D78"/>
    <mergeCell ref="E77:G78"/>
    <mergeCell ref="H77:H78"/>
    <mergeCell ref="A83:A84"/>
    <mergeCell ref="B83:B84"/>
    <mergeCell ref="C83:C84"/>
    <mergeCell ref="D83:D84"/>
    <mergeCell ref="E83:G84"/>
    <mergeCell ref="H83:H84"/>
    <mergeCell ref="A81:A82"/>
    <mergeCell ref="B81:B82"/>
    <mergeCell ref="C81:C82"/>
    <mergeCell ref="D81:D82"/>
    <mergeCell ref="E81:G82"/>
    <mergeCell ref="H81:H82"/>
    <mergeCell ref="A87:A88"/>
    <mergeCell ref="B87:B88"/>
    <mergeCell ref="C87:C88"/>
    <mergeCell ref="D87:D88"/>
    <mergeCell ref="E87:G88"/>
    <mergeCell ref="H87:H88"/>
    <mergeCell ref="A85:A86"/>
    <mergeCell ref="B85:B86"/>
    <mergeCell ref="C85:C86"/>
    <mergeCell ref="D85:D86"/>
    <mergeCell ref="E85:G86"/>
    <mergeCell ref="H85:H86"/>
    <mergeCell ref="A91:A92"/>
    <mergeCell ref="B91:B92"/>
    <mergeCell ref="C91:C92"/>
    <mergeCell ref="D91:D92"/>
    <mergeCell ref="E91:G92"/>
    <mergeCell ref="H91:H92"/>
    <mergeCell ref="A89:A90"/>
    <mergeCell ref="B89:B90"/>
    <mergeCell ref="C89:C90"/>
    <mergeCell ref="D89:D90"/>
    <mergeCell ref="E89:G90"/>
    <mergeCell ref="H89:H90"/>
    <mergeCell ref="A95:A96"/>
    <mergeCell ref="B95:H96"/>
    <mergeCell ref="A97:A98"/>
    <mergeCell ref="B97:B98"/>
    <mergeCell ref="C97:C98"/>
    <mergeCell ref="D97:D98"/>
    <mergeCell ref="E97:G98"/>
    <mergeCell ref="H97:H98"/>
    <mergeCell ref="A93:A94"/>
    <mergeCell ref="B93:B94"/>
    <mergeCell ref="C93:C94"/>
    <mergeCell ref="D93:D94"/>
    <mergeCell ref="E93:G94"/>
    <mergeCell ref="H93:H94"/>
    <mergeCell ref="A101:A102"/>
    <mergeCell ref="B101:B102"/>
    <mergeCell ref="C101:C102"/>
    <mergeCell ref="D101:D102"/>
    <mergeCell ref="E101:G102"/>
    <mergeCell ref="H101:H102"/>
    <mergeCell ref="A99:A100"/>
    <mergeCell ref="B99:B100"/>
    <mergeCell ref="C99:C100"/>
    <mergeCell ref="D99:D100"/>
    <mergeCell ref="E99:G100"/>
    <mergeCell ref="H99:H100"/>
    <mergeCell ref="A105:A106"/>
    <mergeCell ref="B105:B106"/>
    <mergeCell ref="C105:C106"/>
    <mergeCell ref="D105:D106"/>
    <mergeCell ref="E105:G106"/>
    <mergeCell ref="H105:H106"/>
    <mergeCell ref="A103:A104"/>
    <mergeCell ref="B103:B104"/>
    <mergeCell ref="C103:C104"/>
    <mergeCell ref="D103:D104"/>
    <mergeCell ref="E103:G104"/>
    <mergeCell ref="H103:H104"/>
    <mergeCell ref="A109:A110"/>
    <mergeCell ref="B109:B110"/>
    <mergeCell ref="C109:C110"/>
    <mergeCell ref="D109:D110"/>
    <mergeCell ref="E109:G110"/>
    <mergeCell ref="H109:H110"/>
    <mergeCell ref="A107:A108"/>
    <mergeCell ref="B107:B108"/>
    <mergeCell ref="C107:C108"/>
    <mergeCell ref="D107:D108"/>
    <mergeCell ref="E107:G108"/>
    <mergeCell ref="H107:H108"/>
    <mergeCell ref="A113:A114"/>
    <mergeCell ref="B113:B114"/>
    <mergeCell ref="C113:C114"/>
    <mergeCell ref="D113:D114"/>
    <mergeCell ref="E113:G114"/>
    <mergeCell ref="H113:H114"/>
    <mergeCell ref="A111:A112"/>
    <mergeCell ref="B111:B112"/>
    <mergeCell ref="C111:C112"/>
    <mergeCell ref="D111:D112"/>
    <mergeCell ref="E111:G112"/>
    <mergeCell ref="H111:H112"/>
    <mergeCell ref="A117:A118"/>
    <mergeCell ref="B117:B118"/>
    <mergeCell ref="C117:C118"/>
    <mergeCell ref="D117:D118"/>
    <mergeCell ref="E117:G118"/>
    <mergeCell ref="H117:H118"/>
    <mergeCell ref="A115:A116"/>
    <mergeCell ref="B115:B116"/>
    <mergeCell ref="C115:C116"/>
    <mergeCell ref="D115:D116"/>
    <mergeCell ref="E115:G116"/>
    <mergeCell ref="H115:H116"/>
    <mergeCell ref="A121:A122"/>
    <mergeCell ref="B121:B122"/>
    <mergeCell ref="C121:C122"/>
    <mergeCell ref="D121:D122"/>
    <mergeCell ref="E121:G122"/>
    <mergeCell ref="H121:H122"/>
    <mergeCell ref="A119:A120"/>
    <mergeCell ref="B119:B120"/>
    <mergeCell ref="C119:C120"/>
    <mergeCell ref="D119:D120"/>
    <mergeCell ref="E119:G120"/>
    <mergeCell ref="H119:H120"/>
    <mergeCell ref="A125:A126"/>
    <mergeCell ref="B125:B126"/>
    <mergeCell ref="C125:C126"/>
    <mergeCell ref="D125:D126"/>
    <mergeCell ref="E125:G126"/>
    <mergeCell ref="H125:H126"/>
    <mergeCell ref="A123:A124"/>
    <mergeCell ref="B123:B124"/>
    <mergeCell ref="C123:C124"/>
    <mergeCell ref="D123:D124"/>
    <mergeCell ref="E123:G124"/>
    <mergeCell ref="H123:H124"/>
    <mergeCell ref="A129:A130"/>
    <mergeCell ref="B129:B130"/>
    <mergeCell ref="C129:C130"/>
    <mergeCell ref="D129:D130"/>
    <mergeCell ref="E129:G130"/>
    <mergeCell ref="H129:H130"/>
    <mergeCell ref="A127:A128"/>
    <mergeCell ref="B127:B128"/>
    <mergeCell ref="C127:C128"/>
    <mergeCell ref="D127:D128"/>
    <mergeCell ref="E127:G128"/>
    <mergeCell ref="H127:H128"/>
    <mergeCell ref="A131:A132"/>
    <mergeCell ref="B131:B132"/>
    <mergeCell ref="C131:C132"/>
    <mergeCell ref="D131:D132"/>
    <mergeCell ref="E131:G132"/>
    <mergeCell ref="H131:H132"/>
    <mergeCell ref="A133:A134"/>
    <mergeCell ref="B133:B134"/>
    <mergeCell ref="C133:C134"/>
    <mergeCell ref="D133:D134"/>
    <mergeCell ref="E133:G134"/>
    <mergeCell ref="H133:H134"/>
  </mergeCells>
  <phoneticPr fontId="1" type="noConversion"/>
  <pageMargins left="0" right="0" top="0" bottom="0" header="0" footer="0"/>
  <pageSetup paperSize="9" scale="36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J13" sqref="J13"/>
    </sheetView>
  </sheetViews>
  <sheetFormatPr defaultRowHeight="16.5"/>
  <cols>
    <col min="1" max="1" width="19" customWidth="1"/>
    <col min="2" max="2" width="10.875" bestFit="1" customWidth="1"/>
  </cols>
  <sheetData>
    <row r="1" spans="1:2">
      <c r="A1" s="214" t="s">
        <v>5016</v>
      </c>
      <c r="B1" s="48">
        <v>38000</v>
      </c>
    </row>
    <row r="2" spans="1:2">
      <c r="A2" s="214" t="s">
        <v>5023</v>
      </c>
      <c r="B2" s="48">
        <v>15000</v>
      </c>
    </row>
    <row r="3" spans="1:2">
      <c r="A3" s="214" t="s">
        <v>5021</v>
      </c>
      <c r="B3" s="48">
        <v>25000</v>
      </c>
    </row>
    <row r="4" spans="1:2">
      <c r="A4" s="214" t="s">
        <v>5022</v>
      </c>
      <c r="B4" s="48">
        <v>35000</v>
      </c>
    </row>
    <row r="5" spans="1:2">
      <c r="A5" s="214"/>
      <c r="B5" s="48"/>
    </row>
    <row r="6" spans="1:2">
      <c r="A6" s="214" t="s">
        <v>5024</v>
      </c>
      <c r="B6" s="48">
        <v>80000</v>
      </c>
    </row>
    <row r="7" spans="1:2">
      <c r="A7" s="214" t="s">
        <v>5025</v>
      </c>
      <c r="B7" s="48">
        <v>100000</v>
      </c>
    </row>
    <row r="8" spans="1:2">
      <c r="A8" s="214" t="s">
        <v>5026</v>
      </c>
      <c r="B8" s="48">
        <v>150000</v>
      </c>
    </row>
    <row r="9" spans="1:2">
      <c r="A9" s="214" t="s">
        <v>5027</v>
      </c>
      <c r="B9" s="48">
        <v>200000</v>
      </c>
    </row>
    <row r="10" spans="1:2">
      <c r="A10" s="214" t="s">
        <v>5017</v>
      </c>
      <c r="B10" s="48">
        <v>200000</v>
      </c>
    </row>
    <row r="11" spans="1:2">
      <c r="A11" s="214" t="s">
        <v>5018</v>
      </c>
      <c r="B11" s="48">
        <v>200000</v>
      </c>
    </row>
    <row r="12" spans="1:2">
      <c r="A12" s="214" t="s">
        <v>5019</v>
      </c>
      <c r="B12" s="48">
        <v>180000</v>
      </c>
    </row>
    <row r="13" spans="1:2">
      <c r="A13" s="214" t="s">
        <v>5020</v>
      </c>
      <c r="B13" s="48">
        <v>320000</v>
      </c>
    </row>
    <row r="14" spans="1:2">
      <c r="B14" s="48"/>
    </row>
    <row r="15" spans="1:2">
      <c r="B15" s="48"/>
    </row>
    <row r="16" spans="1:2">
      <c r="B16" s="48"/>
    </row>
    <row r="17" spans="2:2">
      <c r="B17" s="48"/>
    </row>
    <row r="18" spans="2:2">
      <c r="B18" s="48"/>
    </row>
    <row r="19" spans="2:2">
      <c r="B19" s="48"/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workbookViewId="0">
      <selection activeCell="M14" sqref="M14"/>
    </sheetView>
  </sheetViews>
  <sheetFormatPr defaultRowHeight="16.5"/>
  <cols>
    <col min="2" max="2" width="15" customWidth="1"/>
    <col min="5" max="5" width="19.75" customWidth="1"/>
    <col min="7" max="7" width="15" customWidth="1"/>
    <col min="10" max="10" width="13.5" customWidth="1"/>
    <col min="11" max="11" width="16.25" customWidth="1"/>
  </cols>
  <sheetData>
    <row r="1" spans="1:11">
      <c r="G1" t="s">
        <v>3593</v>
      </c>
    </row>
    <row r="2" spans="1:11">
      <c r="A2" s="139" t="s">
        <v>2623</v>
      </c>
      <c r="B2" s="140">
        <v>8518000</v>
      </c>
    </row>
    <row r="3" spans="1:11" ht="17.25" thickBot="1">
      <c r="A3" s="139" t="s">
        <v>2624</v>
      </c>
      <c r="B3" s="140">
        <v>18800900</v>
      </c>
    </row>
    <row r="4" spans="1:11" ht="17.25" thickBot="1">
      <c r="A4" t="s">
        <v>2625</v>
      </c>
      <c r="B4" s="66">
        <v>17977000</v>
      </c>
      <c r="D4" t="s">
        <v>3440</v>
      </c>
      <c r="E4" s="99">
        <v>39577100</v>
      </c>
      <c r="G4" s="48">
        <f>SUM(E4-B4)</f>
        <v>21600100</v>
      </c>
      <c r="I4" t="s">
        <v>4777</v>
      </c>
      <c r="J4" s="154">
        <v>17000000</v>
      </c>
      <c r="K4" s="198">
        <f>SUM(J4-E4)</f>
        <v>-22577100</v>
      </c>
    </row>
    <row r="5" spans="1:11">
      <c r="A5" t="s">
        <v>2626</v>
      </c>
      <c r="B5" s="66">
        <v>14208500</v>
      </c>
      <c r="D5" t="s">
        <v>3439</v>
      </c>
      <c r="E5" s="48">
        <v>18716000</v>
      </c>
      <c r="G5" s="48">
        <f t="shared" ref="G5:G15" si="0">SUM(E5-B5)</f>
        <v>4507500</v>
      </c>
      <c r="I5" t="s">
        <v>4778</v>
      </c>
      <c r="J5" s="48">
        <v>28670000</v>
      </c>
      <c r="K5" s="154">
        <f t="shared" ref="K5:K15" si="1">SUM(J5-E5)</f>
        <v>9954000</v>
      </c>
    </row>
    <row r="6" spans="1:11">
      <c r="A6" t="s">
        <v>2627</v>
      </c>
      <c r="B6" s="66">
        <v>19595000</v>
      </c>
      <c r="D6" t="s">
        <v>3441</v>
      </c>
      <c r="E6" s="48">
        <v>20632000</v>
      </c>
      <c r="G6" s="48">
        <f t="shared" si="0"/>
        <v>1037000</v>
      </c>
      <c r="I6" t="s">
        <v>5005</v>
      </c>
      <c r="J6" s="48">
        <v>15186000</v>
      </c>
      <c r="K6" s="198">
        <f t="shared" si="1"/>
        <v>-5446000</v>
      </c>
    </row>
    <row r="7" spans="1:11">
      <c r="A7" t="s">
        <v>2628</v>
      </c>
      <c r="B7" s="66">
        <v>15643000</v>
      </c>
      <c r="D7" t="s">
        <v>3442</v>
      </c>
      <c r="E7" s="48">
        <v>26650000</v>
      </c>
      <c r="G7" s="48">
        <f t="shared" si="0"/>
        <v>11007000</v>
      </c>
      <c r="I7" t="s">
        <v>5006</v>
      </c>
      <c r="J7" s="48">
        <v>22000000</v>
      </c>
      <c r="K7" s="198">
        <f t="shared" si="1"/>
        <v>-4650000</v>
      </c>
    </row>
    <row r="8" spans="1:11">
      <c r="A8" t="s">
        <v>2629</v>
      </c>
      <c r="B8" s="66">
        <v>15260600</v>
      </c>
      <c r="D8" t="s">
        <v>3443</v>
      </c>
      <c r="E8" s="110">
        <v>25449000</v>
      </c>
      <c r="G8" s="48">
        <f t="shared" si="0"/>
        <v>10188400</v>
      </c>
      <c r="I8" t="s">
        <v>5007</v>
      </c>
      <c r="J8" s="48">
        <v>29000000</v>
      </c>
      <c r="K8" s="154">
        <f t="shared" si="1"/>
        <v>3551000</v>
      </c>
    </row>
    <row r="9" spans="1:11">
      <c r="A9" t="s">
        <v>2630</v>
      </c>
      <c r="B9" s="66">
        <v>20034400</v>
      </c>
      <c r="D9" t="s">
        <v>3444</v>
      </c>
      <c r="E9" s="110">
        <v>28411400</v>
      </c>
      <c r="G9" s="48">
        <f t="shared" si="0"/>
        <v>8377000</v>
      </c>
      <c r="I9" t="s">
        <v>5008</v>
      </c>
      <c r="J9" s="48">
        <v>27300000</v>
      </c>
      <c r="K9" s="198">
        <f t="shared" si="1"/>
        <v>-1111400</v>
      </c>
    </row>
    <row r="10" spans="1:11">
      <c r="A10" t="s">
        <v>2631</v>
      </c>
      <c r="B10" s="66">
        <v>15213000</v>
      </c>
      <c r="D10" t="s">
        <v>3445</v>
      </c>
      <c r="E10" s="110">
        <v>27500000</v>
      </c>
      <c r="G10" s="48">
        <f t="shared" si="0"/>
        <v>12287000</v>
      </c>
      <c r="I10" t="s">
        <v>5009</v>
      </c>
      <c r="J10" s="48">
        <v>24800000</v>
      </c>
      <c r="K10" s="198">
        <f t="shared" si="1"/>
        <v>-2700000</v>
      </c>
    </row>
    <row r="11" spans="1:11">
      <c r="A11" t="s">
        <v>2632</v>
      </c>
      <c r="B11" s="66">
        <v>15341000</v>
      </c>
      <c r="D11" t="s">
        <v>3446</v>
      </c>
      <c r="E11" s="110">
        <v>25600000</v>
      </c>
      <c r="G11" s="48">
        <f t="shared" si="0"/>
        <v>10259000</v>
      </c>
      <c r="I11" t="s">
        <v>5010</v>
      </c>
      <c r="J11" s="48">
        <v>13700000</v>
      </c>
      <c r="K11" s="198">
        <f t="shared" si="1"/>
        <v>-11900000</v>
      </c>
    </row>
    <row r="12" spans="1:11">
      <c r="A12" t="s">
        <v>2633</v>
      </c>
      <c r="B12" s="66">
        <v>12004000</v>
      </c>
      <c r="D12" t="s">
        <v>3447</v>
      </c>
      <c r="E12" s="110">
        <v>34000000</v>
      </c>
      <c r="G12" s="48">
        <f t="shared" si="0"/>
        <v>21996000</v>
      </c>
      <c r="I12" t="s">
        <v>5011</v>
      </c>
      <c r="J12" s="48">
        <v>25270000</v>
      </c>
      <c r="K12" s="198">
        <f t="shared" si="1"/>
        <v>-8730000</v>
      </c>
    </row>
    <row r="13" spans="1:11">
      <c r="A13" t="s">
        <v>2634</v>
      </c>
      <c r="B13" s="66">
        <v>24215000</v>
      </c>
      <c r="D13" t="s">
        <v>3448</v>
      </c>
      <c r="E13" s="110">
        <v>32000000</v>
      </c>
      <c r="G13" s="48">
        <f t="shared" si="0"/>
        <v>7785000</v>
      </c>
      <c r="I13" t="s">
        <v>5012</v>
      </c>
      <c r="J13" s="48">
        <v>18029000</v>
      </c>
      <c r="K13" s="198">
        <f t="shared" si="1"/>
        <v>-13971000</v>
      </c>
    </row>
    <row r="14" spans="1:11">
      <c r="A14" t="s">
        <v>2635</v>
      </c>
      <c r="B14" s="66">
        <v>28033000</v>
      </c>
      <c r="D14" t="s">
        <v>3449</v>
      </c>
      <c r="E14" s="110">
        <v>33000000</v>
      </c>
      <c r="G14" s="48">
        <f t="shared" si="0"/>
        <v>4967000</v>
      </c>
      <c r="I14" t="s">
        <v>5013</v>
      </c>
      <c r="J14" s="48">
        <v>32552000</v>
      </c>
      <c r="K14" s="198">
        <f t="shared" si="1"/>
        <v>-448000</v>
      </c>
    </row>
    <row r="15" spans="1:11">
      <c r="A15" t="s">
        <v>2636</v>
      </c>
      <c r="B15" s="66">
        <v>30045000</v>
      </c>
      <c r="D15" t="s">
        <v>3450</v>
      </c>
      <c r="E15" s="110">
        <v>33000000</v>
      </c>
      <c r="G15" s="48">
        <f t="shared" si="0"/>
        <v>2955000</v>
      </c>
      <c r="I15" t="s">
        <v>5014</v>
      </c>
      <c r="J15" s="48">
        <v>30000000</v>
      </c>
      <c r="K15" s="198">
        <f t="shared" si="1"/>
        <v>-3000000</v>
      </c>
    </row>
    <row r="17" spans="1:11">
      <c r="B17" s="154">
        <f>SUM(B4:B15)</f>
        <v>227569500</v>
      </c>
      <c r="E17" s="154">
        <f>SUM(E4:E15)</f>
        <v>344535500</v>
      </c>
      <c r="G17" s="154">
        <f>SUM(G4:G15)</f>
        <v>116966000</v>
      </c>
    </row>
    <row r="22" spans="1:11">
      <c r="A22" s="139" t="s">
        <v>4365</v>
      </c>
      <c r="B22" s="139">
        <v>2023</v>
      </c>
      <c r="C22" s="139"/>
      <c r="D22" s="139" t="s">
        <v>4365</v>
      </c>
      <c r="E22" s="139">
        <v>2024</v>
      </c>
      <c r="H22">
        <v>2025</v>
      </c>
      <c r="K22" s="48">
        <v>140000000</v>
      </c>
    </row>
    <row r="23" spans="1:11">
      <c r="A23" t="s">
        <v>4366</v>
      </c>
      <c r="D23" t="s">
        <v>4366</v>
      </c>
      <c r="E23">
        <v>9</v>
      </c>
      <c r="G23" t="s">
        <v>12</v>
      </c>
      <c r="H23">
        <v>19</v>
      </c>
      <c r="K23" s="48">
        <v>-42000000</v>
      </c>
    </row>
    <row r="24" spans="1:11">
      <c r="A24" t="s">
        <v>4367</v>
      </c>
      <c r="D24" t="s">
        <v>4367</v>
      </c>
      <c r="E24">
        <v>12</v>
      </c>
      <c r="G24" t="s">
        <v>4367</v>
      </c>
      <c r="H24">
        <v>19</v>
      </c>
    </row>
    <row r="25" spans="1:11">
      <c r="A25" t="s">
        <v>14</v>
      </c>
      <c r="D25" t="s">
        <v>14</v>
      </c>
      <c r="E25">
        <v>9</v>
      </c>
      <c r="G25" t="s">
        <v>14</v>
      </c>
      <c r="H25">
        <v>12</v>
      </c>
    </row>
    <row r="26" spans="1:11">
      <c r="A26" t="s">
        <v>15</v>
      </c>
      <c r="D26" t="s">
        <v>15</v>
      </c>
      <c r="E26">
        <v>11</v>
      </c>
      <c r="G26" t="s">
        <v>15</v>
      </c>
      <c r="H26">
        <v>20</v>
      </c>
    </row>
    <row r="27" spans="1:11">
      <c r="A27" t="s">
        <v>16</v>
      </c>
      <c r="D27" t="s">
        <v>16</v>
      </c>
      <c r="E27">
        <v>17</v>
      </c>
      <c r="G27" t="s">
        <v>16</v>
      </c>
      <c r="H27">
        <v>29</v>
      </c>
    </row>
    <row r="28" spans="1:11">
      <c r="A28" t="s">
        <v>17</v>
      </c>
      <c r="B28">
        <v>2</v>
      </c>
      <c r="D28" t="s">
        <v>17</v>
      </c>
      <c r="E28">
        <v>14</v>
      </c>
      <c r="G28" t="s">
        <v>17</v>
      </c>
      <c r="H28">
        <v>21</v>
      </c>
    </row>
    <row r="29" spans="1:11">
      <c r="A29" t="s">
        <v>18</v>
      </c>
      <c r="B29">
        <v>3</v>
      </c>
      <c r="D29" t="s">
        <v>18</v>
      </c>
      <c r="E29">
        <v>17</v>
      </c>
      <c r="G29" t="s">
        <v>18</v>
      </c>
      <c r="H29">
        <v>17</v>
      </c>
    </row>
    <row r="30" spans="1:11">
      <c r="A30" t="s">
        <v>19</v>
      </c>
      <c r="B30">
        <v>2</v>
      </c>
      <c r="D30" t="s">
        <v>19</v>
      </c>
      <c r="E30">
        <v>12</v>
      </c>
      <c r="G30" t="s">
        <v>19</v>
      </c>
      <c r="H30">
        <v>9</v>
      </c>
    </row>
    <row r="31" spans="1:11">
      <c r="A31" t="s">
        <v>20</v>
      </c>
      <c r="B31">
        <v>1</v>
      </c>
      <c r="D31" t="s">
        <v>20</v>
      </c>
      <c r="E31">
        <v>17</v>
      </c>
      <c r="G31" t="s">
        <v>20</v>
      </c>
      <c r="H31">
        <v>28</v>
      </c>
    </row>
    <row r="32" spans="1:11">
      <c r="A32" t="s">
        <v>21</v>
      </c>
      <c r="B32">
        <v>8</v>
      </c>
      <c r="D32" t="s">
        <v>21</v>
      </c>
      <c r="E32">
        <v>21</v>
      </c>
      <c r="G32" t="s">
        <v>21</v>
      </c>
    </row>
    <row r="33" spans="1:7">
      <c r="A33" t="s">
        <v>22</v>
      </c>
      <c r="B33">
        <v>16</v>
      </c>
      <c r="D33" t="s">
        <v>22</v>
      </c>
      <c r="E33">
        <v>22</v>
      </c>
      <c r="G33" t="s">
        <v>22</v>
      </c>
    </row>
    <row r="34" spans="1:7">
      <c r="A34" t="s">
        <v>23</v>
      </c>
      <c r="B34">
        <v>21</v>
      </c>
      <c r="D34" t="s">
        <v>23</v>
      </c>
      <c r="E34">
        <v>26</v>
      </c>
      <c r="G34" t="s">
        <v>23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D12" sqref="D12"/>
    </sheetView>
  </sheetViews>
  <sheetFormatPr defaultRowHeight="16.5"/>
  <cols>
    <col min="3" max="3" width="12.375" bestFit="1" customWidth="1"/>
  </cols>
  <sheetData>
    <row r="1" spans="1:3">
      <c r="C1" s="142">
        <v>45601</v>
      </c>
    </row>
    <row r="2" spans="1:3">
      <c r="A2" t="s">
        <v>4260</v>
      </c>
      <c r="C2" s="48">
        <v>1500000</v>
      </c>
    </row>
    <row r="3" spans="1:3">
      <c r="A3" t="s">
        <v>4261</v>
      </c>
      <c r="C3" s="48">
        <v>800000</v>
      </c>
    </row>
    <row r="4" spans="1:3">
      <c r="A4" t="s">
        <v>4262</v>
      </c>
      <c r="C4" s="48">
        <v>80000</v>
      </c>
    </row>
    <row r="5" spans="1:3">
      <c r="A5" t="s">
        <v>4263</v>
      </c>
      <c r="C5" s="48">
        <v>300000</v>
      </c>
    </row>
    <row r="6" spans="1:3">
      <c r="A6" t="s">
        <v>4264</v>
      </c>
      <c r="C6" s="48">
        <v>30000</v>
      </c>
    </row>
    <row r="7" spans="1:3">
      <c r="A7" t="s">
        <v>4265</v>
      </c>
      <c r="C7" s="48">
        <v>30000</v>
      </c>
    </row>
    <row r="8" spans="1:3">
      <c r="A8" t="s">
        <v>4266</v>
      </c>
      <c r="C8" s="48">
        <v>400000</v>
      </c>
    </row>
    <row r="9" spans="1:3">
      <c r="C9" s="48"/>
    </row>
    <row r="10" spans="1:3">
      <c r="C10" s="48"/>
    </row>
    <row r="11" spans="1:3">
      <c r="C11" s="48"/>
    </row>
    <row r="12" spans="1:3">
      <c r="C12" s="48">
        <f>SUM(C2:C8)</f>
        <v>3140000</v>
      </c>
    </row>
    <row r="13" spans="1:3">
      <c r="C13" s="48"/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36"/>
  <sheetViews>
    <sheetView workbookViewId="0">
      <selection activeCell="P34" sqref="P34"/>
    </sheetView>
  </sheetViews>
  <sheetFormatPr defaultRowHeight="16.5"/>
  <cols>
    <col min="1" max="1" width="9.875" bestFit="1" customWidth="1"/>
    <col min="2" max="2" width="12.375" bestFit="1" customWidth="1"/>
    <col min="7" max="7" width="12.375" bestFit="1" customWidth="1"/>
    <col min="12" max="12" width="12.375" bestFit="1" customWidth="1"/>
    <col min="14" max="14" width="9.875" bestFit="1" customWidth="1"/>
    <col min="17" max="17" width="12.375" bestFit="1" customWidth="1"/>
  </cols>
  <sheetData>
    <row r="2" spans="1:17">
      <c r="A2" s="142">
        <v>45544</v>
      </c>
      <c r="B2" s="48">
        <v>130000</v>
      </c>
      <c r="D2" t="s">
        <v>4051</v>
      </c>
      <c r="E2" s="42" t="s">
        <v>4083</v>
      </c>
      <c r="F2" t="s">
        <v>4090</v>
      </c>
      <c r="H2" t="s">
        <v>4311</v>
      </c>
      <c r="I2" t="s">
        <v>4354</v>
      </c>
      <c r="K2" t="s">
        <v>4342</v>
      </c>
      <c r="L2" s="48">
        <v>130000</v>
      </c>
      <c r="N2" s="142">
        <v>45627</v>
      </c>
      <c r="O2" s="42" t="s">
        <v>4452</v>
      </c>
      <c r="P2" t="s">
        <v>4453</v>
      </c>
    </row>
    <row r="3" spans="1:17">
      <c r="A3" s="142">
        <v>45545</v>
      </c>
      <c r="B3" s="48">
        <v>130000</v>
      </c>
      <c r="D3" t="s">
        <v>4052</v>
      </c>
      <c r="E3" t="s">
        <v>4084</v>
      </c>
      <c r="G3" t="s">
        <v>4115</v>
      </c>
      <c r="H3" t="s">
        <v>4312</v>
      </c>
      <c r="I3" s="42" t="s">
        <v>4087</v>
      </c>
      <c r="J3" t="s">
        <v>4343</v>
      </c>
      <c r="L3" s="48"/>
      <c r="N3" s="142">
        <v>45628</v>
      </c>
      <c r="O3" t="s">
        <v>4089</v>
      </c>
      <c r="Q3" t="s">
        <v>4458</v>
      </c>
    </row>
    <row r="4" spans="1:17">
      <c r="A4" s="142">
        <v>45546</v>
      </c>
      <c r="B4" s="48">
        <v>130000</v>
      </c>
      <c r="D4" t="s">
        <v>4053</v>
      </c>
      <c r="E4" s="42" t="s">
        <v>4085</v>
      </c>
      <c r="F4" t="s">
        <v>4090</v>
      </c>
      <c r="H4" t="s">
        <v>4313</v>
      </c>
      <c r="I4" s="43" t="s">
        <v>4088</v>
      </c>
      <c r="J4" t="s">
        <v>4344</v>
      </c>
      <c r="L4" s="48"/>
      <c r="N4" s="142">
        <v>45629</v>
      </c>
      <c r="O4" t="s">
        <v>4082</v>
      </c>
      <c r="Q4" t="s">
        <v>4458</v>
      </c>
    </row>
    <row r="5" spans="1:17">
      <c r="A5" s="142">
        <v>45547</v>
      </c>
      <c r="B5" s="48">
        <v>130000</v>
      </c>
      <c r="D5" t="s">
        <v>4054</v>
      </c>
      <c r="E5" s="42" t="s">
        <v>4086</v>
      </c>
      <c r="F5" t="s">
        <v>4119</v>
      </c>
      <c r="H5" t="s">
        <v>4314</v>
      </c>
      <c r="I5" t="s">
        <v>4089</v>
      </c>
      <c r="K5" t="s">
        <v>4345</v>
      </c>
      <c r="L5" s="48">
        <v>130000</v>
      </c>
      <c r="N5" s="142">
        <v>45630</v>
      </c>
      <c r="O5" t="s">
        <v>4084</v>
      </c>
      <c r="Q5" t="s">
        <v>4458</v>
      </c>
    </row>
    <row r="6" spans="1:17">
      <c r="A6" s="142">
        <v>45548</v>
      </c>
      <c r="B6" s="48">
        <v>130000</v>
      </c>
      <c r="D6" t="s">
        <v>4055</v>
      </c>
      <c r="E6" s="42" t="s">
        <v>4087</v>
      </c>
      <c r="F6" t="s">
        <v>4090</v>
      </c>
      <c r="H6" t="s">
        <v>4315</v>
      </c>
      <c r="I6" t="s">
        <v>4082</v>
      </c>
      <c r="K6" t="s">
        <v>4345</v>
      </c>
      <c r="L6" s="48">
        <v>130000</v>
      </c>
      <c r="N6" s="142">
        <v>45631</v>
      </c>
      <c r="O6" t="s">
        <v>4085</v>
      </c>
      <c r="Q6" t="s">
        <v>4459</v>
      </c>
    </row>
    <row r="7" spans="1:17">
      <c r="A7" s="142"/>
      <c r="B7" s="143">
        <v>650000</v>
      </c>
      <c r="D7" t="s">
        <v>4056</v>
      </c>
      <c r="E7" s="43" t="s">
        <v>4088</v>
      </c>
      <c r="F7" t="s">
        <v>4091</v>
      </c>
      <c r="H7" t="s">
        <v>4316</v>
      </c>
      <c r="I7" t="s">
        <v>4084</v>
      </c>
      <c r="K7" t="s">
        <v>4345</v>
      </c>
      <c r="L7" s="48">
        <v>130000</v>
      </c>
      <c r="N7" s="142">
        <v>45632</v>
      </c>
      <c r="O7" t="s">
        <v>4086</v>
      </c>
      <c r="Q7" t="s">
        <v>4458</v>
      </c>
    </row>
    <row r="8" spans="1:17">
      <c r="A8" s="142"/>
      <c r="D8" t="s">
        <v>4057</v>
      </c>
      <c r="E8" t="s">
        <v>4089</v>
      </c>
      <c r="G8" t="s">
        <v>4116</v>
      </c>
      <c r="H8" t="s">
        <v>4317</v>
      </c>
      <c r="I8" t="s">
        <v>4085</v>
      </c>
      <c r="K8" t="s">
        <v>4346</v>
      </c>
      <c r="L8" s="48">
        <v>130000</v>
      </c>
      <c r="N8" s="142">
        <v>45633</v>
      </c>
      <c r="O8" s="42" t="s">
        <v>4087</v>
      </c>
      <c r="P8" t="s">
        <v>4454</v>
      </c>
    </row>
    <row r="9" spans="1:17">
      <c r="A9" s="142">
        <v>45554</v>
      </c>
      <c r="B9" s="48">
        <v>130000</v>
      </c>
      <c r="D9" t="s">
        <v>4058</v>
      </c>
      <c r="E9" t="s">
        <v>4082</v>
      </c>
      <c r="G9" t="s">
        <v>4115</v>
      </c>
      <c r="H9" t="s">
        <v>4318</v>
      </c>
      <c r="I9" t="s">
        <v>4086</v>
      </c>
      <c r="K9" t="s">
        <v>4345</v>
      </c>
      <c r="L9" s="48">
        <v>130000</v>
      </c>
      <c r="N9" s="142">
        <v>45634</v>
      </c>
      <c r="O9" s="43" t="s">
        <v>4088</v>
      </c>
      <c r="P9" t="s">
        <v>4455</v>
      </c>
    </row>
    <row r="10" spans="1:17">
      <c r="A10" s="142">
        <v>45555</v>
      </c>
      <c r="B10" s="48">
        <v>130000</v>
      </c>
      <c r="D10" t="s">
        <v>4059</v>
      </c>
      <c r="E10" s="42" t="s">
        <v>4084</v>
      </c>
      <c r="F10" t="s">
        <v>4090</v>
      </c>
      <c r="H10" t="s">
        <v>4319</v>
      </c>
      <c r="I10" s="42" t="s">
        <v>4087</v>
      </c>
      <c r="J10" t="s">
        <v>4347</v>
      </c>
      <c r="L10" s="48"/>
      <c r="N10" s="142">
        <v>45635</v>
      </c>
      <c r="O10" t="s">
        <v>4089</v>
      </c>
      <c r="Q10" t="s">
        <v>4459</v>
      </c>
    </row>
    <row r="11" spans="1:17">
      <c r="A11" s="142">
        <v>45556</v>
      </c>
      <c r="B11" s="48">
        <v>130000</v>
      </c>
      <c r="D11" t="s">
        <v>4060</v>
      </c>
      <c r="E11" t="s">
        <v>4085</v>
      </c>
      <c r="G11" t="s">
        <v>4115</v>
      </c>
      <c r="H11" t="s">
        <v>4320</v>
      </c>
      <c r="I11" s="43" t="s">
        <v>4088</v>
      </c>
      <c r="J11" t="s">
        <v>4343</v>
      </c>
      <c r="L11" s="48"/>
      <c r="N11" s="142">
        <v>45636</v>
      </c>
      <c r="O11" t="s">
        <v>4082</v>
      </c>
      <c r="Q11" t="s">
        <v>4459</v>
      </c>
    </row>
    <row r="12" spans="1:17">
      <c r="A12" s="142"/>
      <c r="B12" s="143">
        <v>390000</v>
      </c>
      <c r="D12" t="s">
        <v>4061</v>
      </c>
      <c r="E12" t="s">
        <v>4086</v>
      </c>
      <c r="G12" t="s">
        <v>4115</v>
      </c>
      <c r="H12" t="s">
        <v>4321</v>
      </c>
      <c r="I12" t="s">
        <v>4089</v>
      </c>
      <c r="K12" t="s">
        <v>4348</v>
      </c>
      <c r="L12" s="48">
        <v>130000</v>
      </c>
      <c r="N12" s="142">
        <v>45637</v>
      </c>
      <c r="O12" t="s">
        <v>4084</v>
      </c>
      <c r="Q12" t="s">
        <v>4458</v>
      </c>
    </row>
    <row r="13" spans="1:17">
      <c r="D13" t="s">
        <v>4062</v>
      </c>
      <c r="E13" s="42" t="s">
        <v>4087</v>
      </c>
      <c r="F13" t="s">
        <v>4090</v>
      </c>
      <c r="H13" t="s">
        <v>4322</v>
      </c>
      <c r="I13" t="s">
        <v>4082</v>
      </c>
      <c r="K13" t="s">
        <v>4348</v>
      </c>
      <c r="L13" s="48">
        <v>130000</v>
      </c>
      <c r="N13" s="142">
        <v>45638</v>
      </c>
      <c r="O13" t="s">
        <v>4085</v>
      </c>
      <c r="Q13" t="s">
        <v>4460</v>
      </c>
    </row>
    <row r="14" spans="1:17">
      <c r="A14" s="142">
        <v>45558</v>
      </c>
      <c r="B14" s="48">
        <v>130000</v>
      </c>
      <c r="D14" t="s">
        <v>4063</v>
      </c>
      <c r="E14" s="43" t="s">
        <v>4088</v>
      </c>
      <c r="F14" t="s">
        <v>4090</v>
      </c>
      <c r="H14" t="s">
        <v>4323</v>
      </c>
      <c r="I14" t="s">
        <v>4084</v>
      </c>
      <c r="K14" t="s">
        <v>4349</v>
      </c>
      <c r="L14" s="48">
        <v>130000</v>
      </c>
      <c r="N14" s="142">
        <v>45639</v>
      </c>
      <c r="O14" t="s">
        <v>4086</v>
      </c>
      <c r="Q14" t="s">
        <v>4458</v>
      </c>
    </row>
    <row r="15" spans="1:17">
      <c r="A15" s="142">
        <v>45559</v>
      </c>
      <c r="B15" s="48">
        <v>130000</v>
      </c>
      <c r="D15" t="s">
        <v>4064</v>
      </c>
      <c r="E15" t="s">
        <v>4089</v>
      </c>
      <c r="G15" t="s">
        <v>4117</v>
      </c>
      <c r="H15" t="s">
        <v>4324</v>
      </c>
      <c r="I15" t="s">
        <v>4085</v>
      </c>
      <c r="K15" t="s">
        <v>4348</v>
      </c>
      <c r="L15" s="48">
        <v>130000</v>
      </c>
      <c r="N15" s="142">
        <v>45640</v>
      </c>
      <c r="O15" s="42" t="s">
        <v>4087</v>
      </c>
      <c r="P15" t="s">
        <v>4456</v>
      </c>
    </row>
    <row r="16" spans="1:17">
      <c r="A16" s="142">
        <v>45560</v>
      </c>
      <c r="B16" s="48">
        <v>130000</v>
      </c>
      <c r="D16" t="s">
        <v>4065</v>
      </c>
      <c r="E16" t="s">
        <v>4082</v>
      </c>
      <c r="G16" t="s">
        <v>4118</v>
      </c>
      <c r="H16" t="s">
        <v>4325</v>
      </c>
      <c r="I16" t="s">
        <v>4086</v>
      </c>
      <c r="K16" t="s">
        <v>4349</v>
      </c>
      <c r="L16" s="48">
        <v>130000</v>
      </c>
      <c r="N16" s="142">
        <v>45641</v>
      </c>
      <c r="O16" s="43" t="s">
        <v>4088</v>
      </c>
      <c r="P16" t="s">
        <v>4456</v>
      </c>
    </row>
    <row r="17" spans="1:17">
      <c r="A17" s="142">
        <v>45561</v>
      </c>
      <c r="B17" s="48">
        <v>130000</v>
      </c>
      <c r="D17" t="s">
        <v>4066</v>
      </c>
      <c r="E17" t="s">
        <v>4084</v>
      </c>
      <c r="G17" t="s">
        <v>4115</v>
      </c>
      <c r="H17" t="s">
        <v>4326</v>
      </c>
      <c r="I17" s="42" t="s">
        <v>4087</v>
      </c>
      <c r="J17" t="s">
        <v>4350</v>
      </c>
      <c r="L17" s="48"/>
      <c r="N17" s="142">
        <v>45642</v>
      </c>
      <c r="O17" t="s">
        <v>4089</v>
      </c>
      <c r="Q17" t="s">
        <v>4461</v>
      </c>
    </row>
    <row r="18" spans="1:17">
      <c r="A18" s="142">
        <v>45562</v>
      </c>
      <c r="B18" s="48">
        <v>130000</v>
      </c>
      <c r="D18" t="s">
        <v>4067</v>
      </c>
      <c r="E18" t="s">
        <v>4085</v>
      </c>
      <c r="G18" t="s">
        <v>4115</v>
      </c>
      <c r="H18" t="s">
        <v>4327</v>
      </c>
      <c r="I18" s="43" t="s">
        <v>4088</v>
      </c>
      <c r="J18" t="s">
        <v>4350</v>
      </c>
      <c r="L18" s="48"/>
      <c r="N18" s="142">
        <v>45643</v>
      </c>
      <c r="O18" t="s">
        <v>4082</v>
      </c>
      <c r="Q18" t="s">
        <v>4458</v>
      </c>
    </row>
    <row r="19" spans="1:17">
      <c r="B19" s="143">
        <v>650000</v>
      </c>
      <c r="D19" t="s">
        <v>4068</v>
      </c>
      <c r="E19" t="s">
        <v>4086</v>
      </c>
      <c r="G19" t="s">
        <v>4115</v>
      </c>
      <c r="H19" t="s">
        <v>4328</v>
      </c>
      <c r="I19" t="s">
        <v>4089</v>
      </c>
      <c r="K19" t="s">
        <v>4351</v>
      </c>
      <c r="L19" s="48">
        <v>130000</v>
      </c>
      <c r="N19" s="142">
        <v>45644</v>
      </c>
      <c r="O19" t="s">
        <v>4084</v>
      </c>
      <c r="Q19" t="s">
        <v>4460</v>
      </c>
    </row>
    <row r="20" spans="1:17">
      <c r="D20" t="s">
        <v>4069</v>
      </c>
      <c r="E20" s="42" t="s">
        <v>4087</v>
      </c>
      <c r="F20" t="s">
        <v>4092</v>
      </c>
      <c r="H20" t="s">
        <v>4329</v>
      </c>
      <c r="I20" t="s">
        <v>4082</v>
      </c>
      <c r="K20" t="s">
        <v>4349</v>
      </c>
      <c r="L20" s="48">
        <v>130000</v>
      </c>
      <c r="N20" s="142">
        <v>45645</v>
      </c>
      <c r="O20" t="s">
        <v>4085</v>
      </c>
      <c r="Q20" t="s">
        <v>4458</v>
      </c>
    </row>
    <row r="21" spans="1:17">
      <c r="D21" t="s">
        <v>4070</v>
      </c>
      <c r="E21" s="43" t="s">
        <v>4088</v>
      </c>
      <c r="F21" t="s">
        <v>4090</v>
      </c>
      <c r="H21" t="s">
        <v>4330</v>
      </c>
      <c r="I21" t="s">
        <v>4084</v>
      </c>
      <c r="K21" t="s">
        <v>4352</v>
      </c>
      <c r="L21" s="48">
        <v>130000</v>
      </c>
      <c r="N21" s="142">
        <v>45646</v>
      </c>
      <c r="O21" t="s">
        <v>4086</v>
      </c>
      <c r="Q21" t="s">
        <v>4460</v>
      </c>
    </row>
    <row r="22" spans="1:17">
      <c r="D22" t="s">
        <v>4071</v>
      </c>
      <c r="E22" t="s">
        <v>4089</v>
      </c>
      <c r="G22" t="s">
        <v>4115</v>
      </c>
      <c r="H22" t="s">
        <v>4331</v>
      </c>
      <c r="I22" t="s">
        <v>4085</v>
      </c>
      <c r="K22" t="s">
        <v>4349</v>
      </c>
      <c r="L22" s="48">
        <v>130000</v>
      </c>
      <c r="N22" s="142">
        <v>45647</v>
      </c>
      <c r="O22" s="42" t="s">
        <v>4087</v>
      </c>
      <c r="P22" t="s">
        <v>4454</v>
      </c>
    </row>
    <row r="23" spans="1:17">
      <c r="D23" t="s">
        <v>4072</v>
      </c>
      <c r="E23" t="s">
        <v>4082</v>
      </c>
      <c r="G23" t="s">
        <v>4117</v>
      </c>
      <c r="H23" t="s">
        <v>4332</v>
      </c>
      <c r="I23" t="s">
        <v>4086</v>
      </c>
      <c r="K23" t="s">
        <v>4351</v>
      </c>
      <c r="L23" s="48">
        <v>130000</v>
      </c>
      <c r="N23" s="142">
        <v>45648</v>
      </c>
      <c r="O23" s="43" t="s">
        <v>4088</v>
      </c>
      <c r="P23" t="s">
        <v>4457</v>
      </c>
    </row>
    <row r="24" spans="1:17">
      <c r="D24" t="s">
        <v>4073</v>
      </c>
      <c r="E24" t="s">
        <v>4084</v>
      </c>
      <c r="G24" t="s">
        <v>4116</v>
      </c>
      <c r="H24" t="s">
        <v>4333</v>
      </c>
      <c r="I24" s="42" t="s">
        <v>4087</v>
      </c>
      <c r="J24" t="s">
        <v>4344</v>
      </c>
      <c r="L24" s="48"/>
      <c r="N24" s="142">
        <v>45649</v>
      </c>
      <c r="O24" t="s">
        <v>4089</v>
      </c>
      <c r="Q24" t="s">
        <v>4462</v>
      </c>
    </row>
    <row r="25" spans="1:17">
      <c r="D25" t="s">
        <v>4074</v>
      </c>
      <c r="E25" t="s">
        <v>4085</v>
      </c>
      <c r="G25" t="s">
        <v>4115</v>
      </c>
      <c r="H25" t="s">
        <v>4334</v>
      </c>
      <c r="I25" s="43" t="s">
        <v>4088</v>
      </c>
      <c r="J25" t="s">
        <v>4347</v>
      </c>
      <c r="L25" s="48"/>
      <c r="N25" s="142">
        <v>45650</v>
      </c>
      <c r="O25" t="s">
        <v>4082</v>
      </c>
      <c r="Q25" t="s">
        <v>4459</v>
      </c>
    </row>
    <row r="26" spans="1:17">
      <c r="D26" t="s">
        <v>4075</v>
      </c>
      <c r="E26" t="s">
        <v>4086</v>
      </c>
      <c r="G26" t="s">
        <v>4116</v>
      </c>
      <c r="H26" t="s">
        <v>4335</v>
      </c>
      <c r="I26" t="s">
        <v>4089</v>
      </c>
      <c r="K26" t="s">
        <v>4353</v>
      </c>
      <c r="L26" s="48">
        <v>130000</v>
      </c>
      <c r="N26" s="142">
        <v>45651</v>
      </c>
      <c r="O26" s="42" t="s">
        <v>4084</v>
      </c>
      <c r="P26" t="s">
        <v>4456</v>
      </c>
    </row>
    <row r="27" spans="1:17">
      <c r="D27" t="s">
        <v>4076</v>
      </c>
      <c r="E27" s="42" t="s">
        <v>4087</v>
      </c>
      <c r="F27" t="s">
        <v>4090</v>
      </c>
      <c r="H27" t="s">
        <v>4336</v>
      </c>
      <c r="I27" t="s">
        <v>4082</v>
      </c>
      <c r="K27" t="s">
        <v>4353</v>
      </c>
      <c r="L27" s="48">
        <v>130000</v>
      </c>
      <c r="N27" s="142">
        <v>45652</v>
      </c>
      <c r="O27" t="s">
        <v>4085</v>
      </c>
      <c r="Q27" t="s">
        <v>4460</v>
      </c>
    </row>
    <row r="28" spans="1:17">
      <c r="D28" t="s">
        <v>4077</v>
      </c>
      <c r="E28" s="43" t="s">
        <v>4088</v>
      </c>
      <c r="F28" t="s">
        <v>4090</v>
      </c>
      <c r="H28" t="s">
        <v>4337</v>
      </c>
      <c r="I28" t="s">
        <v>4084</v>
      </c>
      <c r="K28" t="s">
        <v>4346</v>
      </c>
      <c r="L28" s="48">
        <v>130000</v>
      </c>
      <c r="N28" s="142">
        <v>45653</v>
      </c>
      <c r="O28" t="s">
        <v>4086</v>
      </c>
      <c r="Q28" t="s">
        <v>4462</v>
      </c>
    </row>
    <row r="29" spans="1:17">
      <c r="D29" t="s">
        <v>4078</v>
      </c>
      <c r="E29" t="s">
        <v>4089</v>
      </c>
      <c r="G29" t="s">
        <v>4115</v>
      </c>
      <c r="H29" t="s">
        <v>4338</v>
      </c>
      <c r="I29" t="s">
        <v>4085</v>
      </c>
      <c r="K29" t="s">
        <v>4349</v>
      </c>
      <c r="L29" s="48">
        <v>130000</v>
      </c>
      <c r="N29" s="142">
        <v>45654</v>
      </c>
      <c r="O29" s="42" t="s">
        <v>4087</v>
      </c>
      <c r="P29" t="s">
        <v>4456</v>
      </c>
    </row>
    <row r="30" spans="1:17">
      <c r="D30" t="s">
        <v>4079</v>
      </c>
      <c r="E30" t="s">
        <v>4082</v>
      </c>
      <c r="G30" t="s">
        <v>4115</v>
      </c>
      <c r="H30" t="s">
        <v>4339</v>
      </c>
      <c r="I30" t="s">
        <v>4086</v>
      </c>
      <c r="K30" t="s">
        <v>4345</v>
      </c>
      <c r="L30" s="48">
        <v>130000</v>
      </c>
      <c r="N30" s="142">
        <v>45655</v>
      </c>
      <c r="O30" s="43" t="s">
        <v>4088</v>
      </c>
      <c r="P30" t="s">
        <v>4456</v>
      </c>
    </row>
    <row r="31" spans="1:17">
      <c r="D31" t="s">
        <v>4080</v>
      </c>
      <c r="E31" t="s">
        <v>4084</v>
      </c>
      <c r="G31" t="s">
        <v>4115</v>
      </c>
      <c r="H31" t="s">
        <v>4340</v>
      </c>
      <c r="I31" s="42" t="s">
        <v>4087</v>
      </c>
      <c r="J31" t="s">
        <v>4347</v>
      </c>
      <c r="N31" s="142">
        <v>45656</v>
      </c>
      <c r="O31" t="s">
        <v>4089</v>
      </c>
      <c r="Q31" t="s">
        <v>4460</v>
      </c>
    </row>
    <row r="32" spans="1:17">
      <c r="D32" t="s">
        <v>4081</v>
      </c>
      <c r="E32" t="s">
        <v>4085</v>
      </c>
      <c r="G32" t="s">
        <v>4115</v>
      </c>
      <c r="H32" t="s">
        <v>4341</v>
      </c>
      <c r="I32" s="43" t="s">
        <v>4088</v>
      </c>
      <c r="J32" t="s">
        <v>4347</v>
      </c>
      <c r="N32" s="142">
        <v>45657</v>
      </c>
      <c r="O32" t="s">
        <v>4082</v>
      </c>
      <c r="Q32" t="s">
        <v>4459</v>
      </c>
    </row>
    <row r="34" spans="6:17">
      <c r="F34">
        <v>12</v>
      </c>
      <c r="G34">
        <v>19</v>
      </c>
      <c r="K34">
        <v>21</v>
      </c>
      <c r="Q34">
        <v>21</v>
      </c>
    </row>
    <row r="36" spans="6:17">
      <c r="G36" s="48">
        <v>2470000</v>
      </c>
      <c r="L36" s="48">
        <f>SUM(L2:L30)</f>
        <v>2730000</v>
      </c>
      <c r="Q36" s="48">
        <v>2730000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3"/>
  <sheetViews>
    <sheetView workbookViewId="0">
      <selection activeCell="B2" sqref="B2:M22"/>
    </sheetView>
  </sheetViews>
  <sheetFormatPr defaultRowHeight="16.5"/>
  <cols>
    <col min="1" max="1" width="70.75" customWidth="1"/>
  </cols>
  <sheetData>
    <row r="2" spans="1:13">
      <c r="B2" s="934"/>
      <c r="C2" s="934"/>
      <c r="D2" s="934"/>
      <c r="E2" s="934"/>
      <c r="F2" s="934"/>
      <c r="G2" s="934"/>
      <c r="H2" s="934"/>
      <c r="I2" s="934"/>
      <c r="J2" s="934"/>
      <c r="K2" s="934"/>
      <c r="L2" s="934"/>
      <c r="M2" s="934"/>
    </row>
    <row r="3" spans="1:13" ht="23.25">
      <c r="A3" s="166" t="s">
        <v>4424</v>
      </c>
      <c r="B3" s="934"/>
      <c r="C3" s="934"/>
      <c r="D3" s="934"/>
      <c r="E3" s="934"/>
      <c r="F3" s="934"/>
      <c r="G3" s="934"/>
      <c r="H3" s="934"/>
      <c r="I3" s="934"/>
      <c r="J3" s="934"/>
      <c r="K3" s="934"/>
      <c r="L3" s="934"/>
      <c r="M3" s="934"/>
    </row>
    <row r="4" spans="1:13" ht="17.25" thickBot="1">
      <c r="B4" s="934"/>
      <c r="C4" s="934"/>
      <c r="D4" s="934"/>
      <c r="E4" s="934"/>
      <c r="F4" s="934"/>
      <c r="G4" s="934"/>
      <c r="H4" s="934"/>
      <c r="I4" s="934"/>
      <c r="J4" s="934"/>
      <c r="K4" s="934"/>
      <c r="L4" s="934"/>
      <c r="M4" s="934"/>
    </row>
    <row r="5" spans="1:13" ht="18.75" thickBot="1">
      <c r="A5" s="167" t="s">
        <v>4425</v>
      </c>
      <c r="B5" s="934"/>
      <c r="C5" s="934"/>
      <c r="D5" s="934"/>
      <c r="E5" s="934"/>
      <c r="F5" s="934"/>
      <c r="G5" s="934"/>
      <c r="H5" s="934"/>
      <c r="I5" s="934"/>
      <c r="J5" s="934"/>
      <c r="K5" s="934"/>
      <c r="L5" s="934"/>
      <c r="M5" s="934"/>
    </row>
    <row r="6" spans="1:13">
      <c r="A6" s="168" t="s">
        <v>4426</v>
      </c>
      <c r="B6" s="934"/>
      <c r="C6" s="934"/>
      <c r="D6" s="934"/>
      <c r="E6" s="934"/>
      <c r="F6" s="934"/>
      <c r="G6" s="934"/>
      <c r="H6" s="934"/>
      <c r="I6" s="934"/>
      <c r="J6" s="934"/>
      <c r="K6" s="934"/>
      <c r="L6" s="934"/>
      <c r="M6" s="934"/>
    </row>
    <row r="7" spans="1:13">
      <c r="A7" s="169" t="s">
        <v>4427</v>
      </c>
      <c r="B7" s="934"/>
      <c r="C7" s="934"/>
      <c r="D7" s="934"/>
      <c r="E7" s="934"/>
      <c r="F7" s="934"/>
      <c r="G7" s="934"/>
      <c r="H7" s="934"/>
      <c r="I7" s="934"/>
      <c r="J7" s="934"/>
      <c r="K7" s="934"/>
      <c r="L7" s="934"/>
      <c r="M7" s="934"/>
    </row>
    <row r="8" spans="1:13">
      <c r="A8" s="169" t="s">
        <v>4428</v>
      </c>
      <c r="B8" s="934"/>
      <c r="C8" s="934"/>
      <c r="D8" s="934"/>
      <c r="E8" s="934"/>
      <c r="F8" s="934"/>
      <c r="G8" s="934"/>
      <c r="H8" s="934"/>
      <c r="I8" s="934"/>
      <c r="J8" s="934"/>
      <c r="K8" s="934"/>
      <c r="L8" s="934"/>
      <c r="M8" s="934"/>
    </row>
    <row r="9" spans="1:13">
      <c r="A9" s="169" t="s">
        <v>4429</v>
      </c>
      <c r="B9" s="934"/>
      <c r="C9" s="934"/>
      <c r="D9" s="934"/>
      <c r="E9" s="934"/>
      <c r="F9" s="934"/>
      <c r="G9" s="934"/>
      <c r="H9" s="934"/>
      <c r="I9" s="934"/>
      <c r="J9" s="934"/>
      <c r="K9" s="934"/>
      <c r="L9" s="934"/>
      <c r="M9" s="934"/>
    </row>
    <row r="10" spans="1:13">
      <c r="A10" s="169" t="s">
        <v>4430</v>
      </c>
      <c r="B10" s="934"/>
      <c r="C10" s="934"/>
      <c r="D10" s="934"/>
      <c r="E10" s="934"/>
      <c r="F10" s="934"/>
      <c r="G10" s="934"/>
      <c r="H10" s="934"/>
      <c r="I10" s="934"/>
      <c r="J10" s="934"/>
      <c r="K10" s="934"/>
      <c r="L10" s="934"/>
      <c r="M10" s="934"/>
    </row>
    <row r="11" spans="1:13">
      <c r="A11" s="169" t="s">
        <v>4431</v>
      </c>
      <c r="B11" s="934"/>
      <c r="C11" s="934"/>
      <c r="D11" s="934"/>
      <c r="E11" s="934"/>
      <c r="F11" s="934"/>
      <c r="G11" s="934"/>
      <c r="H11" s="934"/>
      <c r="I11" s="934"/>
      <c r="J11" s="934"/>
      <c r="K11" s="934"/>
      <c r="L11" s="934"/>
      <c r="M11" s="934"/>
    </row>
    <row r="12" spans="1:13" ht="17.25" thickBot="1">
      <c r="A12" s="169" t="s">
        <v>4432</v>
      </c>
      <c r="B12" s="934"/>
      <c r="C12" s="934"/>
      <c r="D12" s="934"/>
      <c r="E12" s="934"/>
      <c r="F12" s="934"/>
      <c r="G12" s="934"/>
      <c r="H12" s="934"/>
      <c r="I12" s="934"/>
      <c r="J12" s="934"/>
      <c r="K12" s="934"/>
      <c r="L12" s="934"/>
      <c r="M12" s="934"/>
    </row>
    <row r="13" spans="1:13" ht="18.75" thickBot="1">
      <c r="A13" s="170" t="s">
        <v>4433</v>
      </c>
      <c r="B13" s="934"/>
      <c r="C13" s="934"/>
      <c r="D13" s="934"/>
      <c r="E13" s="934"/>
      <c r="F13" s="934"/>
      <c r="G13" s="934"/>
      <c r="H13" s="934"/>
      <c r="I13" s="934"/>
      <c r="J13" s="934"/>
      <c r="K13" s="934"/>
      <c r="L13" s="934"/>
      <c r="M13" s="934"/>
    </row>
    <row r="14" spans="1:13" ht="19.5" thickBot="1">
      <c r="A14" s="170" t="s">
        <v>4434</v>
      </c>
      <c r="B14" s="934"/>
      <c r="C14" s="934"/>
      <c r="D14" s="934"/>
      <c r="E14" s="934"/>
      <c r="F14" s="934"/>
      <c r="G14" s="934"/>
      <c r="H14" s="934"/>
      <c r="I14" s="934"/>
      <c r="J14" s="934"/>
      <c r="K14" s="934"/>
      <c r="L14" s="934"/>
      <c r="M14" s="934"/>
    </row>
    <row r="15" spans="1:13">
      <c r="B15" s="934"/>
      <c r="C15" s="934"/>
      <c r="D15" s="934"/>
      <c r="E15" s="934"/>
      <c r="F15" s="934"/>
      <c r="G15" s="934"/>
      <c r="H15" s="934"/>
      <c r="I15" s="934"/>
      <c r="J15" s="934"/>
      <c r="K15" s="934"/>
      <c r="L15" s="934"/>
      <c r="M15" s="934"/>
    </row>
    <row r="16" spans="1:13">
      <c r="B16" s="934"/>
      <c r="C16" s="934"/>
      <c r="D16" s="934"/>
      <c r="E16" s="934"/>
      <c r="F16" s="934"/>
      <c r="G16" s="934"/>
      <c r="H16" s="934"/>
      <c r="I16" s="934"/>
      <c r="J16" s="934"/>
      <c r="K16" s="934"/>
      <c r="L16" s="934"/>
      <c r="M16" s="934"/>
    </row>
    <row r="17" spans="1:13">
      <c r="B17" s="934"/>
      <c r="C17" s="934"/>
      <c r="D17" s="934"/>
      <c r="E17" s="934"/>
      <c r="F17" s="934"/>
      <c r="G17" s="934"/>
      <c r="H17" s="934"/>
      <c r="I17" s="934"/>
      <c r="J17" s="934"/>
      <c r="K17" s="934"/>
      <c r="L17" s="934"/>
      <c r="M17" s="934"/>
    </row>
    <row r="18" spans="1:13">
      <c r="B18" s="934"/>
      <c r="C18" s="934"/>
      <c r="D18" s="934"/>
      <c r="E18" s="934"/>
      <c r="F18" s="934"/>
      <c r="G18" s="934"/>
      <c r="H18" s="934"/>
      <c r="I18" s="934"/>
      <c r="J18" s="934"/>
      <c r="K18" s="934"/>
      <c r="L18" s="934"/>
      <c r="M18" s="934"/>
    </row>
    <row r="19" spans="1:13">
      <c r="B19" s="934"/>
      <c r="C19" s="934"/>
      <c r="D19" s="934"/>
      <c r="E19" s="934"/>
      <c r="F19" s="934"/>
      <c r="G19" s="934"/>
      <c r="H19" s="934"/>
      <c r="I19" s="934"/>
      <c r="J19" s="934"/>
      <c r="K19" s="934"/>
      <c r="L19" s="934"/>
      <c r="M19" s="934"/>
    </row>
    <row r="20" spans="1:13">
      <c r="B20" s="934"/>
      <c r="C20" s="934"/>
      <c r="D20" s="934"/>
      <c r="E20" s="934"/>
      <c r="F20" s="934"/>
      <c r="G20" s="934"/>
      <c r="H20" s="934"/>
      <c r="I20" s="934"/>
      <c r="J20" s="934"/>
      <c r="K20" s="934"/>
      <c r="L20" s="934"/>
      <c r="M20" s="934"/>
    </row>
    <row r="21" spans="1:13">
      <c r="B21" s="934"/>
      <c r="C21" s="934"/>
      <c r="D21" s="934"/>
      <c r="E21" s="934"/>
      <c r="F21" s="934"/>
      <c r="G21" s="934"/>
      <c r="H21" s="934"/>
      <c r="I21" s="934"/>
      <c r="J21" s="934"/>
      <c r="K21" s="934"/>
      <c r="L21" s="934"/>
      <c r="M21" s="934"/>
    </row>
    <row r="22" spans="1:13">
      <c r="A22">
        <v>325790</v>
      </c>
      <c r="B22" s="934"/>
      <c r="C22" s="934"/>
      <c r="D22" s="934"/>
      <c r="E22" s="934"/>
      <c r="F22" s="934"/>
      <c r="G22" s="934"/>
      <c r="H22" s="934"/>
      <c r="I22" s="934"/>
      <c r="J22" s="934"/>
      <c r="K22" s="934"/>
      <c r="L22" s="934"/>
      <c r="M22" s="934"/>
    </row>
    <row r="23" spans="1:13">
      <c r="A23">
        <v>-185890</v>
      </c>
    </row>
  </sheetData>
  <mergeCells count="1">
    <mergeCell ref="B2:M22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45</vt:i4>
      </vt:variant>
    </vt:vector>
  </HeadingPairs>
  <TitlesOfParts>
    <vt:vector size="45" baseType="lpstr">
      <vt:lpstr>통계</vt:lpstr>
      <vt:lpstr>22년 11월</vt:lpstr>
      <vt:lpstr>22년 12월</vt:lpstr>
      <vt:lpstr>23년 1월</vt:lpstr>
      <vt:lpstr>23년 2월</vt:lpstr>
      <vt:lpstr>23년 3월</vt:lpstr>
      <vt:lpstr>23년 4월 </vt:lpstr>
      <vt:lpstr>23년 5월</vt:lpstr>
      <vt:lpstr>23년 6월</vt:lpstr>
      <vt:lpstr>23년 7월</vt:lpstr>
      <vt:lpstr>23년 8월</vt:lpstr>
      <vt:lpstr>23년 9월 </vt:lpstr>
      <vt:lpstr>23년 10월</vt:lpstr>
      <vt:lpstr>23년 11월</vt:lpstr>
      <vt:lpstr>23년 12월</vt:lpstr>
      <vt:lpstr>24년 1월</vt:lpstr>
      <vt:lpstr>24년 2월 </vt:lpstr>
      <vt:lpstr>24년 3월</vt:lpstr>
      <vt:lpstr>24년 4월</vt:lpstr>
      <vt:lpstr>24년 5월</vt:lpstr>
      <vt:lpstr>24년 6월  </vt:lpstr>
      <vt:lpstr>24년 7월 </vt:lpstr>
      <vt:lpstr>24년 8월</vt:lpstr>
      <vt:lpstr>24년 9월</vt:lpstr>
      <vt:lpstr>24년 10월 </vt:lpstr>
      <vt:lpstr>24년 11월</vt:lpstr>
      <vt:lpstr>25년 1월 </vt:lpstr>
      <vt:lpstr>24년 12월</vt:lpstr>
      <vt:lpstr>Sheet4</vt:lpstr>
      <vt:lpstr>25년 2월</vt:lpstr>
      <vt:lpstr>25년 3월</vt:lpstr>
      <vt:lpstr>25년 4월</vt:lpstr>
      <vt:lpstr>25년 5월</vt:lpstr>
      <vt:lpstr>25년 6월</vt:lpstr>
      <vt:lpstr>25년 7월 </vt:lpstr>
      <vt:lpstr>25년 8월 </vt:lpstr>
      <vt:lpstr>25년 9월</vt:lpstr>
      <vt:lpstr>25년 10월</vt:lpstr>
      <vt:lpstr>25년 11월</vt:lpstr>
      <vt:lpstr>25년 12월</vt:lpstr>
      <vt:lpstr>Sheet2</vt:lpstr>
      <vt:lpstr>총괄매출</vt:lpstr>
      <vt:lpstr>Sheet1</vt:lpstr>
      <vt:lpstr>상훈이 스케줄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HHTL</dc:creator>
  <cp:lastModifiedBy>user</cp:lastModifiedBy>
  <cp:lastPrinted>2024-12-18T00:12:25Z</cp:lastPrinted>
  <dcterms:created xsi:type="dcterms:W3CDTF">2019-04-12T10:04:13Z</dcterms:created>
  <dcterms:modified xsi:type="dcterms:W3CDTF">2026-02-14T00:38:17Z</dcterms:modified>
</cp:coreProperties>
</file>